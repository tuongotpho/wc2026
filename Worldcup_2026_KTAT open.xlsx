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C26" sheetId="1" r:id="rId5"/>
    <sheet state="visible" name="GTGT" sheetId="2" r:id="rId6"/>
    <sheet state="visible" name="Thể lệ" sheetId="3" r:id="rId7"/>
    <sheet state="hidden" name="Trang tính6" sheetId="4" r:id="rId8"/>
    <sheet state="hidden" name="Trang tính5" sheetId="5" r:id="rId9"/>
    <sheet state="visible" name="Chi liên hoan" sheetId="6" r:id="rId10"/>
    <sheet state="hidden" name="H.Son" sheetId="7" r:id="rId11"/>
  </sheets>
  <definedNames/>
  <calcPr/>
</workbook>
</file>

<file path=xl/sharedStrings.xml><?xml version="1.0" encoding="utf-8"?>
<sst xmlns="http://schemas.openxmlformats.org/spreadsheetml/2006/main" count="565" uniqueCount="123">
  <si>
    <t>TỔNG CỘNG</t>
  </si>
  <si>
    <t>A.Hòa</t>
  </si>
  <si>
    <t>A.Đạt</t>
  </si>
  <si>
    <t>C. Hương</t>
  </si>
  <si>
    <t>A. Hải</t>
  </si>
  <si>
    <t xml:space="preserve">Thanh </t>
  </si>
  <si>
    <t>A. Tuyển</t>
  </si>
  <si>
    <t>Hoa KHVT</t>
  </si>
  <si>
    <t>Dũng KHVT</t>
  </si>
  <si>
    <t>Hiếu</t>
  </si>
  <si>
    <t>LM.Chủ</t>
  </si>
  <si>
    <t>Thành</t>
  </si>
  <si>
    <t>Cường</t>
  </si>
  <si>
    <t>A Sơn</t>
  </si>
  <si>
    <t>A.Hiệu</t>
  </si>
  <si>
    <t>Long</t>
  </si>
  <si>
    <t>A. Tuấn</t>
  </si>
  <si>
    <t>Trang KHVT</t>
  </si>
  <si>
    <t>Hương KHVT</t>
  </si>
  <si>
    <t>HOÀN</t>
  </si>
  <si>
    <t>Hiền TVTK</t>
  </si>
  <si>
    <t>A. Quyết</t>
  </si>
  <si>
    <t>Trường</t>
  </si>
  <si>
    <t>San</t>
  </si>
  <si>
    <t>Đức Anh</t>
  </si>
  <si>
    <t>Thắng</t>
  </si>
  <si>
    <t>a. Dương</t>
  </si>
  <si>
    <t>E Sơn</t>
  </si>
  <si>
    <t>Ngày giờ thi đấu</t>
  </si>
  <si>
    <t>Cặp đấu</t>
  </si>
  <si>
    <t>ĐỘI VÔ ĐỊCH</t>
  </si>
  <si>
    <t>2 ĐỘI VÀO CHUNG KẾT</t>
  </si>
  <si>
    <t>Mexico</t>
  </si>
  <si>
    <t>South Africa</t>
  </si>
  <si>
    <t>Rep. of Korea</t>
  </si>
  <si>
    <t>Czech Rep.</t>
  </si>
  <si>
    <t>Canada</t>
  </si>
  <si>
    <t>Bosnia/Herzeg.</t>
  </si>
  <si>
    <t>USA</t>
  </si>
  <si>
    <t>Paraguay</t>
  </si>
  <si>
    <t>Qatar</t>
  </si>
  <si>
    <t>Switzerland</t>
  </si>
  <si>
    <t>Brazil</t>
  </si>
  <si>
    <t>Morocco</t>
  </si>
  <si>
    <t>Haiti</t>
  </si>
  <si>
    <t>Scotland</t>
  </si>
  <si>
    <t>Australia</t>
  </si>
  <si>
    <t>Turkey</t>
  </si>
  <si>
    <t>Germany</t>
  </si>
  <si>
    <t>Curaçao</t>
  </si>
  <si>
    <t>Netherlands</t>
  </si>
  <si>
    <t>Japan</t>
  </si>
  <si>
    <t>Ivory Coast</t>
  </si>
  <si>
    <t>Ecuador</t>
  </si>
  <si>
    <t>Sweden</t>
  </si>
  <si>
    <t>Tunisia</t>
  </si>
  <si>
    <t>Spain</t>
  </si>
  <si>
    <t>Cape Verde</t>
  </si>
  <si>
    <t>Belgium</t>
  </si>
  <si>
    <t>Egypt</t>
  </si>
  <si>
    <t>Saudi Arabia</t>
  </si>
  <si>
    <t>Uruguay</t>
  </si>
  <si>
    <t>IR Iran</t>
  </si>
  <si>
    <t>New Zealand</t>
  </si>
  <si>
    <t>France</t>
  </si>
  <si>
    <t>Senegal</t>
  </si>
  <si>
    <t>Iraq</t>
  </si>
  <si>
    <t>Norway</t>
  </si>
  <si>
    <t>Argentina</t>
  </si>
  <si>
    <t>Algeria</t>
  </si>
  <si>
    <t>Austria</t>
  </si>
  <si>
    <t>Jordan</t>
  </si>
  <si>
    <t>Portugal</t>
  </si>
  <si>
    <t>DR Congo</t>
  </si>
  <si>
    <t>England</t>
  </si>
  <si>
    <t>Croatia</t>
  </si>
  <si>
    <t>Ghana</t>
  </si>
  <si>
    <t>Panama</t>
  </si>
  <si>
    <t>Uzbekistan</t>
  </si>
  <si>
    <t>Colombia</t>
  </si>
  <si>
    <t>Round of 32</t>
  </si>
  <si>
    <t/>
  </si>
  <si>
    <t>Round of 16</t>
  </si>
  <si>
    <t>Round of 1/8</t>
  </si>
  <si>
    <t>Semi-Final</t>
  </si>
  <si>
    <t>Third place</t>
  </si>
  <si>
    <t>Final</t>
  </si>
  <si>
    <t>Giá trị gia tăng</t>
  </si>
  <si>
    <t>Dự đoán từ vòng bảng đến
kết thúc vòng 1/32</t>
  </si>
  <si>
    <t>Dự đoán từ lúc bắt đầu
đến kết thúc vòng 1/16</t>
  </si>
  <si>
    <t>Lựa chọn đội vô địch</t>
  </si>
  <si>
    <t>Đóng</t>
  </si>
  <si>
    <t>Thưởng</t>
  </si>
  <si>
    <t>1 x 4</t>
  </si>
  <si>
    <t>1 x 2</t>
  </si>
  <si>
    <t>Lựa chọn 2 đội Chung kết</t>
  </si>
  <si>
    <t>1 x 6</t>
  </si>
  <si>
    <t>1 x 3</t>
  </si>
  <si>
    <t>Thể lệ:</t>
  </si>
  <si>
    <t>Thể lệ Game Worldcup 2026</t>
  </si>
  <si>
    <t>Nội dung</t>
  </si>
  <si>
    <t xml:space="preserve">Sai </t>
  </si>
  <si>
    <t>Đúng hướng - Sai tỉ số</t>
  </si>
  <si>
    <t>Đúng tỉ số</t>
  </si>
  <si>
    <t>+ Vòng bảng</t>
  </si>
  <si>
    <t>72 trận</t>
  </si>
  <si>
    <t>+ Vòng 1/32</t>
  </si>
  <si>
    <t>16 trận</t>
  </si>
  <si>
    <t>+ Vòng 1/16</t>
  </si>
  <si>
    <t>8 trận</t>
  </si>
  <si>
    <t>+ Vòng 1/8</t>
  </si>
  <si>
    <t>4 trận</t>
  </si>
  <si>
    <t>+ Vòng bán kết</t>
  </si>
  <si>
    <t>2 trận</t>
  </si>
  <si>
    <t>+ Trận tranh ba tư và chung kết</t>
  </si>
  <si>
    <t xml:space="preserve"> Nếu đoán đúng hoàn toàn 30 trận/104 trận: thưởng 200k + 3 cốc bia</t>
  </si>
  <si>
    <t>A.Chung</t>
  </si>
  <si>
    <t>A. Linh</t>
  </si>
  <si>
    <t>Đức</t>
  </si>
  <si>
    <t>Hưng</t>
  </si>
  <si>
    <t>Tổng thu</t>
  </si>
  <si>
    <t>Còn lại</t>
  </si>
  <si>
    <t>Tổng Chi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</si>
</sst>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\ [$đ-42A]"/>
    <numFmt numFmtId="165" formatCode="hh:mm"/>
    <numFmt numFmtId="166" formatCode="ddd\,\ dd/mm/yyyy\ "/>
    <numFmt numFmtId="167" formatCode="d/m"/>
  </numFmts>
  <fonts count="18">
    <font>
      <sz val="11.0"/>
      <color theme="1"/>
      <name val="Calibri"/>
      <scheme val="minor"/>
    </font>
    <font>
      <b/>
      <sz val="11.0"/>
      <color theme="1"/>
      <name val="Calibri"/>
      <scheme val="minor"/>
    </font>
    <font>
      <b/>
      <i/>
      <sz val="11.0"/>
      <color theme="1"/>
      <name val="Calibri"/>
      <scheme val="minor"/>
    </font>
    <font/>
    <font>
      <i/>
      <sz val="11.0"/>
      <color theme="1"/>
      <name val="Calibri"/>
      <scheme val="minor"/>
    </font>
    <font>
      <b/>
      <sz val="11.0"/>
      <color rgb="FF000000"/>
      <name val="&quot;Aptos Narrow&quot;"/>
    </font>
    <font>
      <b/>
      <sz val="11.0"/>
      <color rgb="FF000000"/>
      <name val="Calibri"/>
      <scheme val="minor"/>
    </font>
    <font>
      <b/>
      <sz val="15.0"/>
      <color theme="1"/>
      <name val="Calibri"/>
      <scheme val="minor"/>
    </font>
    <font>
      <b/>
      <color theme="1"/>
      <name val="Calibri"/>
      <scheme val="minor"/>
    </font>
    <font>
      <b/>
      <sz val="13.0"/>
      <color theme="1"/>
      <name val="Calibri"/>
      <scheme val="minor"/>
    </font>
    <font>
      <i/>
      <sz val="13.0"/>
      <color theme="1"/>
      <name val="Calibri"/>
      <scheme val="minor"/>
    </font>
    <font>
      <b/>
      <sz val="11.0"/>
      <color rgb="FF000000"/>
      <name val="Arial"/>
    </font>
    <font>
      <b/>
      <sz val="18.0"/>
      <color rgb="FFFF0000"/>
      <name val="Calibri"/>
      <scheme val="minor"/>
    </font>
    <font>
      <sz val="18.0"/>
      <color theme="1"/>
      <name val="Calibri"/>
      <scheme val="minor"/>
    </font>
    <font>
      <b/>
      <sz val="18.0"/>
      <color rgb="FFFFFF00"/>
      <name val="Calibri"/>
      <scheme val="minor"/>
    </font>
    <font>
      <b/>
      <sz val="14.0"/>
      <color theme="1"/>
      <name val="Calibri"/>
      <scheme val="minor"/>
    </font>
    <font>
      <sz val="14.0"/>
      <color theme="1"/>
      <name val="Calibri"/>
      <scheme val="minor"/>
    </font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EAD1DC"/>
        <bgColor rgb="FFEAD1DC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1" numFmtId="164" xfId="0" applyAlignment="1" applyFont="1" applyNumberFormat="1">
      <alignment horizontal="right" readingOrder="0" vertical="center"/>
    </xf>
    <xf borderId="0" fillId="0" fontId="1" numFmtId="3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0" numFmtId="0" xfId="0" applyAlignment="1" applyFont="1">
      <alignment horizontal="center" readingOrder="0" shrinkToFit="0" vertical="center" wrapText="1"/>
    </xf>
    <xf borderId="0" fillId="0" fontId="0" numFmtId="0" xfId="0" applyAlignment="1" applyFont="1">
      <alignment horizontal="center" readingOrder="0" shrinkToFit="0" wrapText="1"/>
    </xf>
    <xf borderId="0" fillId="0" fontId="0" numFmtId="0" xfId="0" applyFont="1"/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3" fillId="0" fontId="3" numFmtId="0" xfId="0" applyBorder="1" applyFont="1"/>
    <xf borderId="0" fillId="0" fontId="0" numFmtId="0" xfId="0" applyAlignment="1" applyFont="1">
      <alignment horizontal="center" shrinkToFit="0" vertical="center" wrapText="1"/>
    </xf>
    <xf borderId="0" fillId="0" fontId="0" numFmtId="164" xfId="0" applyAlignment="1" applyFont="1" applyNumberFormat="1">
      <alignment horizontal="center" shrinkToFit="0" vertical="center" wrapText="1"/>
    </xf>
    <xf borderId="0" fillId="0" fontId="0" numFmtId="0" xfId="0" applyAlignment="1" applyFont="1">
      <alignment horizontal="center" shrinkToFit="0" wrapText="1"/>
    </xf>
    <xf borderId="0" fillId="0" fontId="0" numFmtId="0" xfId="0" applyAlignment="1" applyFont="1">
      <alignment horizontal="center" shrinkToFit="1" vertical="center" wrapText="0"/>
    </xf>
    <xf borderId="4" fillId="0" fontId="0" numFmtId="0" xfId="0" applyAlignment="1" applyBorder="1" applyFont="1">
      <alignment horizontal="center" shrinkToFit="1" vertical="center" wrapText="0"/>
    </xf>
    <xf borderId="4" fillId="0" fontId="1" numFmtId="0" xfId="0" applyAlignment="1" applyBorder="1" applyFont="1">
      <alignment horizontal="center" readingOrder="0" vertical="center"/>
    </xf>
    <xf borderId="2" fillId="0" fontId="0" numFmtId="165" xfId="0" applyAlignment="1" applyBorder="1" applyFont="1" applyNumberFormat="1">
      <alignment horizontal="center" vertical="center"/>
    </xf>
    <xf borderId="4" fillId="0" fontId="1" numFmtId="164" xfId="0" applyAlignment="1" applyBorder="1" applyFont="1" applyNumberFormat="1">
      <alignment horizontal="center" readingOrder="0" vertical="center"/>
    </xf>
    <xf borderId="1" fillId="0" fontId="1" numFmtId="164" xfId="0" applyAlignment="1" applyBorder="1" applyFont="1" applyNumberFormat="1">
      <alignment horizontal="center" readingOrder="0" vertical="center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0" numFmtId="0" xfId="0" applyAlignment="1" applyFont="1">
      <alignment horizontal="center" readingOrder="0" vertical="center"/>
    </xf>
    <xf borderId="0" fillId="0" fontId="0" numFmtId="0" xfId="0" applyAlignment="1" applyFont="1">
      <alignment vertical="center"/>
    </xf>
    <xf borderId="1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shrinkToFit="0" vertical="center" wrapText="1"/>
    </xf>
    <xf borderId="0" fillId="0" fontId="0" numFmtId="0" xfId="0" applyAlignment="1" applyFont="1">
      <alignment horizontal="center" readingOrder="0" shrinkToFit="1" vertical="center" wrapText="0"/>
    </xf>
    <xf borderId="4" fillId="0" fontId="0" numFmtId="166" xfId="0" applyAlignment="1" applyBorder="1" applyFont="1" applyNumberFormat="1">
      <alignment horizontal="center" vertical="bottom"/>
    </xf>
    <xf borderId="2" fillId="0" fontId="0" numFmtId="20" xfId="0" applyAlignment="1" applyBorder="1" applyFont="1" applyNumberFormat="1">
      <alignment horizontal="center" vertical="bottom"/>
    </xf>
    <xf borderId="4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4" fillId="0" fontId="5" numFmtId="0" xfId="0" applyAlignment="1" applyBorder="1" applyFont="1">
      <alignment horizontal="center" readingOrder="0" shrinkToFit="0" vertical="bottom" wrapText="0"/>
    </xf>
    <xf borderId="4" fillId="0" fontId="6" numFmtId="0" xfId="0" applyAlignment="1" applyBorder="1" applyFont="1">
      <alignment horizontal="center" readingOrder="0"/>
    </xf>
    <xf borderId="4" fillId="3" fontId="1" numFmtId="0" xfId="0" applyAlignment="1" applyBorder="1" applyFill="1" applyFont="1">
      <alignment horizontal="center" readingOrder="0"/>
    </xf>
    <xf borderId="0" fillId="0" fontId="0" numFmtId="0" xfId="0" applyAlignment="1" applyFont="1">
      <alignment horizontal="center" readingOrder="0"/>
    </xf>
    <xf borderId="0" fillId="0" fontId="0" numFmtId="164" xfId="0" applyAlignment="1" applyFont="1" applyNumberFormat="1">
      <alignment horizontal="center" readingOrder="0"/>
    </xf>
    <xf borderId="0" fillId="0" fontId="0" numFmtId="0" xfId="0" applyAlignment="1" applyFont="1">
      <alignment horizontal="center" vertical="bottom"/>
    </xf>
    <xf borderId="5" fillId="0" fontId="0" numFmtId="166" xfId="0" applyAlignment="1" applyBorder="1" applyFont="1" applyNumberFormat="1">
      <alignment horizontal="center" vertical="bottom"/>
    </xf>
    <xf borderId="6" fillId="0" fontId="0" numFmtId="20" xfId="0" applyAlignment="1" applyBorder="1" applyFont="1" applyNumberForma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0" numFmtId="20" xfId="0" applyAlignment="1" applyBorder="1" applyFont="1" applyNumberFormat="1">
      <alignment horizontal="center" vertical="bottom"/>
    </xf>
    <xf borderId="4" fillId="0" fontId="1" numFmtId="0" xfId="0" applyAlignment="1" applyBorder="1" applyFont="1">
      <alignment horizontal="center" vertical="bottom"/>
    </xf>
    <xf borderId="5" fillId="0" fontId="0" numFmtId="20" xfId="0" applyAlignment="1" applyBorder="1" applyFont="1" applyNumberFormat="1">
      <alignment horizontal="center" vertical="bottom"/>
    </xf>
    <xf borderId="0" fillId="0" fontId="0" numFmtId="167" xfId="0" applyAlignment="1" applyFont="1" applyNumberFormat="1">
      <alignment horizontal="center" readingOrder="0" shrinkToFit="1" vertical="center" wrapText="0"/>
    </xf>
    <xf borderId="4" fillId="0" fontId="0" numFmtId="166" xfId="0" applyAlignment="1" applyBorder="1" applyFont="1" applyNumberFormat="1">
      <alignment horizontal="center" shrinkToFit="0" vertical="bottom" wrapText="0"/>
    </xf>
    <xf borderId="4" fillId="0" fontId="0" numFmtId="20" xfId="0" applyAlignment="1" applyBorder="1" applyFont="1" applyNumberFormat="1">
      <alignment horizontal="center" shrinkToFit="0" vertical="bottom" wrapText="0"/>
    </xf>
    <xf borderId="4" fillId="0" fontId="1" numFmtId="0" xfId="0" applyAlignment="1" applyBorder="1" applyFont="1">
      <alignment horizontal="center" vertical="center"/>
    </xf>
    <xf borderId="4" fillId="0" fontId="0" numFmtId="166" xfId="0" applyAlignment="1" applyBorder="1" applyFont="1" applyNumberFormat="1">
      <alignment horizontal="center" shrinkToFit="0" wrapText="0"/>
    </xf>
    <xf borderId="4" fillId="0" fontId="0" numFmtId="20" xfId="0" applyAlignment="1" applyBorder="1" applyFont="1" applyNumberFormat="1">
      <alignment horizontal="center" shrinkToFit="0" wrapText="0"/>
    </xf>
    <xf borderId="4" fillId="0" fontId="1" numFmtId="0" xfId="0" applyAlignment="1" applyBorder="1" applyFont="1">
      <alignment horizontal="center"/>
    </xf>
    <xf borderId="4" fillId="0" fontId="0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left" readingOrder="0"/>
    </xf>
    <xf borderId="4" fillId="0" fontId="1" numFmtId="0" xfId="0" applyAlignment="1" applyBorder="1" applyFont="1">
      <alignment horizontal="center" shrinkToFit="1" vertical="center" wrapText="0"/>
    </xf>
    <xf borderId="4" fillId="0" fontId="1" numFmtId="0" xfId="0" applyAlignment="1" applyBorder="1" applyFont="1">
      <alignment horizontal="center" vertical="top"/>
    </xf>
    <xf borderId="0" fillId="0" fontId="1" numFmtId="0" xfId="0" applyAlignment="1" applyFont="1">
      <alignment horizontal="center" readingOrder="0" shrinkToFit="1" vertical="center" wrapText="0"/>
    </xf>
    <xf borderId="4" fillId="0" fontId="0" numFmtId="166" xfId="0" applyAlignment="1" applyBorder="1" applyFont="1" applyNumberFormat="1">
      <alignment horizontal="center" shrinkToFit="0" vertical="center" wrapText="0"/>
    </xf>
    <xf borderId="4" fillId="0" fontId="0" numFmtId="20" xfId="0" applyAlignment="1" applyBorder="1" applyFont="1" applyNumberFormat="1">
      <alignment horizontal="center" shrinkToFit="0" vertical="center" wrapText="0"/>
    </xf>
    <xf borderId="4" fillId="0" fontId="5" numFmtId="0" xfId="0" applyAlignment="1" applyBorder="1" applyFont="1">
      <alignment horizontal="center" readingOrder="0" shrinkToFit="0" wrapText="0"/>
    </xf>
    <xf borderId="4" fillId="3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0" numFmtId="0" xfId="0" applyAlignment="1" applyFont="1">
      <alignment horizontal="center" vertical="center"/>
    </xf>
    <xf borderId="4" fillId="0" fontId="1" numFmtId="167" xfId="0" applyAlignment="1" applyBorder="1" applyFont="1" applyNumberFormat="1">
      <alignment horizontal="center" shrinkToFit="0" vertical="center" wrapText="0"/>
    </xf>
    <xf borderId="4" fillId="0" fontId="0" numFmtId="0" xfId="0" applyAlignment="1" applyBorder="1" applyFont="1">
      <alignment horizontal="center" readingOrder="0" shrinkToFit="1" vertical="center" wrapText="0"/>
    </xf>
    <xf borderId="0" fillId="0" fontId="0" numFmtId="164" xfId="0" applyAlignment="1" applyFont="1" applyNumberFormat="1">
      <alignment horizontal="center" readingOrder="0" vertical="center"/>
    </xf>
    <xf borderId="4" fillId="0" fontId="1" numFmtId="0" xfId="0" applyAlignment="1" applyBorder="1" applyFont="1">
      <alignment horizontal="center" shrinkToFit="1" vertical="center" wrapText="0"/>
    </xf>
    <xf borderId="4" fillId="0" fontId="1" numFmtId="20" xfId="0" applyAlignment="1" applyBorder="1" applyFont="1" applyNumberFormat="1">
      <alignment horizontal="center" shrinkToFit="0" vertical="center" wrapText="0"/>
    </xf>
    <xf borderId="0" fillId="0" fontId="1" numFmtId="0" xfId="0" applyAlignment="1" applyFont="1">
      <alignment horizontal="center" vertical="center"/>
    </xf>
    <xf borderId="4" fillId="0" fontId="1" numFmtId="0" xfId="0" applyAlignment="1" applyBorder="1" applyFont="1">
      <alignment horizontal="center" readingOrder="0" shrinkToFit="1" vertical="center" wrapText="0"/>
    </xf>
    <xf borderId="4" fillId="0" fontId="1" numFmtId="0" xfId="0" applyAlignment="1" applyBorder="1" applyFont="1">
      <alignment horizontal="center" readingOrder="0" shrinkToFit="0" vertical="center" wrapText="0"/>
    </xf>
    <xf borderId="0" fillId="0" fontId="1" numFmtId="0" xfId="0" applyFont="1"/>
    <xf borderId="4" fillId="0" fontId="0" numFmtId="166" xfId="0" applyBorder="1" applyFont="1" applyNumberFormat="1"/>
    <xf borderId="4" fillId="0" fontId="0" numFmtId="20" xfId="0" applyBorder="1" applyFont="1" applyNumberFormat="1"/>
    <xf borderId="4" fillId="0" fontId="1" numFmtId="0" xfId="0" applyBorder="1" applyFont="1"/>
    <xf borderId="4" fillId="0" fontId="1" numFmtId="0" xfId="0" applyAlignment="1" applyBorder="1" applyFont="1">
      <alignment readingOrder="0"/>
    </xf>
    <xf borderId="4" fillId="0" fontId="1" numFmtId="0" xfId="0" applyAlignment="1" applyBorder="1" applyFont="1">
      <alignment horizontal="center"/>
    </xf>
    <xf borderId="4" fillId="3" fontId="1" numFmtId="0" xfId="0" applyAlignment="1" applyBorder="1" applyFont="1">
      <alignment horizontal="center"/>
    </xf>
    <xf borderId="0" fillId="0" fontId="0" numFmtId="0" xfId="0" applyAlignment="1" applyFont="1">
      <alignment vertical="bottom"/>
    </xf>
    <xf borderId="4" fillId="0" fontId="1" numFmtId="0" xfId="0" applyBorder="1" applyFont="1"/>
    <xf borderId="4" fillId="0" fontId="0" numFmtId="0" xfId="0" applyAlignment="1" applyBorder="1" applyFont="1">
      <alignment horizontal="center"/>
    </xf>
    <xf borderId="4" fillId="0" fontId="0" numFmtId="0" xfId="0" applyBorder="1" applyFont="1"/>
    <xf borderId="0" fillId="0" fontId="0" numFmtId="0" xfId="0" applyAlignment="1" applyFont="1">
      <alignment readingOrder="0"/>
    </xf>
    <xf borderId="4" fillId="0" fontId="0" numFmtId="0" xfId="0" applyAlignment="1" applyBorder="1" applyFont="1">
      <alignment readingOrder="0"/>
    </xf>
    <xf borderId="0" fillId="0" fontId="0" numFmtId="0" xfId="0" applyFont="1"/>
    <xf borderId="0" fillId="0" fontId="0" numFmtId="0" xfId="0" applyAlignment="1" applyFont="1">
      <alignment horizontal="center"/>
    </xf>
    <xf borderId="0" fillId="0" fontId="0" numFmtId="0" xfId="0" applyAlignment="1" applyFont="1">
      <alignment horizontal="left" readingOrder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readingOrder="0" shrinkToFit="0" vertical="center" wrapText="1"/>
    </xf>
    <xf borderId="1" fillId="3" fontId="7" numFmtId="0" xfId="0" applyAlignment="1" applyBorder="1" applyFont="1">
      <alignment horizontal="center" readingOrder="0" vertical="center"/>
    </xf>
    <xf borderId="1" fillId="4" fontId="7" numFmtId="0" xfId="0" applyAlignment="1" applyBorder="1" applyFill="1" applyFont="1">
      <alignment horizontal="center" readingOrder="0" shrinkToFit="0" vertical="center" wrapText="1"/>
    </xf>
    <xf borderId="1" fillId="5" fontId="7" numFmtId="0" xfId="0" applyAlignment="1" applyBorder="1" applyFill="1" applyFont="1">
      <alignment horizontal="center" readingOrder="0" vertical="center"/>
    </xf>
    <xf borderId="0" fillId="0" fontId="8" numFmtId="0" xfId="0" applyAlignment="1" applyFont="1">
      <alignment horizontal="center" vertical="center"/>
    </xf>
    <xf borderId="7" fillId="3" fontId="7" numFmtId="0" xfId="0" applyAlignment="1" applyBorder="1" applyFont="1">
      <alignment horizontal="center" readingOrder="0" vertical="center"/>
    </xf>
    <xf borderId="4" fillId="6" fontId="7" numFmtId="0" xfId="0" applyAlignment="1" applyBorder="1" applyFill="1" applyFont="1">
      <alignment horizontal="center" readingOrder="0" vertical="center"/>
    </xf>
    <xf borderId="1" fillId="6" fontId="7" numFmtId="164" xfId="0" applyAlignment="1" applyBorder="1" applyFont="1" applyNumberFormat="1">
      <alignment horizontal="center" readingOrder="0" vertical="center"/>
    </xf>
    <xf borderId="5" fillId="0" fontId="3" numFmtId="0" xfId="0" applyBorder="1" applyFont="1"/>
    <xf borderId="4" fillId="7" fontId="7" numFmtId="0" xfId="0" applyAlignment="1" applyBorder="1" applyFill="1" applyFont="1">
      <alignment horizontal="center" readingOrder="0" vertical="center"/>
    </xf>
    <xf borderId="4" fillId="7" fontId="7" numFmtId="164" xfId="0" applyAlignment="1" applyBorder="1" applyFont="1" applyNumberFormat="1">
      <alignment horizontal="center" readingOrder="0" vertical="center"/>
    </xf>
    <xf borderId="1" fillId="0" fontId="9" numFmtId="0" xfId="0" applyAlignment="1" applyBorder="1" applyFont="1">
      <alignment horizontal="center" readingOrder="0" vertical="center"/>
    </xf>
    <xf borderId="1" fillId="0" fontId="9" numFmtId="164" xfId="0" applyAlignment="1" applyBorder="1" applyFont="1" applyNumberFormat="1">
      <alignment horizontal="center" readingOrder="0" shrinkToFit="0" vertical="center" wrapText="1"/>
    </xf>
    <xf borderId="4" fillId="0" fontId="9" numFmtId="164" xfId="0" applyAlignment="1" applyBorder="1" applyFont="1" applyNumberFormat="1">
      <alignment horizontal="center" readingOrder="0" shrinkToFit="0" vertical="center" wrapText="1"/>
    </xf>
    <xf quotePrefix="1" borderId="1" fillId="0" fontId="9" numFmtId="0" xfId="0" applyAlignment="1" applyBorder="1" applyFont="1">
      <alignment readingOrder="0" vertical="center"/>
    </xf>
    <xf borderId="2" fillId="0" fontId="10" numFmtId="0" xfId="0" applyAlignment="1" applyBorder="1" applyFont="1">
      <alignment readingOrder="0" vertical="center"/>
    </xf>
    <xf borderId="1" fillId="0" fontId="9" numFmtId="164" xfId="0" applyAlignment="1" applyBorder="1" applyFont="1" applyNumberFormat="1">
      <alignment horizontal="center" readingOrder="0" vertical="center"/>
    </xf>
    <xf borderId="4" fillId="0" fontId="9" numFmtId="164" xfId="0" applyAlignment="1" applyBorder="1" applyFont="1" applyNumberFormat="1">
      <alignment horizontal="center" readingOrder="0" vertical="center"/>
    </xf>
    <xf quotePrefix="1" borderId="1" fillId="0" fontId="9" numFmtId="0" xfId="0" applyAlignment="1" applyBorder="1" applyFont="1">
      <alignment horizontal="left" readingOrder="0" vertical="center"/>
    </xf>
    <xf borderId="2" fillId="0" fontId="10" numFmtId="0" xfId="0" applyAlignment="1" applyBorder="1" applyFont="1">
      <alignment horizontal="left" readingOrder="0" vertical="center"/>
    </xf>
    <xf borderId="4" fillId="7" fontId="11" numFmtId="0" xfId="0" applyAlignment="1" applyBorder="1" applyFont="1">
      <alignment horizontal="center" shrinkToFit="0" vertical="center" wrapText="1"/>
    </xf>
    <xf borderId="4" fillId="4" fontId="11" numFmtId="0" xfId="0" applyAlignment="1" applyBorder="1" applyFont="1">
      <alignment horizontal="center" readingOrder="0" shrinkToFit="0" vertical="center" wrapText="1"/>
    </xf>
    <xf borderId="4" fillId="4" fontId="11" numFmtId="0" xfId="0" applyAlignment="1" applyBorder="1" applyFont="1">
      <alignment horizontal="center" shrinkToFit="0" vertical="center" wrapText="1"/>
    </xf>
    <xf borderId="4" fillId="7" fontId="11" numFmtId="0" xfId="0" applyAlignment="1" applyBorder="1" applyFont="1">
      <alignment horizontal="center" readingOrder="0" shrinkToFit="0" vertical="center" wrapText="1"/>
    </xf>
    <xf borderId="1" fillId="3" fontId="12" numFmtId="0" xfId="0" applyAlignment="1" applyBorder="1" applyFont="1">
      <alignment horizontal="center" readingOrder="0" vertical="center"/>
    </xf>
    <xf borderId="4" fillId="3" fontId="12" numFmtId="164" xfId="0" applyAlignment="1" applyBorder="1" applyFont="1" applyNumberFormat="1">
      <alignment vertical="center"/>
    </xf>
    <xf borderId="0" fillId="0" fontId="13" numFmtId="0" xfId="0" applyAlignment="1" applyFont="1">
      <alignment vertical="center"/>
    </xf>
    <xf borderId="4" fillId="8" fontId="14" numFmtId="0" xfId="0" applyAlignment="1" applyBorder="1" applyFill="1" applyFont="1">
      <alignment readingOrder="0" vertical="center"/>
    </xf>
    <xf borderId="4" fillId="8" fontId="14" numFmtId="164" xfId="0" applyAlignment="1" applyBorder="1" applyFont="1" applyNumberFormat="1">
      <alignment vertical="center"/>
    </xf>
    <xf borderId="1" fillId="9" fontId="15" numFmtId="0" xfId="0" applyAlignment="1" applyBorder="1" applyFill="1" applyFont="1">
      <alignment horizontal="center" readingOrder="0"/>
    </xf>
    <xf borderId="4" fillId="9" fontId="15" numFmtId="3" xfId="0" applyBorder="1" applyFont="1" applyNumberFormat="1"/>
    <xf borderId="0" fillId="0" fontId="16" numFmtId="0" xfId="0" applyFont="1"/>
    <xf borderId="4" fillId="0" fontId="16" numFmtId="0" xfId="0" applyAlignment="1" applyBorder="1" applyFont="1">
      <alignment horizontal="center" readingOrder="0"/>
    </xf>
    <xf borderId="4" fillId="0" fontId="16" numFmtId="0" xfId="0" applyAlignment="1" applyBorder="1" applyFont="1">
      <alignment readingOrder="0"/>
    </xf>
    <xf borderId="4" fillId="0" fontId="16" numFmtId="3" xfId="0" applyAlignment="1" applyBorder="1" applyFont="1" applyNumberFormat="1">
      <alignment readingOrder="0"/>
    </xf>
    <xf borderId="4" fillId="10" fontId="16" numFmtId="0" xfId="0" applyAlignment="1" applyBorder="1" applyFill="1" applyFont="1">
      <alignment horizontal="center" readingOrder="0"/>
    </xf>
    <xf borderId="4" fillId="10" fontId="16" numFmtId="0" xfId="0" applyAlignment="1" applyBorder="1" applyFont="1">
      <alignment readingOrder="0"/>
    </xf>
    <xf borderId="4" fillId="10" fontId="16" numFmtId="3" xfId="0" applyAlignment="1" applyBorder="1" applyFont="1" applyNumberFormat="1">
      <alignment readingOrder="0"/>
    </xf>
    <xf borderId="4" fillId="0" fontId="16" numFmtId="0" xfId="0" applyAlignment="1" applyBorder="1" applyFont="1">
      <alignment horizontal="center"/>
    </xf>
    <xf borderId="4" fillId="0" fontId="16" numFmtId="0" xfId="0" applyBorder="1" applyFont="1"/>
    <xf borderId="4" fillId="0" fontId="16" numFmtId="3" xfId="0" applyBorder="1" applyFont="1" applyNumberFormat="1"/>
    <xf borderId="0" fillId="0" fontId="16" numFmtId="0" xfId="0" applyAlignment="1" applyFont="1">
      <alignment horizontal="center"/>
    </xf>
    <xf borderId="4" fillId="0" fontId="17" numFmtId="0" xfId="0" applyBorder="1" applyFont="1"/>
    <xf borderId="1" fillId="0" fontId="17" numFmtId="0" xfId="0" applyAlignment="1" applyBorder="1" applyFont="1">
      <alignment horizontal="center" readingOrder="0"/>
    </xf>
    <xf borderId="4" fillId="0" fontId="17" numFmtId="0" xfId="0" applyAlignment="1" applyBorder="1" applyFont="1">
      <alignment readingOrder="0"/>
    </xf>
    <xf borderId="0" fillId="0" fontId="17" numFmtId="0" xfId="0" applyAlignment="1" applyFont="1">
      <alignment readingOrder="0"/>
    </xf>
    <xf borderId="4" fillId="0" fontId="9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2" pivot="0" name="WC26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O45:DO45" displayName="Table_1" name="Table_1" id="1">
  <tableColumns count="5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</tableColumns>
  <tableStyleInfo name="WC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.14"/>
    <col customWidth="1" min="2" max="2" width="9.0"/>
    <col customWidth="1" min="3" max="3" width="17.14"/>
    <col customWidth="1" min="4" max="4" width="10.0"/>
    <col customWidth="1" min="5" max="5" width="18.86"/>
    <col customWidth="1" min="6" max="7" width="5.86"/>
    <col customWidth="1" min="8" max="8" width="15.29"/>
    <col customWidth="1" min="9" max="65" width="5.43"/>
    <col customWidth="1" hidden="1" min="66" max="119" width="7.71"/>
    <col customWidth="1" min="120" max="120" width="6.86"/>
  </cols>
  <sheetData>
    <row r="1">
      <c r="A1" s="1"/>
      <c r="B1" s="2" t="s">
        <v>0</v>
      </c>
      <c r="F1" s="3"/>
      <c r="I1" s="4">
        <v>1.0</v>
      </c>
      <c r="K1" s="4">
        <v>2.0</v>
      </c>
      <c r="M1" s="4">
        <v>3.0</v>
      </c>
      <c r="O1" s="4">
        <v>4.0</v>
      </c>
      <c r="Q1" s="4">
        <v>5.0</v>
      </c>
      <c r="S1" s="4">
        <v>6.0</v>
      </c>
      <c r="U1" s="4">
        <v>7.0</v>
      </c>
      <c r="W1" s="4">
        <v>8.0</v>
      </c>
      <c r="Y1" s="4">
        <v>9.0</v>
      </c>
      <c r="AA1" s="4">
        <v>10.0</v>
      </c>
      <c r="AC1" s="4">
        <v>11.0</v>
      </c>
      <c r="AE1" s="4">
        <v>12.0</v>
      </c>
      <c r="AG1" s="4">
        <v>13.0</v>
      </c>
      <c r="AI1" s="4">
        <v>14.0</v>
      </c>
      <c r="AK1" s="4">
        <v>15.0</v>
      </c>
      <c r="AM1" s="4">
        <v>16.0</v>
      </c>
      <c r="AO1" s="4">
        <v>17.0</v>
      </c>
      <c r="AQ1" s="4">
        <v>18.0</v>
      </c>
      <c r="AS1" s="4">
        <v>19.0</v>
      </c>
      <c r="AU1" s="4">
        <v>20.0</v>
      </c>
      <c r="AW1" s="4">
        <v>21.0</v>
      </c>
      <c r="AY1" s="4">
        <v>22.0</v>
      </c>
      <c r="BA1" s="4">
        <v>23.0</v>
      </c>
      <c r="BC1" s="4">
        <v>24.0</v>
      </c>
      <c r="BE1" s="4">
        <v>25.0</v>
      </c>
      <c r="BG1" s="4">
        <v>26.0</v>
      </c>
      <c r="BI1" s="4">
        <v>27.0</v>
      </c>
      <c r="BK1" s="4"/>
      <c r="BM1" s="5"/>
      <c r="BN1" s="6">
        <v>1.0</v>
      </c>
      <c r="BO1" s="6"/>
      <c r="BP1" s="6">
        <v>2.0</v>
      </c>
      <c r="BQ1" s="6"/>
      <c r="BR1" s="6">
        <v>3.0</v>
      </c>
      <c r="BS1" s="6"/>
      <c r="BT1" s="6">
        <v>4.0</v>
      </c>
      <c r="BU1" s="6"/>
      <c r="BV1" s="6">
        <v>5.0</v>
      </c>
      <c r="BW1" s="6"/>
      <c r="BX1" s="6">
        <v>6.0</v>
      </c>
      <c r="BY1" s="6"/>
      <c r="BZ1" s="6">
        <v>7.0</v>
      </c>
      <c r="CA1" s="6"/>
      <c r="CB1" s="6">
        <v>8.0</v>
      </c>
      <c r="CC1" s="6"/>
      <c r="CD1" s="6">
        <v>9.0</v>
      </c>
      <c r="CE1" s="6"/>
      <c r="CF1" s="6">
        <v>10.0</v>
      </c>
      <c r="CG1" s="6"/>
      <c r="CH1" s="6">
        <v>11.0</v>
      </c>
      <c r="CI1" s="6"/>
      <c r="CJ1" s="6">
        <v>12.0</v>
      </c>
      <c r="CK1" s="6"/>
      <c r="CL1" s="6">
        <v>13.0</v>
      </c>
      <c r="CM1" s="6"/>
      <c r="CN1" s="6">
        <v>14.0</v>
      </c>
      <c r="CO1" s="6"/>
      <c r="CP1" s="6">
        <v>15.0</v>
      </c>
      <c r="CQ1" s="6"/>
      <c r="CR1" s="6">
        <v>16.0</v>
      </c>
      <c r="CS1" s="6"/>
      <c r="CT1" s="6">
        <v>17.0</v>
      </c>
      <c r="CU1" s="6"/>
      <c r="CV1" s="6">
        <v>18.0</v>
      </c>
      <c r="CW1" s="6"/>
      <c r="CX1" s="7">
        <v>19.0</v>
      </c>
      <c r="CY1" s="7"/>
      <c r="CZ1" s="7">
        <v>20.0</v>
      </c>
      <c r="DA1" s="7"/>
      <c r="DB1" s="7">
        <v>21.0</v>
      </c>
      <c r="DC1" s="7"/>
      <c r="DD1" s="7">
        <v>22.0</v>
      </c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8"/>
    </row>
    <row r="2">
      <c r="A2" s="9"/>
      <c r="B2" s="9"/>
      <c r="I2" s="10">
        <f>BN3</f>
        <v>0</v>
      </c>
      <c r="K2" s="11">
        <f>BP3</f>
        <v>110000</v>
      </c>
      <c r="M2" s="10">
        <f>BR3+M4</f>
        <v>5000</v>
      </c>
      <c r="O2" s="10">
        <f>BT3+O4</f>
        <v>135000</v>
      </c>
      <c r="Q2" s="10">
        <f>BV3+Q4</f>
        <v>155000</v>
      </c>
      <c r="S2" s="10">
        <f>BX3</f>
        <v>305000</v>
      </c>
      <c r="U2" s="11">
        <f>BZ3</f>
        <v>160000</v>
      </c>
      <c r="W2" s="11">
        <f>CB3+W4</f>
        <v>160000</v>
      </c>
      <c r="Y2" s="10">
        <f>CD3</f>
        <v>180000</v>
      </c>
      <c r="AA2" s="11">
        <f>CF3+AA4</f>
        <v>10000</v>
      </c>
      <c r="AC2" s="10">
        <f>CH3+AC4</f>
        <v>35000</v>
      </c>
      <c r="AE2" s="10">
        <f>CJ3+AE4</f>
        <v>155000</v>
      </c>
      <c r="AG2" s="11">
        <f>CL3</f>
        <v>10000</v>
      </c>
      <c r="AI2" s="11">
        <f>CN3</f>
        <v>10000</v>
      </c>
      <c r="AK2" s="11">
        <f>CP3+AK4</f>
        <v>160000</v>
      </c>
      <c r="AM2" s="11">
        <f>CR3</f>
        <v>40000</v>
      </c>
      <c r="AO2" s="11">
        <f>CT3+AO4</f>
        <v>580000</v>
      </c>
      <c r="AQ2" s="11">
        <f>CV3</f>
        <v>170000</v>
      </c>
      <c r="AS2" s="11">
        <f>CX3</f>
        <v>610000</v>
      </c>
      <c r="AU2" s="11">
        <f>CZ3</f>
        <v>50000</v>
      </c>
      <c r="AW2" s="11">
        <f>DB3</f>
        <v>15000</v>
      </c>
      <c r="AY2" s="11">
        <f>DD3</f>
        <v>75000</v>
      </c>
      <c r="BA2" s="11">
        <f>DF3</f>
        <v>180000</v>
      </c>
      <c r="BC2" s="11">
        <f>DH3</f>
        <v>670000</v>
      </c>
      <c r="BE2" s="11">
        <f>DJ3</f>
        <v>180000</v>
      </c>
      <c r="BG2" s="11">
        <f>DL3</f>
        <v>5000</v>
      </c>
      <c r="BI2" s="11">
        <f>DN3</f>
        <v>1015000</v>
      </c>
      <c r="BK2" s="11"/>
      <c r="BM2" s="5"/>
      <c r="BN2" s="12" t="s">
        <v>1</v>
      </c>
      <c r="BO2" s="13"/>
      <c r="BP2" s="14" t="s">
        <v>2</v>
      </c>
      <c r="BQ2" s="13"/>
      <c r="BR2" s="12" t="s">
        <v>3</v>
      </c>
      <c r="BS2" s="13"/>
      <c r="BT2" s="12" t="s">
        <v>4</v>
      </c>
      <c r="BU2" s="13"/>
      <c r="BV2" s="12" t="s">
        <v>5</v>
      </c>
      <c r="BW2" s="13"/>
      <c r="BX2" s="12" t="s">
        <v>6</v>
      </c>
      <c r="BY2" s="13"/>
      <c r="BZ2" s="14" t="s">
        <v>7</v>
      </c>
      <c r="CA2" s="13"/>
      <c r="CB2" s="14" t="s">
        <v>8</v>
      </c>
      <c r="CC2" s="13"/>
      <c r="CD2" s="12" t="s">
        <v>9</v>
      </c>
      <c r="CE2" s="13"/>
      <c r="CF2" s="14" t="s">
        <v>10</v>
      </c>
      <c r="CG2" s="13"/>
      <c r="CH2" s="12" t="s">
        <v>11</v>
      </c>
      <c r="CI2" s="13"/>
      <c r="CJ2" s="12" t="s">
        <v>12</v>
      </c>
      <c r="CK2" s="13"/>
      <c r="CL2" s="14" t="s">
        <v>13</v>
      </c>
      <c r="CM2" s="13"/>
      <c r="CN2" s="14" t="s">
        <v>14</v>
      </c>
      <c r="CO2" s="13"/>
      <c r="CP2" s="14" t="s">
        <v>15</v>
      </c>
      <c r="CQ2" s="13"/>
      <c r="CR2" s="14" t="s">
        <v>16</v>
      </c>
      <c r="CS2" s="13"/>
      <c r="CT2" s="14" t="s">
        <v>17</v>
      </c>
      <c r="CU2" s="13"/>
      <c r="CV2" s="14" t="s">
        <v>18</v>
      </c>
      <c r="CW2" s="13"/>
      <c r="CX2" s="14" t="s">
        <v>19</v>
      </c>
      <c r="CY2" s="13"/>
      <c r="CZ2" s="14" t="s">
        <v>20</v>
      </c>
      <c r="DA2" s="13"/>
      <c r="DB2" s="14" t="s">
        <v>21</v>
      </c>
      <c r="DC2" s="13"/>
      <c r="DD2" s="14" t="s">
        <v>22</v>
      </c>
      <c r="DE2" s="13"/>
      <c r="DF2" s="14" t="s">
        <v>23</v>
      </c>
      <c r="DG2" s="13"/>
      <c r="DH2" s="14" t="s">
        <v>24</v>
      </c>
      <c r="DI2" s="13"/>
      <c r="DJ2" s="14" t="s">
        <v>25</v>
      </c>
      <c r="DK2" s="13"/>
      <c r="DL2" s="14" t="s">
        <v>26</v>
      </c>
      <c r="DM2" s="13"/>
      <c r="DN2" s="14" t="s">
        <v>27</v>
      </c>
      <c r="DO2" s="13"/>
      <c r="DP2" s="8"/>
    </row>
    <row r="3">
      <c r="A3" s="15"/>
      <c r="B3" s="16" t="s">
        <v>28</v>
      </c>
      <c r="C3" s="17"/>
      <c r="D3" s="13"/>
      <c r="E3" s="16" t="s">
        <v>29</v>
      </c>
      <c r="F3" s="17"/>
      <c r="G3" s="17"/>
      <c r="H3" s="13"/>
      <c r="I3" s="12" t="s">
        <v>1</v>
      </c>
      <c r="J3" s="13"/>
      <c r="K3" s="14" t="s">
        <v>2</v>
      </c>
      <c r="L3" s="13"/>
      <c r="M3" s="12" t="s">
        <v>3</v>
      </c>
      <c r="N3" s="13"/>
      <c r="O3" s="12" t="s">
        <v>4</v>
      </c>
      <c r="P3" s="13"/>
      <c r="Q3" s="12" t="s">
        <v>5</v>
      </c>
      <c r="R3" s="13"/>
      <c r="S3" s="12" t="s">
        <v>6</v>
      </c>
      <c r="T3" s="13"/>
      <c r="U3" s="14" t="s">
        <v>7</v>
      </c>
      <c r="V3" s="13"/>
      <c r="W3" s="14" t="s">
        <v>8</v>
      </c>
      <c r="X3" s="13"/>
      <c r="Y3" s="12" t="s">
        <v>9</v>
      </c>
      <c r="Z3" s="13"/>
      <c r="AA3" s="14" t="s">
        <v>10</v>
      </c>
      <c r="AB3" s="13"/>
      <c r="AC3" s="12" t="s">
        <v>11</v>
      </c>
      <c r="AD3" s="13"/>
      <c r="AE3" s="12" t="s">
        <v>12</v>
      </c>
      <c r="AF3" s="13"/>
      <c r="AG3" s="14" t="s">
        <v>13</v>
      </c>
      <c r="AH3" s="13"/>
      <c r="AI3" s="14" t="s">
        <v>14</v>
      </c>
      <c r="AJ3" s="13"/>
      <c r="AK3" s="14" t="s">
        <v>15</v>
      </c>
      <c r="AL3" s="13"/>
      <c r="AM3" s="14" t="s">
        <v>16</v>
      </c>
      <c r="AN3" s="13"/>
      <c r="AO3" s="14" t="s">
        <v>17</v>
      </c>
      <c r="AP3" s="13"/>
      <c r="AQ3" s="14" t="s">
        <v>18</v>
      </c>
      <c r="AR3" s="13"/>
      <c r="AS3" s="14" t="s">
        <v>19</v>
      </c>
      <c r="AT3" s="13"/>
      <c r="AU3" s="14" t="s">
        <v>20</v>
      </c>
      <c r="AV3" s="13"/>
      <c r="AW3" s="14" t="s">
        <v>21</v>
      </c>
      <c r="AX3" s="13"/>
      <c r="AY3" s="14" t="s">
        <v>22</v>
      </c>
      <c r="AZ3" s="13"/>
      <c r="BA3" s="14" t="s">
        <v>23</v>
      </c>
      <c r="BB3" s="13"/>
      <c r="BC3" s="14" t="s">
        <v>24</v>
      </c>
      <c r="BD3" s="13"/>
      <c r="BE3" s="14" t="s">
        <v>25</v>
      </c>
      <c r="BF3" s="13"/>
      <c r="BG3" s="14" t="s">
        <v>26</v>
      </c>
      <c r="BH3" s="13"/>
      <c r="BI3" s="14" t="s">
        <v>27</v>
      </c>
      <c r="BJ3" s="13"/>
      <c r="BK3" s="14"/>
      <c r="BL3" s="13"/>
      <c r="BM3" s="5"/>
      <c r="BN3" s="18">
        <f>SUM(BN7:BN116)</f>
        <v>0</v>
      </c>
      <c r="BO3" s="18"/>
      <c r="BP3" s="19">
        <f>SUM(BP7:BP116)</f>
        <v>110000</v>
      </c>
      <c r="BQ3" s="18"/>
      <c r="BR3" s="18">
        <f>SUM(BR7:BR116)</f>
        <v>5000</v>
      </c>
      <c r="BS3" s="18"/>
      <c r="BT3" s="18">
        <f>SUM(BT7:BT116)</f>
        <v>135000</v>
      </c>
      <c r="BU3" s="18"/>
      <c r="BV3" s="18">
        <f>SUM(BV7:BV116)</f>
        <v>155000</v>
      </c>
      <c r="BW3" s="18"/>
      <c r="BX3" s="19">
        <f>SUM(BX7:BX116)</f>
        <v>305000</v>
      </c>
      <c r="BY3" s="18"/>
      <c r="BZ3" s="19">
        <f>SUM(BZ7:BZ116)</f>
        <v>160000</v>
      </c>
      <c r="CA3" s="18"/>
      <c r="CB3" s="19">
        <f>SUM(CB7:CB116)</f>
        <v>160000</v>
      </c>
      <c r="CC3" s="18"/>
      <c r="CD3" s="19">
        <f>SUM(CD7:CD116)</f>
        <v>180000</v>
      </c>
      <c r="CE3" s="18"/>
      <c r="CF3" s="19">
        <f>SUM(CF7:CF116)</f>
        <v>10000</v>
      </c>
      <c r="CG3" s="18"/>
      <c r="CH3" s="19">
        <f>SUM(CH7:CH116)</f>
        <v>35000</v>
      </c>
      <c r="CI3" s="18"/>
      <c r="CJ3" s="18">
        <f>SUM(CJ7:CJ116)</f>
        <v>155000</v>
      </c>
      <c r="CK3" s="18"/>
      <c r="CL3" s="19">
        <f>SUM(CL7:CL116)</f>
        <v>10000</v>
      </c>
      <c r="CM3" s="18"/>
      <c r="CN3" s="19">
        <f>SUM(CN7:CN116)</f>
        <v>10000</v>
      </c>
      <c r="CO3" s="18"/>
      <c r="CP3" s="19">
        <f>SUM(CP7:CP116)</f>
        <v>160000</v>
      </c>
      <c r="CQ3" s="18"/>
      <c r="CR3" s="19">
        <f>SUM(CR7:CR116)</f>
        <v>40000</v>
      </c>
      <c r="CS3" s="18"/>
      <c r="CT3" s="18">
        <f>SUM(CT7:CT116)</f>
        <v>580000</v>
      </c>
      <c r="CU3" s="18"/>
      <c r="CV3" s="18">
        <f>SUM(CV7:CV116)</f>
        <v>170000</v>
      </c>
      <c r="CW3" s="18"/>
      <c r="CX3" s="18">
        <f>SUM(CX7:CX116)</f>
        <v>610000</v>
      </c>
      <c r="CY3" s="20"/>
      <c r="CZ3" s="19">
        <f>SUM(CZ7:CZ116)</f>
        <v>50000</v>
      </c>
      <c r="DA3" s="20"/>
      <c r="DB3" s="19">
        <f>SUM(DB7:DB116)</f>
        <v>15000</v>
      </c>
      <c r="DC3" s="20"/>
      <c r="DD3" s="19">
        <f>SUM(DD7:DD116)</f>
        <v>75000</v>
      </c>
      <c r="DE3" s="20"/>
      <c r="DF3" s="19">
        <f>SUM(DF7:DF116)</f>
        <v>180000</v>
      </c>
      <c r="DG3" s="20"/>
      <c r="DH3" s="18">
        <f>SUM(DH7:DH116)</f>
        <v>670000</v>
      </c>
      <c r="DI3" s="20"/>
      <c r="DJ3" s="18">
        <f>SUM(DJ7:DJ116)</f>
        <v>180000</v>
      </c>
      <c r="DK3" s="20"/>
      <c r="DL3" s="19">
        <f>SUM(DL7:DL116)</f>
        <v>5000</v>
      </c>
      <c r="DM3" s="20"/>
      <c r="DN3" s="18">
        <f>SUM(DN7:DN116)</f>
        <v>1015000</v>
      </c>
      <c r="DO3" s="20"/>
      <c r="DP3" s="8"/>
    </row>
    <row r="4">
      <c r="A4" s="21"/>
      <c r="B4" s="22"/>
      <c r="C4" s="23"/>
      <c r="D4" s="24"/>
      <c r="E4" s="23"/>
      <c r="F4" s="23"/>
      <c r="G4" s="23"/>
      <c r="H4" s="25"/>
      <c r="I4" s="23"/>
      <c r="J4" s="23"/>
      <c r="K4" s="23"/>
      <c r="L4" s="23"/>
      <c r="M4" s="26"/>
      <c r="N4" s="13"/>
      <c r="O4" s="26"/>
      <c r="P4" s="13"/>
      <c r="Q4" s="26"/>
      <c r="R4" s="13"/>
      <c r="S4" s="23"/>
      <c r="T4" s="23"/>
      <c r="U4" s="23"/>
      <c r="V4" s="23"/>
      <c r="W4" s="26"/>
      <c r="X4" s="13"/>
      <c r="Y4" s="23"/>
      <c r="Z4" s="23"/>
      <c r="AA4" s="26"/>
      <c r="AB4" s="13"/>
      <c r="AC4" s="26"/>
      <c r="AD4" s="13"/>
      <c r="AE4" s="27"/>
      <c r="AF4" s="13"/>
      <c r="AG4" s="23"/>
      <c r="AH4" s="23"/>
      <c r="AI4" s="23"/>
      <c r="AJ4" s="23"/>
      <c r="AK4" s="26"/>
      <c r="AL4" s="13"/>
      <c r="AM4" s="23"/>
      <c r="AN4" s="23"/>
      <c r="AO4" s="26"/>
      <c r="AP4" s="1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8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8"/>
    </row>
    <row r="5" hidden="1">
      <c r="A5" s="21"/>
      <c r="B5" s="22"/>
      <c r="C5" s="23"/>
      <c r="D5" s="24"/>
      <c r="E5" s="31" t="s">
        <v>30</v>
      </c>
      <c r="F5" s="17"/>
      <c r="G5" s="17"/>
      <c r="H5" s="1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32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8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8"/>
    </row>
    <row r="6" hidden="1">
      <c r="A6" s="21"/>
      <c r="B6" s="22"/>
      <c r="C6" s="23"/>
      <c r="D6" s="24"/>
      <c r="E6" s="31" t="s">
        <v>31</v>
      </c>
      <c r="F6" s="17"/>
      <c r="G6" s="17"/>
      <c r="H6" s="1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8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8"/>
    </row>
    <row r="7">
      <c r="A7" s="33"/>
      <c r="B7" s="22">
        <v>1.0</v>
      </c>
      <c r="C7" s="34">
        <v>46185.08333333333</v>
      </c>
      <c r="D7" s="35">
        <v>46185.08333333333</v>
      </c>
      <c r="E7" s="36" t="s">
        <v>32</v>
      </c>
      <c r="F7" s="23">
        <v>2.0</v>
      </c>
      <c r="G7" s="23">
        <v>0.0</v>
      </c>
      <c r="H7" s="36" t="s">
        <v>33</v>
      </c>
      <c r="I7" s="37">
        <v>2.0</v>
      </c>
      <c r="J7" s="37">
        <v>0.0</v>
      </c>
      <c r="K7" s="37">
        <v>2.0</v>
      </c>
      <c r="L7" s="37">
        <v>1.0</v>
      </c>
      <c r="M7" s="38">
        <v>2.0</v>
      </c>
      <c r="N7" s="37">
        <v>0.0</v>
      </c>
      <c r="O7" s="37">
        <v>2.0</v>
      </c>
      <c r="P7" s="37">
        <v>0.0</v>
      </c>
      <c r="Q7" s="37">
        <f t="shared" ref="Q7:R7" si="1">AE7</f>
        <v>2</v>
      </c>
      <c r="R7" s="37">
        <f t="shared" si="1"/>
        <v>0</v>
      </c>
      <c r="S7" s="37">
        <v>2.0</v>
      </c>
      <c r="T7" s="37">
        <v>1.0</v>
      </c>
      <c r="U7" s="37">
        <v>1.0</v>
      </c>
      <c r="V7" s="37">
        <v>0.0</v>
      </c>
      <c r="W7" s="37">
        <v>1.0</v>
      </c>
      <c r="X7" s="37">
        <v>0.0</v>
      </c>
      <c r="Y7" s="37">
        <v>1.0</v>
      </c>
      <c r="Z7" s="37">
        <v>2.0</v>
      </c>
      <c r="AA7" s="37"/>
      <c r="AB7" s="37"/>
      <c r="AC7" s="37">
        <v>2.0</v>
      </c>
      <c r="AD7" s="37">
        <v>1.0</v>
      </c>
      <c r="AE7" s="37">
        <v>2.0</v>
      </c>
      <c r="AF7" s="37">
        <v>0.0</v>
      </c>
      <c r="AG7" s="37"/>
      <c r="AH7" s="37"/>
      <c r="AI7" s="37"/>
      <c r="AJ7" s="37"/>
      <c r="AK7" s="37">
        <v>1.0</v>
      </c>
      <c r="AL7" s="37">
        <v>0.0</v>
      </c>
      <c r="AM7" s="37">
        <v>1.0</v>
      </c>
      <c r="AN7" s="37">
        <v>0.0</v>
      </c>
      <c r="AO7" s="37">
        <v>2.0</v>
      </c>
      <c r="AP7" s="37">
        <v>0.0</v>
      </c>
      <c r="AQ7" s="39">
        <f t="shared" ref="AQ7:AR7" si="2">BE7</f>
        <v>2</v>
      </c>
      <c r="AR7" s="39">
        <f t="shared" si="2"/>
        <v>0</v>
      </c>
      <c r="AS7" s="40">
        <v>2.0</v>
      </c>
      <c r="AT7" s="40">
        <v>0.0</v>
      </c>
      <c r="AU7" s="37">
        <v>2.0</v>
      </c>
      <c r="AV7" s="37">
        <v>1.0</v>
      </c>
      <c r="AW7" s="41">
        <v>1.0</v>
      </c>
      <c r="AX7" s="37">
        <v>0.0</v>
      </c>
      <c r="AY7" s="37">
        <v>2.0</v>
      </c>
      <c r="AZ7" s="37">
        <v>1.0</v>
      </c>
      <c r="BA7" s="37">
        <v>1.0</v>
      </c>
      <c r="BB7" s="37">
        <v>0.0</v>
      </c>
      <c r="BC7" s="37">
        <v>2.0</v>
      </c>
      <c r="BD7" s="37">
        <v>0.0</v>
      </c>
      <c r="BE7" s="42">
        <v>2.0</v>
      </c>
      <c r="BF7" s="37">
        <v>0.0</v>
      </c>
      <c r="BG7" s="37">
        <v>1.0</v>
      </c>
      <c r="BH7" s="37">
        <v>0.0</v>
      </c>
      <c r="BI7" s="37">
        <f>H.Son!H7</f>
        <v>2</v>
      </c>
      <c r="BJ7" s="37">
        <f>H.Son!I7</f>
        <v>0</v>
      </c>
      <c r="BK7" s="37"/>
      <c r="BL7" s="37"/>
      <c r="BM7" s="9"/>
      <c r="BN7" s="43" t="str">
        <f>if($F7=$G7,if(and($F7=$G7,I7&lt;&gt;J7),'Thể lệ'!$E$6,if($F7=I7,0,0.5*'Thể lệ'!$E$6)),if(and($F7=I7,$G7=J7),"0",if(($F7-$G7)*(I7-J7)&gt;0,0.5*'Thể lệ'!$E$6,'Thể lệ'!$E$6)))</f>
        <v>0</v>
      </c>
      <c r="BO7" s="43"/>
      <c r="BP7" s="44">
        <f>if($F7=$G7,if(and($F7=$G7,K7&lt;&gt;L7),'Thể lệ'!$E$6,if($F7=K7,0,0.5*'Thể lệ'!$E$6)),if(and($F7=K7,$G7=L7),"0",if(($F7-$G7)*(K7-L7)&gt;0,0.5*'Thể lệ'!$E$6,'Thể lệ'!$E$6)))</f>
        <v>5000</v>
      </c>
      <c r="BQ7" s="43"/>
      <c r="BR7" s="43" t="str">
        <f>if($F7=$G7,if(and($F7=$G7,M7&lt;&gt;N7),'Thể lệ'!$E$6,if($F7=M7,0,0.5*'Thể lệ'!$E$6)),if(and($F7=M7,$G7=N7),"0",if(($F7-$G7)*(M7-N7)&gt;0,0.5*'Thể lệ'!$E$6,'Thể lệ'!$E$6)))</f>
        <v>0</v>
      </c>
      <c r="BS7" s="43"/>
      <c r="BT7" s="43" t="str">
        <f>if($F7=$G7,if(and($F7=$G7,O7&lt;&gt;P7),'Thể lệ'!$E$6,if($F7=O7,0,0.5*'Thể lệ'!$E$6)),if(and($F7=O7,$G7=P7),"0",if(($F7-$G7)*(O7-P7)&gt;0,0.5*'Thể lệ'!$E$6,'Thể lệ'!$E$6)))</f>
        <v>0</v>
      </c>
      <c r="BU7" s="43"/>
      <c r="BV7" s="43" t="str">
        <f>if($F7=$G7,if(and($F7=$G7,Q7&lt;&gt;R7),'Thể lệ'!$E$6,if($F7=Q7,0,0.5*'Thể lệ'!$E$6)),if(and($F7=Q7,$G7=R7),"0",if(($F7-$G7)*(Q7-R7)&gt;0,0.5*'Thể lệ'!$E$6,'Thể lệ'!$E$6)))</f>
        <v>0</v>
      </c>
      <c r="BW7" s="43"/>
      <c r="BX7" s="44">
        <f>if($F7=$G7,if(and($F7=$G7,S7&lt;&gt;T7),'Thể lệ'!$E$6,if($F7=S7,0,0.5*'Thể lệ'!$E$6)),if(and($F7=S7,$G7=T7),"0",if(($F7-$G7)*(S7-T7)&gt;0,0.5*'Thể lệ'!$E$6,'Thể lệ'!$E$6)))</f>
        <v>5000</v>
      </c>
      <c r="BY7" s="43"/>
      <c r="BZ7" s="44">
        <f>if($F7=$G7,if(and($F7=$G7,U7&lt;&gt;V7),'Thể lệ'!$E$6,if($F7=U7,0,0.5*'Thể lệ'!$E$6)),if(and($F7=U7,$G7=V7),"0",if(($F7-$G7)*(U7-V7)&gt;0,0.5*'Thể lệ'!$E$6,'Thể lệ'!$E$6)))</f>
        <v>5000</v>
      </c>
      <c r="CA7" s="43"/>
      <c r="CB7" s="44">
        <f>if($F7=$G7,if(and($F7=$G7,W7&lt;&gt;X7),'Thể lệ'!$E$6,if($F7=W7,0,0.5*'Thể lệ'!$E$6)),if(and($F7=W7,$G7=X7),"0",if(($F7-$G7)*(W7-X7)&gt;0,0.5*'Thể lệ'!$E$6,'Thể lệ'!$E$6)))</f>
        <v>5000</v>
      </c>
      <c r="CC7" s="43"/>
      <c r="CD7" s="44">
        <f>if($F7=$G7,if(and($F7=$G7,Y7&lt;&gt;Z7),'Thể lệ'!$E$6,if($F7=Y7,0,0.5*'Thể lệ'!$E$6)),if(and($F7=Y7,$G7=Z7),"0",if(($F7-$G7)*(Y7-Z7)&gt;0,0.5*'Thể lệ'!$E$6,'Thể lệ'!$E$6)))</f>
        <v>10000</v>
      </c>
      <c r="CE7" s="43"/>
      <c r="CF7" s="44">
        <f>if($F7=$G7,if(and($F7=$G7,AA7&lt;&gt;AB7),'Thể lệ'!$E$6,if($F7=AA7,0,0.5*'Thể lệ'!$E$6)),if(and($F7=AA7,$G7=AB7),"0",if(($F7-$G7)*(AA7-AB7)&gt;0,0.5*'Thể lệ'!$E$6,'Thể lệ'!$E$6)))</f>
        <v>10000</v>
      </c>
      <c r="CG7" s="43"/>
      <c r="CH7" s="44">
        <f>if($F7=$G7,if(and($F7=$G7,AC7&lt;&gt;AD7),'Thể lệ'!$E$6,if($F7=AC7,0,0.5*'Thể lệ'!$E$6)),if(and($F7=AC7,$G7=AD7),"0",if(($F7-$G7)*(AC7-AD7)&gt;0,0.5*'Thể lệ'!$E$6,'Thể lệ'!$E$6)))</f>
        <v>5000</v>
      </c>
      <c r="CI7" s="43"/>
      <c r="CJ7" s="43" t="str">
        <f>if($F7=$G7,if(and($F7=$G7,AE7&lt;&gt;AF7),'Thể lệ'!$E$6,if($F7=AE7,0,0.5*'Thể lệ'!$E$6)),if(and($F7=AE7,$G7=AF7),"0",if(($F7-$G7)*(AE7-AF7)&gt;0,0.5*'Thể lệ'!$E$6,'Thể lệ'!$E$6)))</f>
        <v>0</v>
      </c>
      <c r="CK7" s="43"/>
      <c r="CL7" s="44">
        <f>if($F7=$G7,if(and($F7=$G7,AG7&lt;&gt;AH7),'Thể lệ'!$E$6,if($F7=AG7,0,0.5*'Thể lệ'!$E$6)),if(and($F7=AG7,$G7=AH7),"0",if(($F7-$G7)*(AG7-AH7)&gt;0,0.5*'Thể lệ'!$E$6,'Thể lệ'!$E$6)))</f>
        <v>10000</v>
      </c>
      <c r="CM7" s="43"/>
      <c r="CN7" s="44">
        <f>if($F7=$G7,if(and($F7=$G7,AI7&lt;&gt;AJ7),'Thể lệ'!$E$6,if($F7=AI7,0,0.5*'Thể lệ'!$E$6)),if(and($F7=AI7,$G7=AJ7),"0",if(($F7-$G7)*(AI7-AJ7)&gt;0,0.5*'Thể lệ'!$E$6,'Thể lệ'!$E$6)))</f>
        <v>10000</v>
      </c>
      <c r="CO7" s="43"/>
      <c r="CP7" s="44">
        <f>if($F7=$G7,if(and($F7=$G7,AK7&lt;&gt;AL7),'Thể lệ'!$E$6,if($F7=AK7,0,0.5*'Thể lệ'!$E$6)),if(and($F7=AK7,$G7=AL7),"0",if(($F7-$G7)*(AK7-AL7)&gt;0,0.5*'Thể lệ'!$E$6,'Thể lệ'!$E$6)))</f>
        <v>5000</v>
      </c>
      <c r="CQ7" s="43"/>
      <c r="CR7" s="44">
        <f>if($F7=$G7,if(and($F7=$G7,AM7&lt;&gt;AN7),'Thể lệ'!$E$6,if($F7=AM7,0,0.5*'Thể lệ'!$E$6)),if(and($F7=AM7,$G7=AN7),"0",if(($F7-$G7)*(AM7-AN7)&gt;0,0.5*'Thể lệ'!$E$6,'Thể lệ'!$E$6)))</f>
        <v>5000</v>
      </c>
      <c r="CS7" s="43"/>
      <c r="CT7" s="43" t="str">
        <f>if($F7=$G7,if(and($F7=$G7,AO7&lt;&gt;AP7),'Thể lệ'!$E$6,if($F7=AO7,0,0.5*'Thể lệ'!$E$6)),if(and($F7=AO7,$G7=AP7),"0",if(($F7-$G7)*(AO7-AP7)&gt;0,0.5*'Thể lệ'!$E$6,'Thể lệ'!$E$6)))</f>
        <v>0</v>
      </c>
      <c r="CU7" s="43"/>
      <c r="CV7" s="43" t="str">
        <f>if($F7=$G7,if(and($F7=$G7,AQ7&lt;&gt;AR7),'Thể lệ'!$E$6,if($F7=AQ7,0,0.5*'Thể lệ'!$E$6)),if(and($F7=AQ7,$G7=AR7),"0",if(($F7-$G7)*(AQ7-AR7)&gt;0,0.5*'Thể lệ'!$E$6,'Thể lệ'!$E$6)))</f>
        <v>0</v>
      </c>
      <c r="CW7" s="43"/>
      <c r="CX7" s="43" t="str">
        <f>if($F7=$G7,if(and($F7=$G7,AS7&lt;&gt;AT7),'Thể lệ'!$E$6,if($F7=AS7,0,0.5*'Thể lệ'!$E$6)),if(and($F7=AS7,$G7=AT7),"0",if(($F7-$G7)*(AS7-AT7)&gt;0,0.5*'Thể lệ'!$E$6,'Thể lệ'!$E$6)))</f>
        <v>0</v>
      </c>
      <c r="CY7" s="45"/>
      <c r="CZ7" s="44">
        <f>if($F7=$G7,if(and($F7=$G7,AU7&lt;&gt;AV7),'Thể lệ'!$E$6,if($F7=AU7,0,0.5*'Thể lệ'!$E$6)),if(and($F7=AU7,$G7=AV7),"0",if(($F7-$G7)*(AU7-AV7)&gt;0,0.5*'Thể lệ'!$E$6,'Thể lệ'!$E$6)))</f>
        <v>5000</v>
      </c>
      <c r="DA7" s="45"/>
      <c r="DB7" s="44">
        <f>if($F7=$G7,if(and($F7=$G7,AW7&lt;&gt;AX7),'Thể lệ'!$E$6,if($F7=AW7,0,0.5*'Thể lệ'!$E$6)),if(and($F7=AW7,$G7=AX7),"0",if(($F7-$G7)*(AW7-AX7)&gt;0,0.5*'Thể lệ'!$E$6,'Thể lệ'!$E$6)))</f>
        <v>5000</v>
      </c>
      <c r="DC7" s="45"/>
      <c r="DD7" s="44">
        <f>if($F7=$G7,if(and($F7=$G7,AY7&lt;&gt;AZ7),'Thể lệ'!$E$6,if($F7=AY7,0,0.5*'Thể lệ'!$E$6)),if(and($F7=AY7,$G7=AZ7),"0",if(($F7-$G7)*(AY7-AZ7)&gt;0,0.5*'Thể lệ'!$E$6,'Thể lệ'!$E$6)))</f>
        <v>5000</v>
      </c>
      <c r="DE7" s="45"/>
      <c r="DF7" s="44">
        <f>if($F7=$G7,if(and($F7=$G7,BA7&lt;&gt;BB7),'Thể lệ'!$E$6,if($F7=BA7,0,0.5*'Thể lệ'!$E$6)),if(and($F7=BA7,$G7=BB7),"0",if(($F7-$G7)*(BA7-BB7)&gt;0,0.5*'Thể lệ'!$E$6,'Thể lệ'!$E$6)))</f>
        <v>5000</v>
      </c>
      <c r="DG7" s="45"/>
      <c r="DH7" s="43" t="str">
        <f>if($F7=$G7,if(and($F7=$G7,BC7&lt;&gt;BD7),'Thể lệ'!$E$6,if($F7=BC7,0,0.5*'Thể lệ'!$E$6)),if(and($F7=BC7,$G7=BD7),"0",if(($F7-$G7)*(BC7-BD7)&gt;0,0.5*'Thể lệ'!$E$6,'Thể lệ'!$E$6)))</f>
        <v>0</v>
      </c>
      <c r="DI7" s="45"/>
      <c r="DJ7" s="43" t="str">
        <f>if($F7=$G7,if(and($F7=$G7,BE7&lt;&gt;BF7),'Thể lệ'!$E$6,if($F7=BE7,0,0.5*'Thể lệ'!$E$6)),if(and($F7=BE7,$G7=BF7),"0",if(($F7-$G7)*(BE7-BF7)&gt;0,0.5*'Thể lệ'!$E$6,'Thể lệ'!$E$6)))</f>
        <v>0</v>
      </c>
      <c r="DK7" s="45"/>
      <c r="DL7" s="44">
        <f>if($F7=$G7,if(and($F7=$G7,BG7&lt;&gt;BH7),'Thể lệ'!$E$6,if($F7=BG7,0,0.5*'Thể lệ'!$E$6)),if(and($F7=BG7,$G7=BH7),"0",if(($F7-$G7)*(BG7-BH7)&gt;0,0.5*'Thể lệ'!$E$6,'Thể lệ'!$E$6)))</f>
        <v>5000</v>
      </c>
      <c r="DM7" s="45"/>
      <c r="DN7" s="43" t="str">
        <f>if($F7=$G7,if(and($F7=$G7,BI7&lt;&gt;BJ7),'Thể lệ'!$E$6,if($F7=BI7,0,0.5*'Thể lệ'!$E$6)),if(and($F7=BI7,$G7=BJ7),"0",if(($F7-$G7)*(BI7-BJ7)&gt;0,0.5*'Thể lệ'!$E$6,'Thể lệ'!$E$6)))</f>
        <v>0</v>
      </c>
      <c r="DO7" s="45"/>
      <c r="DP7" s="8"/>
    </row>
    <row r="8">
      <c r="B8" s="22">
        <v>2.0</v>
      </c>
      <c r="C8" s="46">
        <v>46185.37499999999</v>
      </c>
      <c r="D8" s="47">
        <v>46185.37499999999</v>
      </c>
      <c r="E8" s="48" t="s">
        <v>34</v>
      </c>
      <c r="F8" s="23"/>
      <c r="G8" s="23"/>
      <c r="H8" s="48" t="s">
        <v>35</v>
      </c>
      <c r="I8" s="37"/>
      <c r="J8" s="37"/>
      <c r="K8" s="37">
        <v>1.0</v>
      </c>
      <c r="L8" s="37">
        <v>2.0</v>
      </c>
      <c r="M8" s="37">
        <v>1.0</v>
      </c>
      <c r="N8" s="37">
        <v>1.0</v>
      </c>
      <c r="O8" s="37">
        <v>1.0</v>
      </c>
      <c r="P8" s="37">
        <v>1.0</v>
      </c>
      <c r="Q8" s="37">
        <f t="shared" ref="Q8:Q78" si="4">AE8</f>
        <v>1</v>
      </c>
      <c r="R8" s="37">
        <v>1.0</v>
      </c>
      <c r="S8" s="37">
        <v>1.0</v>
      </c>
      <c r="T8" s="37">
        <v>1.0</v>
      </c>
      <c r="U8" s="37">
        <v>1.0</v>
      </c>
      <c r="V8" s="37">
        <v>2.0</v>
      </c>
      <c r="W8" s="37">
        <v>1.0</v>
      </c>
      <c r="X8" s="37">
        <v>2.0</v>
      </c>
      <c r="Y8" s="37">
        <v>2.0</v>
      </c>
      <c r="Z8" s="37">
        <v>1.0</v>
      </c>
      <c r="AA8" s="37"/>
      <c r="AB8" s="37"/>
      <c r="AC8" s="37">
        <v>1.0</v>
      </c>
      <c r="AD8" s="37">
        <v>2.0</v>
      </c>
      <c r="AE8" s="37">
        <v>1.0</v>
      </c>
      <c r="AF8" s="37">
        <v>2.0</v>
      </c>
      <c r="AG8" s="37"/>
      <c r="AH8" s="37"/>
      <c r="AI8" s="37"/>
      <c r="AJ8" s="37"/>
      <c r="AK8" s="37">
        <v>1.0</v>
      </c>
      <c r="AL8" s="37">
        <v>1.0</v>
      </c>
      <c r="AM8" s="37">
        <v>1.0</v>
      </c>
      <c r="AN8" s="37">
        <v>2.0</v>
      </c>
      <c r="AO8" s="37">
        <v>1.0</v>
      </c>
      <c r="AP8" s="37">
        <v>2.0</v>
      </c>
      <c r="AQ8" s="39">
        <f t="shared" ref="AQ8:AR8" si="3">BE8</f>
        <v>1</v>
      </c>
      <c r="AR8" s="39">
        <f t="shared" si="3"/>
        <v>1</v>
      </c>
      <c r="AS8" s="40">
        <v>1.0</v>
      </c>
      <c r="AT8" s="40">
        <v>1.0</v>
      </c>
      <c r="AU8" s="37">
        <v>1.0</v>
      </c>
      <c r="AV8" s="37">
        <v>1.0</v>
      </c>
      <c r="AW8" s="37">
        <v>2.0</v>
      </c>
      <c r="AX8" s="37">
        <v>1.0</v>
      </c>
      <c r="AY8" s="37">
        <v>2.0</v>
      </c>
      <c r="AZ8" s="37">
        <v>0.0</v>
      </c>
      <c r="BA8" s="37">
        <v>1.0</v>
      </c>
      <c r="BB8" s="37">
        <v>2.0</v>
      </c>
      <c r="BC8" s="37">
        <v>1.0</v>
      </c>
      <c r="BD8" s="37">
        <v>0.0</v>
      </c>
      <c r="BE8" s="42">
        <v>1.0</v>
      </c>
      <c r="BF8" s="37">
        <v>1.0</v>
      </c>
      <c r="BG8" s="37"/>
      <c r="BH8" s="37"/>
      <c r="BI8" s="37">
        <f>H.Son!H8</f>
        <v>1</v>
      </c>
      <c r="BJ8" s="37">
        <f>H.Son!I8</f>
        <v>1</v>
      </c>
      <c r="BK8" s="37"/>
      <c r="BL8" s="37"/>
      <c r="BM8" s="9"/>
      <c r="BN8" s="43">
        <f>if($F8=$G8,if(and($F8=$G8,I8&lt;&gt;J8),'Thể lệ'!$E$6,if($F8=I8,0,0.5*'Thể lệ'!$E$6)),if(and($F8=I8,$G8=J8),"0",if(($F8-$G8)*(I8-J8)&gt;0,0.5*'Thể lệ'!$E$6,'Thể lệ'!$E$6)))</f>
        <v>0</v>
      </c>
      <c r="BO8" s="43"/>
      <c r="BP8" s="44">
        <f>if($F8=$G8,if(and($F8=$G8,K8&lt;&gt;L8),'Thể lệ'!$E$6,if($F8=K8,0,0.5*'Thể lệ'!$E$6)),if(and($F8=K8,$G8=L8),"0",if(($F8-$G8)*(K8-L8)&gt;0,0.5*'Thể lệ'!$E$6,'Thể lệ'!$E$6)))</f>
        <v>10000</v>
      </c>
      <c r="BQ8" s="43"/>
      <c r="BR8" s="44">
        <f>if($F8=$G8,if(and($F8=$G8,M8&lt;&gt;N8),'Thể lệ'!$E$6,if($F8=M8,0,0.5*'Thể lệ'!$E$6)),if(and($F8=M8,$G8=N8),"0",if(($F8-$G8)*(M8-N8)&gt;0,0.5*'Thể lệ'!$E$6,'Thể lệ'!$E$6)))</f>
        <v>5000</v>
      </c>
      <c r="BS8" s="43"/>
      <c r="BT8" s="44">
        <f>if($F8=$G8,if(and($F8=$G8,O8&lt;&gt;P8),'Thể lệ'!$E$6,if($F8=O8,0,0.5*'Thể lệ'!$E$6)),if(and($F8=O8,$G8=P8),"0",if(($F8-$G8)*(O8-P8)&gt;0,0.5*'Thể lệ'!$E$6,'Thể lệ'!$E$6)))</f>
        <v>5000</v>
      </c>
      <c r="BU8" s="43"/>
      <c r="BV8" s="44">
        <f>if($F8=$G8,if(and($F8=$G8,Q8&lt;&gt;R8),'Thể lệ'!$E$6,if($F8=Q8,0,0.5*'Thể lệ'!$E$6)),if(and($F8=Q8,$G8=R8),"0",if(($F8-$G8)*(Q8-R8)&gt;0,0.5*'Thể lệ'!$E$6,'Thể lệ'!$E$6)))</f>
        <v>5000</v>
      </c>
      <c r="BW8" s="43"/>
      <c r="BX8" s="44">
        <f>if($F8=$G8,if(and($F8=$G8,S8&lt;&gt;T8),'Thể lệ'!$E$6,if($F8=S8,0,0.5*'Thể lệ'!$E$6)),if(and($F8=S8,$G8=T8),"0",if(($F8-$G8)*(S8-T8)&gt;0,0.5*'Thể lệ'!$E$6,'Thể lệ'!$E$6)))</f>
        <v>5000</v>
      </c>
      <c r="BY8" s="43"/>
      <c r="BZ8" s="44">
        <f>if($F8=$G8,if(and($F8=$G8,U8&lt;&gt;V8),'Thể lệ'!$E$6,if($F8=U8,0,0.5*'Thể lệ'!$E$6)),if(and($F8=U8,$G8=V8),"0",if(($F8-$G8)*(U8-V8)&gt;0,0.5*'Thể lệ'!$E$6,'Thể lệ'!$E$6)))</f>
        <v>10000</v>
      </c>
      <c r="CA8" s="43"/>
      <c r="CB8" s="44">
        <f>if($F8=$G8,if(and($F8=$G8,W8&lt;&gt;X8),'Thể lệ'!$E$6,if($F8=W8,0,0.5*'Thể lệ'!$E$6)),if(and($F8=W8,$G8=X8),"0",if(($F8-$G8)*(W8-X8)&gt;0,0.5*'Thể lệ'!$E$6,'Thể lệ'!$E$6)))</f>
        <v>10000</v>
      </c>
      <c r="CC8" s="43"/>
      <c r="CD8" s="44">
        <f>if($F8=$G8,if(and($F8=$G8,Y8&lt;&gt;Z8),'Thể lệ'!$E$6,if($F8=Y8,0,0.5*'Thể lệ'!$E$6)),if(and($F8=Y8,$G8=Z8),"0",if(($F8-$G8)*(Y8-Z8)&gt;0,0.5*'Thể lệ'!$E$6,'Thể lệ'!$E$6)))</f>
        <v>10000</v>
      </c>
      <c r="CE8" s="43"/>
      <c r="CF8" s="43">
        <f>if($F8=$G8,if(and($F8=$G8,AA8&lt;&gt;AB8),'Thể lệ'!$E$6,if($F8=AA8,0,0.5*'Thể lệ'!$E$6)),if(and($F8=AA8,$G8=AB8),"0",if(($F8-$G8)*(AA8-AB8)&gt;0,0.5*'Thể lệ'!$E$6,'Thể lệ'!$E$6)))</f>
        <v>0</v>
      </c>
      <c r="CG8" s="43"/>
      <c r="CH8" s="44">
        <f>if($F8=$G8,if(and($F8=$G8,AC8&lt;&gt;AD8),'Thể lệ'!$E$6,if($F8=AC8,0,0.5*'Thể lệ'!$E$6)),if(and($F8=AC8,$G8=AD8),"0",if(($F8-$G8)*(AC8-AD8)&gt;0,0.5*'Thể lệ'!$E$6,'Thể lệ'!$E$6)))</f>
        <v>10000</v>
      </c>
      <c r="CI8" s="43"/>
      <c r="CJ8" s="44">
        <f>if($F8=$G8,if(and($F8=$G8,AE8&lt;&gt;AF8),'Thể lệ'!$E$6,if($F8=AE8,0,0.5*'Thể lệ'!$E$6)),if(and($F8=AE8,$G8=AF8),"0",if(($F8-$G8)*(AE8-AF8)&gt;0,0.5*'Thể lệ'!$E$6,'Thể lệ'!$E$6)))</f>
        <v>10000</v>
      </c>
      <c r="CK8" s="43"/>
      <c r="CL8" s="43">
        <f>if($F8=$G8,if(and($F8=$G8,AG8&lt;&gt;AH8),'Thể lệ'!$E$6,if($F8=AG8,0,0.5*'Thể lệ'!$E$6)),if(and($F8=AG8,$G8=AH8),"0",if(($F8-$G8)*(AG8-AH8)&gt;0,0.5*'Thể lệ'!$E$6,'Thể lệ'!$E$6)))</f>
        <v>0</v>
      </c>
      <c r="CM8" s="43"/>
      <c r="CN8" s="43">
        <f>if($F8=$G8,if(and($F8=$G8,AI8&lt;&gt;AJ8),'Thể lệ'!$E$6,if($F8=AI8,0,0.5*'Thể lệ'!$E$6)),if(and($F8=AI8,$G8=AJ8),"0",if(($F8-$G8)*(AI8-AJ8)&gt;0,0.5*'Thể lệ'!$E$6,'Thể lệ'!$E$6)))</f>
        <v>0</v>
      </c>
      <c r="CO8" s="43"/>
      <c r="CP8" s="44">
        <f>if($F8=$G8,if(and($F8=$G8,AK8&lt;&gt;AL8),'Thể lệ'!$E$6,if($F8=AK8,0,0.5*'Thể lệ'!$E$6)),if(and($F8=AK8,$G8=AL8),"0",if(($F8-$G8)*(AK8-AL8)&gt;0,0.5*'Thể lệ'!$E$6,'Thể lệ'!$E$6)))</f>
        <v>5000</v>
      </c>
      <c r="CQ8" s="43"/>
      <c r="CR8" s="44">
        <f>if($F8=$G8,if(and($F8=$G8,AM8&lt;&gt;AN8),'Thể lệ'!$E$6,if($F8=AM8,0,0.5*'Thể lệ'!$E$6)),if(and($F8=AM8,$G8=AN8),"0",if(($F8-$G8)*(AM8-AN8)&gt;0,0.5*'Thể lệ'!$E$6,'Thể lệ'!$E$6)))</f>
        <v>10000</v>
      </c>
      <c r="CS8" s="43"/>
      <c r="CT8" s="44">
        <f>if($F8=$G8,if(and($F8=$G8,AO8&lt;&gt;AP8),'Thể lệ'!$E$6,if($F8=AO8,0,0.5*'Thể lệ'!$E$6)),if(and($F8=AO8,$G8=AP8),"0",if(($F8-$G8)*(AO8-AP8)&gt;0,0.5*'Thể lệ'!$E$6,'Thể lệ'!$E$6)))</f>
        <v>10000</v>
      </c>
      <c r="CU8" s="43"/>
      <c r="CV8" s="44">
        <f>if($F8=$G8,if(and($F8=$G8,AQ8&lt;&gt;AR8),'Thể lệ'!$E$6,if($F8=AQ8,0,0.5*'Thể lệ'!$E$6)),if(and($F8=AQ8,$G8=AR8),"0",if(($F8-$G8)*(AQ8-AR8)&gt;0,0.5*'Thể lệ'!$E$6,'Thể lệ'!$E$6)))</f>
        <v>5000</v>
      </c>
      <c r="CW8" s="43"/>
      <c r="CX8" s="44">
        <f>if($F8=$G8,if(and($F8=$G8,AS8&lt;&gt;AT8),'Thể lệ'!$E$6,if($F8=AS8,0,0.5*'Thể lệ'!$E$6)),if(and($F8=AS8,$G8=AT8),"0",if(($F8-$G8)*(AS8-AT8)&gt;0,0.5*'Thể lệ'!$E$6,'Thể lệ'!$E$6)))</f>
        <v>5000</v>
      </c>
      <c r="CY8" s="45"/>
      <c r="CZ8" s="44">
        <f>if($F8=$G8,if(and($F8=$G8,AU8&lt;&gt;AV8),'Thể lệ'!$E$6,if($F8=AU8,0,0.5*'Thể lệ'!$E$6)),if(and($F8=AU8,$G8=AV8),"0",if(($F8-$G8)*(AU8-AV8)&gt;0,0.5*'Thể lệ'!$E$6,'Thể lệ'!$E$6)))</f>
        <v>5000</v>
      </c>
      <c r="DA8" s="45"/>
      <c r="DB8" s="44">
        <f>if($F8=$G8,if(and($F8=$G8,AW8&lt;&gt;AX8),'Thể lệ'!$E$6,if($F8=AW8,0,0.5*'Thể lệ'!$E$6)),if(and($F8=AW8,$G8=AX8),"0",if(($F8-$G8)*(AW8-AX8)&gt;0,0.5*'Thể lệ'!$E$6,'Thể lệ'!$E$6)))</f>
        <v>10000</v>
      </c>
      <c r="DC8" s="45"/>
      <c r="DD8" s="44">
        <f>if($F8=$G8,if(and($F8=$G8,AY8&lt;&gt;AZ8),'Thể lệ'!$E$6,if($F8=AY8,0,0.5*'Thể lệ'!$E$6)),if(and($F8=AY8,$G8=AZ8),"0",if(($F8-$G8)*(AY8-AZ8)&gt;0,0.5*'Thể lệ'!$E$6,'Thể lệ'!$E$6)))</f>
        <v>10000</v>
      </c>
      <c r="DE8" s="45"/>
      <c r="DF8" s="44">
        <f>if($F8=$G8,if(and($F8=$G8,BA8&lt;&gt;BB8),'Thể lệ'!$E$6,if($F8=BA8,0,0.5*'Thể lệ'!$E$6)),if(and($F8=BA8,$G8=BB8),"0",if(($F8-$G8)*(BA8-BB8)&gt;0,0.5*'Thể lệ'!$E$6,'Thể lệ'!$E$6)))</f>
        <v>10000</v>
      </c>
      <c r="DG8" s="45"/>
      <c r="DH8" s="44">
        <f>if($F8=$G8,if(and($F8=$G8,BC8&lt;&gt;BD8),'Thể lệ'!$E$6,if($F8=BC8,0,0.5*'Thể lệ'!$E$6)),if(and($F8=BC8,$G8=BD8),"0",if(($F8-$G8)*(BC8-BD8)&gt;0,0.5*'Thể lệ'!$E$6,'Thể lệ'!$E$6)))</f>
        <v>10000</v>
      </c>
      <c r="DI8" s="45"/>
      <c r="DJ8" s="44">
        <f>if($F8=$G8,if(and($F8=$G8,BE8&lt;&gt;BF8),'Thể lệ'!$E$6,if($F8=BE8,0,0.5*'Thể lệ'!$E$6)),if(and($F8=BE8,$G8=BF8),"0",if(($F8-$G8)*(BE8-BF8)&gt;0,0.5*'Thể lệ'!$E$6,'Thể lệ'!$E$6)))</f>
        <v>5000</v>
      </c>
      <c r="DK8" s="45"/>
      <c r="DL8" s="43">
        <f>if($F8=$G8,if(and($F8=$G8,BG8&lt;&gt;BH8),'Thể lệ'!$E$6,if($F8=BG8,0,0.5*'Thể lệ'!$E$6)),if(and($F8=BG8,$G8=BH8),"0",if(($F8-$G8)*(BG8-BH8)&gt;0,0.5*'Thể lệ'!$E$6,'Thể lệ'!$E$6)))</f>
        <v>0</v>
      </c>
      <c r="DM8" s="45"/>
      <c r="DN8" s="44">
        <f>if($F8=$G8,if(and($F8=$G8,BI8&lt;&gt;BJ8),'Thể lệ'!$E$6,if($F8=BI8,0,0.5*'Thể lệ'!$E$6)),if(and($F8=BI8,$G8=BJ8),"0",if(($F8-$G8)*(BI8-BJ8)&gt;0,0.5*'Thể lệ'!$E$6,'Thể lệ'!$E$6)))</f>
        <v>5000</v>
      </c>
      <c r="DO8" s="45"/>
      <c r="DP8" s="8"/>
    </row>
    <row r="9">
      <c r="B9" s="22">
        <v>3.0</v>
      </c>
      <c r="C9" s="46">
        <v>46186.08333333333</v>
      </c>
      <c r="D9" s="47">
        <v>46186.08333333333</v>
      </c>
      <c r="E9" s="48" t="s">
        <v>36</v>
      </c>
      <c r="F9" s="23"/>
      <c r="G9" s="23"/>
      <c r="H9" s="48" t="s">
        <v>37</v>
      </c>
      <c r="I9" s="37"/>
      <c r="J9" s="37"/>
      <c r="K9" s="37">
        <v>1.0</v>
      </c>
      <c r="L9" s="37">
        <v>3.0</v>
      </c>
      <c r="M9" s="37"/>
      <c r="N9" s="37"/>
      <c r="O9" s="37">
        <v>2.0</v>
      </c>
      <c r="P9" s="37">
        <v>1.0</v>
      </c>
      <c r="Q9" s="37">
        <f t="shared" si="4"/>
        <v>1</v>
      </c>
      <c r="R9" s="37">
        <v>0.0</v>
      </c>
      <c r="S9" s="37">
        <v>2.0</v>
      </c>
      <c r="T9" s="37">
        <v>1.0</v>
      </c>
      <c r="U9" s="37">
        <v>1.0</v>
      </c>
      <c r="V9" s="37">
        <v>1.0</v>
      </c>
      <c r="W9" s="37">
        <v>1.0</v>
      </c>
      <c r="X9" s="37">
        <v>1.0</v>
      </c>
      <c r="Y9" s="37">
        <v>0.0</v>
      </c>
      <c r="Z9" s="37">
        <v>2.0</v>
      </c>
      <c r="AA9" s="37"/>
      <c r="AB9" s="37"/>
      <c r="AC9" s="37">
        <v>1.0</v>
      </c>
      <c r="AD9" s="37">
        <v>0.0</v>
      </c>
      <c r="AE9" s="37">
        <v>1.0</v>
      </c>
      <c r="AF9" s="37">
        <v>1.0</v>
      </c>
      <c r="AG9" s="37"/>
      <c r="AH9" s="37"/>
      <c r="AI9" s="37"/>
      <c r="AJ9" s="37"/>
      <c r="AK9" s="37">
        <v>0.0</v>
      </c>
      <c r="AL9" s="37">
        <v>1.0</v>
      </c>
      <c r="AM9" s="37">
        <v>1.0</v>
      </c>
      <c r="AN9" s="37">
        <v>1.0</v>
      </c>
      <c r="AO9" s="37">
        <v>1.0</v>
      </c>
      <c r="AP9" s="37">
        <v>2.0</v>
      </c>
      <c r="AQ9" s="39">
        <v>0.0</v>
      </c>
      <c r="AR9" s="39">
        <f>BF9</f>
        <v>1</v>
      </c>
      <c r="AS9" s="40">
        <v>1.0</v>
      </c>
      <c r="AT9" s="40">
        <v>1.0</v>
      </c>
      <c r="AU9" s="37">
        <v>1.0</v>
      </c>
      <c r="AV9" s="37">
        <v>0.0</v>
      </c>
      <c r="AW9" s="37"/>
      <c r="AX9" s="37"/>
      <c r="AY9" s="37">
        <v>2.0</v>
      </c>
      <c r="AZ9" s="37">
        <v>1.0</v>
      </c>
      <c r="BA9" s="37">
        <v>1.0</v>
      </c>
      <c r="BB9" s="37">
        <v>1.0</v>
      </c>
      <c r="BC9" s="37">
        <v>2.0</v>
      </c>
      <c r="BD9" s="37">
        <v>1.0</v>
      </c>
      <c r="BE9" s="42">
        <v>2.0</v>
      </c>
      <c r="BF9" s="37">
        <v>1.0</v>
      </c>
      <c r="BG9" s="37"/>
      <c r="BH9" s="37"/>
      <c r="BI9" s="37">
        <f>H.Son!H9</f>
        <v>2</v>
      </c>
      <c r="BJ9" s="37">
        <f>H.Son!I9</f>
        <v>1</v>
      </c>
      <c r="BK9" s="37"/>
      <c r="BL9" s="37"/>
      <c r="BM9" s="9"/>
      <c r="BN9" s="43">
        <f>if($F9=$G9,if(and($F9=$G9,I9&lt;&gt;J9),'Thể lệ'!$E$6,if($F9=I9,0,0.5*'Thể lệ'!$E$6)),if(and($F9=I9,$G9=J9),"0",if(($F9-$G9)*(I9-J9)&gt;0,0.5*'Thể lệ'!$E$6,'Thể lệ'!$E$6)))</f>
        <v>0</v>
      </c>
      <c r="BO9" s="43"/>
      <c r="BP9" s="44">
        <f>if($F9=$G9,if(and($F9=$G9,K9&lt;&gt;L9),'Thể lệ'!$E$6,if($F9=K9,0,0.5*'Thể lệ'!$E$6)),if(and($F9=K9,$G9=L9),"0",if(($F9-$G9)*(K9-L9)&gt;0,0.5*'Thể lệ'!$E$6,'Thể lệ'!$E$6)))</f>
        <v>10000</v>
      </c>
      <c r="BQ9" s="43"/>
      <c r="BR9" s="43">
        <f>if($F9=$G9,if(and($F9=$G9,M9&lt;&gt;N9),'Thể lệ'!$E$6,if($F9=M9,0,0.5*'Thể lệ'!$E$6)),if(and($F9=M9,$G9=N9),"0",if(($F9-$G9)*(M9-N9)&gt;0,0.5*'Thể lệ'!$E$6,'Thể lệ'!$E$6)))</f>
        <v>0</v>
      </c>
      <c r="BS9" s="43"/>
      <c r="BT9" s="44">
        <f>if($F9=$G9,if(and($F9=$G9,O9&lt;&gt;P9),'Thể lệ'!$E$6,if($F9=O9,0,0.5*'Thể lệ'!$E$6)),if(and($F9=O9,$G9=P9),"0",if(($F9-$G9)*(O9-P9)&gt;0,0.5*'Thể lệ'!$E$6,'Thể lệ'!$E$6)))</f>
        <v>10000</v>
      </c>
      <c r="BU9" s="43"/>
      <c r="BV9" s="44">
        <f>if($F9=$G9,if(and($F9=$G9,Q9&lt;&gt;R9),'Thể lệ'!$E$6,if($F9=Q9,0,0.5*'Thể lệ'!$E$6)),if(and($F9=Q9,$G9=R9),"0",if(($F9-$G9)*(Q9-R9)&gt;0,0.5*'Thể lệ'!$E$6,'Thể lệ'!$E$6)))</f>
        <v>10000</v>
      </c>
      <c r="BW9" s="43"/>
      <c r="BX9" s="44">
        <f>if($F9=$G9,if(and($F9=$G9,S9&lt;&gt;T9),'Thể lệ'!$E$6,if($F9=S9,0,0.5*'Thể lệ'!$E$6)),if(and($F9=S9,$G9=T9),"0",if(($F9-$G9)*(S9-T9)&gt;0,0.5*'Thể lệ'!$E$6,'Thể lệ'!$E$6)))</f>
        <v>10000</v>
      </c>
      <c r="BY9" s="43"/>
      <c r="BZ9" s="44">
        <f>if($F9=$G9,if(and($F9=$G9,U9&lt;&gt;V9),'Thể lệ'!$E$6,if($F9=U9,0,0.5*'Thể lệ'!$E$6)),if(and($F9=U9,$G9=V9),"0",if(($F9-$G9)*(U9-V9)&gt;0,0.5*'Thể lệ'!$E$6,'Thể lệ'!$E$6)))</f>
        <v>5000</v>
      </c>
      <c r="CA9" s="43"/>
      <c r="CB9" s="44">
        <f>if($F9=$G9,if(and($F9=$G9,W9&lt;&gt;X9),'Thể lệ'!$E$6,if($F9=W9,0,0.5*'Thể lệ'!$E$6)),if(and($F9=W9,$G9=X9),"0",if(($F9-$G9)*(W9-X9)&gt;0,0.5*'Thể lệ'!$E$6,'Thể lệ'!$E$6)))</f>
        <v>5000</v>
      </c>
      <c r="CC9" s="43"/>
      <c r="CD9" s="44">
        <f>if($F9=$G9,if(and($F9=$G9,Y9&lt;&gt;Z9),'Thể lệ'!$E$6,if($F9=Y9,0,0.5*'Thể lệ'!$E$6)),if(and($F9=Y9,$G9=Z9),"0",if(($F9-$G9)*(Y9-Z9)&gt;0,0.5*'Thể lệ'!$E$6,'Thể lệ'!$E$6)))</f>
        <v>10000</v>
      </c>
      <c r="CE9" s="43"/>
      <c r="CF9" s="43">
        <f>if($F9=$G9,if(and($F9=$G9,AA9&lt;&gt;AB9),'Thể lệ'!$E$6,if($F9=AA9,0,0.5*'Thể lệ'!$E$6)),if(and($F9=AA9,$G9=AB9),"0",if(($F9-$G9)*(AA9-AB9)&gt;0,0.5*'Thể lệ'!$E$6,'Thể lệ'!$E$6)))</f>
        <v>0</v>
      </c>
      <c r="CG9" s="43"/>
      <c r="CH9" s="44">
        <f>if($F9=$G9,if(and($F9=$G9,AC9&lt;&gt;AD9),'Thể lệ'!$E$6,if($F9=AC9,0,0.5*'Thể lệ'!$E$6)),if(and($F9=AC9,$G9=AD9),"0",if(($F9-$G9)*(AC9-AD9)&gt;0,0.5*'Thể lệ'!$E$6,'Thể lệ'!$E$6)))</f>
        <v>10000</v>
      </c>
      <c r="CI9" s="43"/>
      <c r="CJ9" s="44">
        <f>if($F9=$G9,if(and($F9=$G9,AE9&lt;&gt;AF9),'Thể lệ'!$E$6,if($F9=AE9,0,0.5*'Thể lệ'!$E$6)),if(and($F9=AE9,$G9=AF9),"0",if(($F9-$G9)*(AE9-AF9)&gt;0,0.5*'Thể lệ'!$E$6,'Thể lệ'!$E$6)))</f>
        <v>5000</v>
      </c>
      <c r="CK9" s="43"/>
      <c r="CL9" s="43">
        <f>if($F9=$G9,if(and($F9=$G9,AG9&lt;&gt;AH9),'Thể lệ'!$E$6,if($F9=AG9,0,0.5*'Thể lệ'!$E$6)),if(and($F9=AG9,$G9=AH9),"0",if(($F9-$G9)*(AG9-AH9)&gt;0,0.5*'Thể lệ'!$E$6,'Thể lệ'!$E$6)))</f>
        <v>0</v>
      </c>
      <c r="CM9" s="43"/>
      <c r="CN9" s="43">
        <f>if($F9=$G9,if(and($F9=$G9,AI9&lt;&gt;AJ9),'Thể lệ'!$E$6,if($F9=AI9,0,0.5*'Thể lệ'!$E$6)),if(and($F9=AI9,$G9=AJ9),"0",if(($F9-$G9)*(AI9-AJ9)&gt;0,0.5*'Thể lệ'!$E$6,'Thể lệ'!$E$6)))</f>
        <v>0</v>
      </c>
      <c r="CO9" s="43"/>
      <c r="CP9" s="44">
        <f>if($F9=$G9,if(and($F9=$G9,AK9&lt;&gt;AL9),'Thể lệ'!$E$6,if($F9=AK9,0,0.5*'Thể lệ'!$E$6)),if(and($F9=AK9,$G9=AL9),"0",if(($F9-$G9)*(AK9-AL9)&gt;0,0.5*'Thể lệ'!$E$6,'Thể lệ'!$E$6)))</f>
        <v>10000</v>
      </c>
      <c r="CQ9" s="43"/>
      <c r="CR9" s="44">
        <f>if($F9=$G9,if(and($F9=$G9,AM9&lt;&gt;AN9),'Thể lệ'!$E$6,if($F9=AM9,0,0.5*'Thể lệ'!$E$6)),if(and($F9=AM9,$G9=AN9),"0",if(($F9-$G9)*(AM9-AN9)&gt;0,0.5*'Thể lệ'!$E$6,'Thể lệ'!$E$6)))</f>
        <v>5000</v>
      </c>
      <c r="CS9" s="43"/>
      <c r="CT9" s="44">
        <f>if($F9=$G9,if(and($F9=$G9,AO9&lt;&gt;AP9),'Thể lệ'!$E$6,if($F9=AO9,0,0.5*'Thể lệ'!$E$6)),if(and($F9=AO9,$G9=AP9),"0",if(($F9-$G9)*(AO9-AP9)&gt;0,0.5*'Thể lệ'!$E$6,'Thể lệ'!$E$6)))</f>
        <v>10000</v>
      </c>
      <c r="CU9" s="43"/>
      <c r="CV9" s="44">
        <f>if($F9=$G9,if(and($F9=$G9,AQ9&lt;&gt;AR9),'Thể lệ'!$E$6,if($F9=AQ9,0,0.5*'Thể lệ'!$E$6)),if(and($F9=AQ9,$G9=AR9),"0",if(($F9-$G9)*(AQ9-AR9)&gt;0,0.5*'Thể lệ'!$E$6,'Thể lệ'!$E$6)))</f>
        <v>10000</v>
      </c>
      <c r="CW9" s="43"/>
      <c r="CX9" s="44">
        <f>if($F9=$G9,if(and($F9=$G9,AS9&lt;&gt;AT9),'Thể lệ'!$E$6,if($F9=AS9,0,0.5*'Thể lệ'!$E$6)),if(and($F9=AS9,$G9=AT9),"0",if(($F9-$G9)*(AS9-AT9)&gt;0,0.5*'Thể lệ'!$E$6,'Thể lệ'!$E$6)))</f>
        <v>5000</v>
      </c>
      <c r="CY9" s="45"/>
      <c r="CZ9" s="44">
        <f>if($F9=$G9,if(and($F9=$G9,AU9&lt;&gt;AV9),'Thể lệ'!$E$6,if($F9=AU9,0,0.5*'Thể lệ'!$E$6)),if(and($F9=AU9,$G9=AV9),"0",if(($F9-$G9)*(AU9-AV9)&gt;0,0.5*'Thể lệ'!$E$6,'Thể lệ'!$E$6)))</f>
        <v>10000</v>
      </c>
      <c r="DA9" s="45"/>
      <c r="DB9" s="43">
        <f>if($F9=$G9,if(and($F9=$G9,AW9&lt;&gt;AX9),'Thể lệ'!$E$6,if($F9=AW9,0,0.5*'Thể lệ'!$E$6)),if(and($F9=AW9,$G9=AX9),"0",if(($F9-$G9)*(AW9-AX9)&gt;0,0.5*'Thể lệ'!$E$6,'Thể lệ'!$E$6)))</f>
        <v>0</v>
      </c>
      <c r="DC9" s="45"/>
      <c r="DD9" s="44">
        <f>if($F9=$G9,if(and($F9=$G9,AY9&lt;&gt;AZ9),'Thể lệ'!$E$6,if($F9=AY9,0,0.5*'Thể lệ'!$E$6)),if(and($F9=AY9,$G9=AZ9),"0",if(($F9-$G9)*(AY9-AZ9)&gt;0,0.5*'Thể lệ'!$E$6,'Thể lệ'!$E$6)))</f>
        <v>10000</v>
      </c>
      <c r="DE9" s="45"/>
      <c r="DF9" s="44">
        <f>if($F9=$G9,if(and($F9=$G9,BA9&lt;&gt;BB9),'Thể lệ'!$E$6,if($F9=BA9,0,0.5*'Thể lệ'!$E$6)),if(and($F9=BA9,$G9=BB9),"0",if(($F9-$G9)*(BA9-BB9)&gt;0,0.5*'Thể lệ'!$E$6,'Thể lệ'!$E$6)))</f>
        <v>5000</v>
      </c>
      <c r="DG9" s="45"/>
      <c r="DH9" s="44">
        <f>if($F9=$G9,if(and($F9=$G9,BC9&lt;&gt;BD9),'Thể lệ'!$E$6,if($F9=BC9,0,0.5*'Thể lệ'!$E$6)),if(and($F9=BC9,$G9=BD9),"0",if(($F9-$G9)*(BC9-BD9)&gt;0,0.5*'Thể lệ'!$E$6,'Thể lệ'!$E$6)))</f>
        <v>10000</v>
      </c>
      <c r="DI9" s="45"/>
      <c r="DJ9" s="44">
        <f>if($F9=$G9,if(and($F9=$G9,BE9&lt;&gt;BF9),'Thể lệ'!$E$6,if($F9=BE9,0,0.5*'Thể lệ'!$E$6)),if(and($F9=BE9,$G9=BF9),"0",if(($F9-$G9)*(BE9-BF9)&gt;0,0.5*'Thể lệ'!$E$6,'Thể lệ'!$E$6)))</f>
        <v>10000</v>
      </c>
      <c r="DK9" s="45"/>
      <c r="DL9" s="43">
        <f>if($F9=$G9,if(and($F9=$G9,BG9&lt;&gt;BH9),'Thể lệ'!$E$6,if($F9=BG9,0,0.5*'Thể lệ'!$E$6)),if(and($F9=BG9,$G9=BH9),"0",if(($F9-$G9)*(BG9-BH9)&gt;0,0.5*'Thể lệ'!$E$6,'Thể lệ'!$E$6)))</f>
        <v>0</v>
      </c>
      <c r="DM9" s="45"/>
      <c r="DN9" s="44">
        <f>if($F9=$G9,if(and($F9=$G9,BI9&lt;&gt;BJ9),'Thể lệ'!$E$6,if($F9=BI9,0,0.5*'Thể lệ'!$E$6)),if(and($F9=BI9,$G9=BJ9),"0",if(($F9-$G9)*(BI9-BJ9)&gt;0,0.5*'Thể lệ'!$E$6,'Thể lệ'!$E$6)))</f>
        <v>10000</v>
      </c>
      <c r="DO9" s="45"/>
      <c r="DP9" s="8"/>
    </row>
    <row r="10">
      <c r="B10" s="22">
        <v>4.0</v>
      </c>
      <c r="C10" s="46">
        <v>46186.33333333333</v>
      </c>
      <c r="D10" s="47">
        <v>46186.33333333333</v>
      </c>
      <c r="E10" s="48" t="s">
        <v>38</v>
      </c>
      <c r="F10" s="23"/>
      <c r="G10" s="23"/>
      <c r="H10" s="48" t="s">
        <v>39</v>
      </c>
      <c r="I10" s="37"/>
      <c r="J10" s="37"/>
      <c r="K10" s="37">
        <v>1.0</v>
      </c>
      <c r="L10" s="37">
        <v>2.0</v>
      </c>
      <c r="M10" s="37"/>
      <c r="N10" s="37"/>
      <c r="O10" s="37">
        <v>2.0</v>
      </c>
      <c r="P10" s="37">
        <v>1.0</v>
      </c>
      <c r="Q10" s="37">
        <f t="shared" si="4"/>
        <v>1</v>
      </c>
      <c r="R10" s="37">
        <f t="shared" ref="R10:R78" si="6">AF10</f>
        <v>1</v>
      </c>
      <c r="S10" s="37">
        <v>2.0</v>
      </c>
      <c r="T10" s="37">
        <v>1.0</v>
      </c>
      <c r="U10" s="37">
        <v>0.0</v>
      </c>
      <c r="V10" s="37">
        <v>0.0</v>
      </c>
      <c r="W10" s="37">
        <v>0.0</v>
      </c>
      <c r="X10" s="37">
        <v>0.0</v>
      </c>
      <c r="Y10" s="37">
        <v>1.0</v>
      </c>
      <c r="Z10" s="37">
        <v>3.0</v>
      </c>
      <c r="AA10" s="37"/>
      <c r="AB10" s="37"/>
      <c r="AC10" s="37">
        <v>0.0</v>
      </c>
      <c r="AD10" s="37">
        <v>2.0</v>
      </c>
      <c r="AE10" s="37">
        <v>1.0</v>
      </c>
      <c r="AF10" s="37">
        <v>1.0</v>
      </c>
      <c r="AG10" s="37"/>
      <c r="AH10" s="37"/>
      <c r="AI10" s="37"/>
      <c r="AJ10" s="37"/>
      <c r="AK10" s="37">
        <v>1.0</v>
      </c>
      <c r="AL10" s="37">
        <v>2.0</v>
      </c>
      <c r="AM10" s="37">
        <v>1.0</v>
      </c>
      <c r="AN10" s="37">
        <v>2.0</v>
      </c>
      <c r="AO10" s="37">
        <v>1.0</v>
      </c>
      <c r="AP10" s="37">
        <v>3.0</v>
      </c>
      <c r="AQ10" s="39">
        <f t="shared" ref="AQ10:AR10" si="5">BE10</f>
        <v>2</v>
      </c>
      <c r="AR10" s="39">
        <f t="shared" si="5"/>
        <v>1</v>
      </c>
      <c r="AS10" s="40">
        <v>2.0</v>
      </c>
      <c r="AT10" s="40">
        <v>0.0</v>
      </c>
      <c r="AU10" s="37">
        <v>2.0</v>
      </c>
      <c r="AV10" s="37">
        <v>1.0</v>
      </c>
      <c r="AW10" s="37"/>
      <c r="AX10" s="37"/>
      <c r="AY10" s="37">
        <v>0.0</v>
      </c>
      <c r="AZ10" s="37">
        <v>1.0</v>
      </c>
      <c r="BA10" s="37">
        <v>2.0</v>
      </c>
      <c r="BB10" s="37">
        <v>1.0</v>
      </c>
      <c r="BC10" s="37">
        <v>2.0</v>
      </c>
      <c r="BD10" s="37">
        <v>0.0</v>
      </c>
      <c r="BE10" s="42">
        <v>2.0</v>
      </c>
      <c r="BF10" s="37">
        <v>1.0</v>
      </c>
      <c r="BG10" s="37"/>
      <c r="BH10" s="37"/>
      <c r="BI10" s="37">
        <f>H.Son!H10</f>
        <v>2</v>
      </c>
      <c r="BJ10" s="37">
        <f>H.Son!I10</f>
        <v>0</v>
      </c>
      <c r="BK10" s="37"/>
      <c r="BL10" s="37"/>
      <c r="BM10" s="9"/>
      <c r="BN10" s="43">
        <f>if($F10=$G10,if(and($F10=$G10,I10&lt;&gt;J10),'Thể lệ'!$E$6,if($F10=I10,0,0.5*'Thể lệ'!$E$6)),if(and($F10=I10,$G10=J10),"0",if(($F10-$G10)*(I10-J10)&gt;0,0.5*'Thể lệ'!$E$6,'Thể lệ'!$E$6)))</f>
        <v>0</v>
      </c>
      <c r="BO10" s="43"/>
      <c r="BP10" s="44">
        <f>if($F10=$G10,if(and($F10=$G10,K10&lt;&gt;L10),'Thể lệ'!$E$6,if($F10=K10,0,0.5*'Thể lệ'!$E$6)),if(and($F10=K10,$G10=L10),"0",if(($F10-$G10)*(K10-L10)&gt;0,0.5*'Thể lệ'!$E$6,'Thể lệ'!$E$6)))</f>
        <v>10000</v>
      </c>
      <c r="BQ10" s="43"/>
      <c r="BR10" s="43">
        <f>if($F10=$G10,if(and($F10=$G10,M10&lt;&gt;N10),'Thể lệ'!$E$6,if($F10=M10,0,0.5*'Thể lệ'!$E$6)),if(and($F10=M10,$G10=N10),"0",if(($F10-$G10)*(M10-N10)&gt;0,0.5*'Thể lệ'!$E$6,'Thể lệ'!$E$6)))</f>
        <v>0</v>
      </c>
      <c r="BS10" s="43"/>
      <c r="BT10" s="44">
        <f>if($F10=$G10,if(and($F10=$G10,O10&lt;&gt;P10),'Thể lệ'!$E$6,if($F10=O10,0,0.5*'Thể lệ'!$E$6)),if(and($F10=O10,$G10=P10),"0",if(($F10-$G10)*(O10-P10)&gt;0,0.5*'Thể lệ'!$E$6,'Thể lệ'!$E$6)))</f>
        <v>10000</v>
      </c>
      <c r="BU10" s="43"/>
      <c r="BV10" s="44">
        <f>if($F10=$G10,if(and($F10=$G10,Q10&lt;&gt;R10),'Thể lệ'!$E$6,if($F10=Q10,0,0.5*'Thể lệ'!$E$6)),if(and($F10=Q10,$G10=R10),"0",if(($F10-$G10)*(Q10-R10)&gt;0,0.5*'Thể lệ'!$E$6,'Thể lệ'!$E$6)))</f>
        <v>5000</v>
      </c>
      <c r="BW10" s="43"/>
      <c r="BX10" s="44">
        <f>if($F10=$G10,if(and($F10=$G10,S10&lt;&gt;T10),'Thể lệ'!$E$6,if($F10=S10,0,0.5*'Thể lệ'!$E$6)),if(and($F10=S10,$G10=T10),"0",if(($F10-$G10)*(S10-T10)&gt;0,0.5*'Thể lệ'!$E$6,'Thể lệ'!$E$6)))</f>
        <v>10000</v>
      </c>
      <c r="BY10" s="43"/>
      <c r="BZ10" s="43">
        <f>if($F10=$G10,if(and($F10=$G10,U10&lt;&gt;V10),'Thể lệ'!$E$6,if($F10=U10,0,0.5*'Thể lệ'!$E$6)),if(and($F10=U10,$G10=V10),"0",if(($F10-$G10)*(U10-V10)&gt;0,0.5*'Thể lệ'!$E$6,'Thể lệ'!$E$6)))</f>
        <v>0</v>
      </c>
      <c r="CA10" s="43"/>
      <c r="CB10" s="43">
        <f>if($F10=$G10,if(and($F10=$G10,W10&lt;&gt;X10),'Thể lệ'!$E$6,if($F10=W10,0,0.5*'Thể lệ'!$E$6)),if(and($F10=W10,$G10=X10),"0",if(($F10-$G10)*(W10-X10)&gt;0,0.5*'Thể lệ'!$E$6,'Thể lệ'!$E$6)))</f>
        <v>0</v>
      </c>
      <c r="CC10" s="43"/>
      <c r="CD10" s="44">
        <f>if($F10=$G10,if(and($F10=$G10,Y10&lt;&gt;Z10),'Thể lệ'!$E$6,if($F10=Y10,0,0.5*'Thể lệ'!$E$6)),if(and($F10=Y10,$G10=Z10),"0",if(($F10-$G10)*(Y10-Z10)&gt;0,0.5*'Thể lệ'!$E$6,'Thể lệ'!$E$6)))</f>
        <v>10000</v>
      </c>
      <c r="CE10" s="43"/>
      <c r="CF10" s="43">
        <f>if($F10=$G10,if(and($F10=$G10,AA10&lt;&gt;AB10),'Thể lệ'!$E$6,if($F10=AA10,0,0.5*'Thể lệ'!$E$6)),if(and($F10=AA10,$G10=AB10),"0",if(($F10-$G10)*(AA10-AB10)&gt;0,0.5*'Thể lệ'!$E$6,'Thể lệ'!$E$6)))</f>
        <v>0</v>
      </c>
      <c r="CG10" s="43"/>
      <c r="CH10" s="44">
        <f>if($F10=$G10,if(and($F10=$G10,AC10&lt;&gt;AD10),'Thể lệ'!$E$6,if($F10=AC10,0,0.5*'Thể lệ'!$E$6)),if(and($F10=AC10,$G10=AD10),"0",if(($F10-$G10)*(AC10-AD10)&gt;0,0.5*'Thể lệ'!$E$6,'Thể lệ'!$E$6)))</f>
        <v>10000</v>
      </c>
      <c r="CI10" s="43"/>
      <c r="CJ10" s="44">
        <f>if($F10=$G10,if(and($F10=$G10,AE10&lt;&gt;AF10),'Thể lệ'!$E$6,if($F10=AE10,0,0.5*'Thể lệ'!$E$6)),if(and($F10=AE10,$G10=AF10),"0",if(($F10-$G10)*(AE10-AF10)&gt;0,0.5*'Thể lệ'!$E$6,'Thể lệ'!$E$6)))</f>
        <v>5000</v>
      </c>
      <c r="CK10" s="43"/>
      <c r="CL10" s="43">
        <f>if($F10=$G10,if(and($F10=$G10,AG10&lt;&gt;AH10),'Thể lệ'!$E$6,if($F10=AG10,0,0.5*'Thể lệ'!$E$6)),if(and($F10=AG10,$G10=AH10),"0",if(($F10-$G10)*(AG10-AH10)&gt;0,0.5*'Thể lệ'!$E$6,'Thể lệ'!$E$6)))</f>
        <v>0</v>
      </c>
      <c r="CM10" s="43"/>
      <c r="CN10" s="43">
        <f>if($F10=$G10,if(and($F10=$G10,AI10&lt;&gt;AJ10),'Thể lệ'!$E$6,if($F10=AI10,0,0.5*'Thể lệ'!$E$6)),if(and($F10=AI10,$G10=AJ10),"0",if(($F10-$G10)*(AI10-AJ10)&gt;0,0.5*'Thể lệ'!$E$6,'Thể lệ'!$E$6)))</f>
        <v>0</v>
      </c>
      <c r="CO10" s="43"/>
      <c r="CP10" s="44">
        <f>if($F10=$G10,if(and($F10=$G10,AK10&lt;&gt;AL10),'Thể lệ'!$E$6,if($F10=AK10,0,0.5*'Thể lệ'!$E$6)),if(and($F10=AK10,$G10=AL10),"0",if(($F10-$G10)*(AK10-AL10)&gt;0,0.5*'Thể lệ'!$E$6,'Thể lệ'!$E$6)))</f>
        <v>10000</v>
      </c>
      <c r="CQ10" s="43"/>
      <c r="CR10" s="44">
        <f>if($F10=$G10,if(and($F10=$G10,AM10&lt;&gt;AN10),'Thể lệ'!$E$6,if($F10=AM10,0,0.5*'Thể lệ'!$E$6)),if(and($F10=AM10,$G10=AN10),"0",if(($F10-$G10)*(AM10-AN10)&gt;0,0.5*'Thể lệ'!$E$6,'Thể lệ'!$E$6)))</f>
        <v>10000</v>
      </c>
      <c r="CS10" s="43"/>
      <c r="CT10" s="44">
        <f>if($F10=$G10,if(and($F10=$G10,AO10&lt;&gt;AP10),'Thể lệ'!$E$6,if($F10=AO10,0,0.5*'Thể lệ'!$E$6)),if(and($F10=AO10,$G10=AP10),"0",if(($F10-$G10)*(AO10-AP10)&gt;0,0.5*'Thể lệ'!$E$6,'Thể lệ'!$E$6)))</f>
        <v>10000</v>
      </c>
      <c r="CU10" s="43"/>
      <c r="CV10" s="44">
        <f>if($F10=$G10,if(and($F10=$G10,AQ10&lt;&gt;AR10),'Thể lệ'!$E$6,if($F10=AQ10,0,0.5*'Thể lệ'!$E$6)),if(and($F10=AQ10,$G10=AR10),"0",if(($F10-$G10)*(AQ10-AR10)&gt;0,0.5*'Thể lệ'!$E$6,'Thể lệ'!$E$6)))</f>
        <v>10000</v>
      </c>
      <c r="CW10" s="43"/>
      <c r="CX10" s="44">
        <f>if($F10=$G10,if(and($F10=$G10,AS10&lt;&gt;AT10),'Thể lệ'!$E$6,if($F10=AS10,0,0.5*'Thể lệ'!$E$6)),if(and($F10=AS10,$G10=AT10),"0",if(($F10-$G10)*(AS10-AT10)&gt;0,0.5*'Thể lệ'!$E$6,'Thể lệ'!$E$6)))</f>
        <v>10000</v>
      </c>
      <c r="CY10" s="45"/>
      <c r="CZ10" s="44">
        <f>if($F10=$G10,if(and($F10=$G10,AU10&lt;&gt;AV10),'Thể lệ'!$E$6,if($F10=AU10,0,0.5*'Thể lệ'!$E$6)),if(and($F10=AU10,$G10=AV10),"0",if(($F10-$G10)*(AU10-AV10)&gt;0,0.5*'Thể lệ'!$E$6,'Thể lệ'!$E$6)))</f>
        <v>10000</v>
      </c>
      <c r="DA10" s="45"/>
      <c r="DB10" s="43">
        <f>if($F10=$G10,if(and($F10=$G10,AW10&lt;&gt;AX10),'Thể lệ'!$E$6,if($F10=AW10,0,0.5*'Thể lệ'!$E$6)),if(and($F10=AW10,$G10=AX10),"0",if(($F10-$G10)*(AW10-AX10)&gt;0,0.5*'Thể lệ'!$E$6,'Thể lệ'!$E$6)))</f>
        <v>0</v>
      </c>
      <c r="DC10" s="45"/>
      <c r="DD10" s="44">
        <f>if($F10=$G10,if(and($F10=$G10,AY10&lt;&gt;AZ10),'Thể lệ'!$E$6,if($F10=AY10,0,0.5*'Thể lệ'!$E$6)),if(and($F10=AY10,$G10=AZ10),"0",if(($F10-$G10)*(AY10-AZ10)&gt;0,0.5*'Thể lệ'!$E$6,'Thể lệ'!$E$6)))</f>
        <v>10000</v>
      </c>
      <c r="DE10" s="45"/>
      <c r="DF10" s="44">
        <f>if($F10=$G10,if(and($F10=$G10,BA10&lt;&gt;BB10),'Thể lệ'!$E$6,if($F10=BA10,0,0.5*'Thể lệ'!$E$6)),if(and($F10=BA10,$G10=BB10),"0",if(($F10-$G10)*(BA10-BB10)&gt;0,0.5*'Thể lệ'!$E$6,'Thể lệ'!$E$6)))</f>
        <v>10000</v>
      </c>
      <c r="DG10" s="45"/>
      <c r="DH10" s="44">
        <f>if($F10=$G10,if(and($F10=$G10,BC10&lt;&gt;BD10),'Thể lệ'!$E$6,if($F10=BC10,0,0.5*'Thể lệ'!$E$6)),if(and($F10=BC10,$G10=BD10),"0",if(($F10-$G10)*(BC10-BD10)&gt;0,0.5*'Thể lệ'!$E$6,'Thể lệ'!$E$6)))</f>
        <v>10000</v>
      </c>
      <c r="DI10" s="45"/>
      <c r="DJ10" s="44">
        <f>if($F10=$G10,if(and($F10=$G10,BE10&lt;&gt;BF10),'Thể lệ'!$E$6,if($F10=BE10,0,0.5*'Thể lệ'!$E$6)),if(and($F10=BE10,$G10=BF10),"0",if(($F10-$G10)*(BE10-BF10)&gt;0,0.5*'Thể lệ'!$E$6,'Thể lệ'!$E$6)))</f>
        <v>10000</v>
      </c>
      <c r="DK10" s="45"/>
      <c r="DL10" s="43">
        <f>if($F10=$G10,if(and($F10=$G10,BG10&lt;&gt;BH10),'Thể lệ'!$E$6,if($F10=BG10,0,0.5*'Thể lệ'!$E$6)),if(and($F10=BG10,$G10=BH10),"0",if(($F10-$G10)*(BG10-BH10)&gt;0,0.5*'Thể lệ'!$E$6,'Thể lệ'!$E$6)))</f>
        <v>0</v>
      </c>
      <c r="DM10" s="45"/>
      <c r="DN10" s="44">
        <f>if($F10=$G10,if(and($F10=$G10,BI10&lt;&gt;BJ10),'Thể lệ'!$E$6,if($F10=BI10,0,0.5*'Thể lệ'!$E$6)),if(and($F10=BI10,$G10=BJ10),"0",if(($F10-$G10)*(BI10-BJ10)&gt;0,0.5*'Thể lệ'!$E$6,'Thể lệ'!$E$6)))</f>
        <v>10000</v>
      </c>
      <c r="DO10" s="45"/>
      <c r="DP10" s="8"/>
    </row>
    <row r="11">
      <c r="B11" s="22">
        <v>5.0</v>
      </c>
      <c r="C11" s="46">
        <v>46187.08333333333</v>
      </c>
      <c r="D11" s="47">
        <v>46187.08333333333</v>
      </c>
      <c r="E11" s="48" t="s">
        <v>40</v>
      </c>
      <c r="F11" s="23"/>
      <c r="G11" s="23"/>
      <c r="H11" s="48" t="s">
        <v>41</v>
      </c>
      <c r="I11" s="37"/>
      <c r="J11" s="37"/>
      <c r="K11" s="37">
        <v>2.0</v>
      </c>
      <c r="L11" s="37">
        <v>3.0</v>
      </c>
      <c r="M11" s="37"/>
      <c r="N11" s="37"/>
      <c r="O11" s="37">
        <v>0.0</v>
      </c>
      <c r="P11" s="37">
        <v>2.0</v>
      </c>
      <c r="Q11" s="37">
        <f t="shared" si="4"/>
        <v>1</v>
      </c>
      <c r="R11" s="37">
        <f t="shared" si="6"/>
        <v>1</v>
      </c>
      <c r="S11" s="37">
        <v>0.0</v>
      </c>
      <c r="T11" s="37">
        <v>2.0</v>
      </c>
      <c r="U11" s="37">
        <v>1.0</v>
      </c>
      <c r="V11" s="37">
        <v>2.0</v>
      </c>
      <c r="W11" s="37">
        <v>1.0</v>
      </c>
      <c r="X11" s="37">
        <v>2.0</v>
      </c>
      <c r="Y11" s="37">
        <v>0.0</v>
      </c>
      <c r="Z11" s="37">
        <v>3.0</v>
      </c>
      <c r="AA11" s="37"/>
      <c r="AB11" s="37"/>
      <c r="AC11" s="37"/>
      <c r="AD11" s="37"/>
      <c r="AE11" s="37">
        <v>1.0</v>
      </c>
      <c r="AF11" s="37">
        <v>1.0</v>
      </c>
      <c r="AG11" s="37"/>
      <c r="AH11" s="37"/>
      <c r="AI11" s="37"/>
      <c r="AJ11" s="37"/>
      <c r="AK11" s="37">
        <v>0.0</v>
      </c>
      <c r="AL11" s="37">
        <v>1.0</v>
      </c>
      <c r="AM11" s="37">
        <v>0.0</v>
      </c>
      <c r="AN11" s="37">
        <v>2.0</v>
      </c>
      <c r="AO11" s="37">
        <v>1.0</v>
      </c>
      <c r="AP11" s="37">
        <v>2.0</v>
      </c>
      <c r="AQ11" s="39">
        <f t="shared" ref="AQ11:AR11" si="7">BE11</f>
        <v>0</v>
      </c>
      <c r="AR11" s="39">
        <f t="shared" si="7"/>
        <v>1</v>
      </c>
      <c r="AS11" s="40">
        <v>0.0</v>
      </c>
      <c r="AT11" s="40">
        <v>2.0</v>
      </c>
      <c r="AU11" s="37">
        <v>0.0</v>
      </c>
      <c r="AV11" s="37">
        <v>2.0</v>
      </c>
      <c r="AW11" s="37"/>
      <c r="AX11" s="37"/>
      <c r="AY11" s="37">
        <v>0.0</v>
      </c>
      <c r="AZ11" s="37">
        <v>1.0</v>
      </c>
      <c r="BA11" s="37">
        <v>0.0</v>
      </c>
      <c r="BB11" s="37">
        <v>1.0</v>
      </c>
      <c r="BC11" s="37">
        <v>0.0</v>
      </c>
      <c r="BD11" s="37">
        <v>3.0</v>
      </c>
      <c r="BE11" s="42">
        <v>0.0</v>
      </c>
      <c r="BF11" s="37">
        <v>1.0</v>
      </c>
      <c r="BG11" s="37"/>
      <c r="BH11" s="37"/>
      <c r="BI11" s="37">
        <f>H.Son!H11</f>
        <v>0</v>
      </c>
      <c r="BJ11" s="37">
        <f>H.Son!I11</f>
        <v>2</v>
      </c>
      <c r="BK11" s="37"/>
      <c r="BL11" s="37"/>
      <c r="BM11" s="9"/>
      <c r="BN11" s="43">
        <f>if($F11=$G11,if(and($F11=$G11,I11&lt;&gt;J11),'Thể lệ'!$E$6,if($F11=I11,0,0.5*'Thể lệ'!$E$6)),if(and($F11=I11,$G11=J11),"0",if(($F11-$G11)*(I11-J11)&gt;0,0.5*'Thể lệ'!$E$6,'Thể lệ'!$E$6)))</f>
        <v>0</v>
      </c>
      <c r="BO11" s="43"/>
      <c r="BP11" s="44">
        <f>if($F11=$G11,if(and($F11=$G11,K11&lt;&gt;L11),'Thể lệ'!$E$6,if($F11=K11,0,0.5*'Thể lệ'!$E$6)),if(and($F11=K11,$G11=L11),"0",if(($F11-$G11)*(K11-L11)&gt;0,0.5*'Thể lệ'!$E$6,'Thể lệ'!$E$6)))</f>
        <v>10000</v>
      </c>
      <c r="BQ11" s="43"/>
      <c r="BR11" s="43">
        <f>if($F11=$G11,if(and($F11=$G11,M11&lt;&gt;N11),'Thể lệ'!$E$6,if($F11=M11,0,0.5*'Thể lệ'!$E$6)),if(and($F11=M11,$G11=N11),"0",if(($F11-$G11)*(M11-N11)&gt;0,0.5*'Thể lệ'!$E$6,'Thể lệ'!$E$6)))</f>
        <v>0</v>
      </c>
      <c r="BS11" s="43"/>
      <c r="BT11" s="44">
        <f>if($F11=$G11,if(and($F11=$G11,O11&lt;&gt;P11),'Thể lệ'!$E$6,if($F11=O11,0,0.5*'Thể lệ'!$E$6)),if(and($F11=O11,$G11=P11),"0",if(($F11-$G11)*(O11-P11)&gt;0,0.5*'Thể lệ'!$E$6,'Thể lệ'!$E$6)))</f>
        <v>10000</v>
      </c>
      <c r="BU11" s="43"/>
      <c r="BV11" s="44">
        <f>if($F11=$G11,if(and($F11=$G11,Q11&lt;&gt;R11),'Thể lệ'!$E$6,if($F11=Q11,0,0.5*'Thể lệ'!$E$6)),if(and($F11=Q11,$G11=R11),"0",if(($F11-$G11)*(Q11-R11)&gt;0,0.5*'Thể lệ'!$E$6,'Thể lệ'!$E$6)))</f>
        <v>5000</v>
      </c>
      <c r="BW11" s="43"/>
      <c r="BX11" s="44">
        <f>if($F11=$G11,if(and($F11=$G11,S11&lt;&gt;T11),'Thể lệ'!$E$6,if($F11=S11,0,0.5*'Thể lệ'!$E$6)),if(and($F11=S11,$G11=T11),"0",if(($F11-$G11)*(S11-T11)&gt;0,0.5*'Thể lệ'!$E$6,'Thể lệ'!$E$6)))</f>
        <v>10000</v>
      </c>
      <c r="BY11" s="43"/>
      <c r="BZ11" s="44">
        <f>if($F11=$G11,if(and($F11=$G11,U11&lt;&gt;V11),'Thể lệ'!$E$6,if($F11=U11,0,0.5*'Thể lệ'!$E$6)),if(and($F11=U11,$G11=V11),"0",if(($F11-$G11)*(U11-V11)&gt;0,0.5*'Thể lệ'!$E$6,'Thể lệ'!$E$6)))</f>
        <v>10000</v>
      </c>
      <c r="CA11" s="43"/>
      <c r="CB11" s="44">
        <f>if($F11=$G11,if(and($F11=$G11,W11&lt;&gt;X11),'Thể lệ'!$E$6,if($F11=W11,0,0.5*'Thể lệ'!$E$6)),if(and($F11=W11,$G11=X11),"0",if(($F11-$G11)*(W11-X11)&gt;0,0.5*'Thể lệ'!$E$6,'Thể lệ'!$E$6)))</f>
        <v>10000</v>
      </c>
      <c r="CC11" s="43"/>
      <c r="CD11" s="44">
        <f>if($F11=$G11,if(and($F11=$G11,Y11&lt;&gt;Z11),'Thể lệ'!$E$6,if($F11=Y11,0,0.5*'Thể lệ'!$E$6)),if(and($F11=Y11,$G11=Z11),"0",if(($F11-$G11)*(Y11-Z11)&gt;0,0.5*'Thể lệ'!$E$6,'Thể lệ'!$E$6)))</f>
        <v>10000</v>
      </c>
      <c r="CE11" s="43"/>
      <c r="CF11" s="43">
        <f>if($F11=$G11,if(and($F11=$G11,AA11&lt;&gt;AB11),'Thể lệ'!$E$6,if($F11=AA11,0,0.5*'Thể lệ'!$E$6)),if(and($F11=AA11,$G11=AB11),"0",if(($F11-$G11)*(AA11-AB11)&gt;0,0.5*'Thể lệ'!$E$6,'Thể lệ'!$E$6)))</f>
        <v>0</v>
      </c>
      <c r="CG11" s="43"/>
      <c r="CH11" s="43">
        <f>if($F11=$G11,if(and($F11=$G11,AC11&lt;&gt;AD11),'Thể lệ'!$E$6,if($F11=AC11,0,0.5*'Thể lệ'!$E$6)),if(and($F11=AC11,$G11=AD11),"0",if(($F11-$G11)*(AC11-AD11)&gt;0,0.5*'Thể lệ'!$E$6,'Thể lệ'!$E$6)))</f>
        <v>0</v>
      </c>
      <c r="CI11" s="43"/>
      <c r="CJ11" s="44">
        <f>if($F11=$G11,if(and($F11=$G11,AE11&lt;&gt;AF11),'Thể lệ'!$E$6,if($F11=AE11,0,0.5*'Thể lệ'!$E$6)),if(and($F11=AE11,$G11=AF11),"0",if(($F11-$G11)*(AE11-AF11)&gt;0,0.5*'Thể lệ'!$E$6,'Thể lệ'!$E$6)))</f>
        <v>5000</v>
      </c>
      <c r="CK11" s="43"/>
      <c r="CL11" s="43">
        <f>if($F11=$G11,if(and($F11=$G11,AG11&lt;&gt;AH11),'Thể lệ'!$E$6,if($F11=AG11,0,0.5*'Thể lệ'!$E$6)),if(and($F11=AG11,$G11=AH11),"0",if(($F11-$G11)*(AG11-AH11)&gt;0,0.5*'Thể lệ'!$E$6,'Thể lệ'!$E$6)))</f>
        <v>0</v>
      </c>
      <c r="CM11" s="43"/>
      <c r="CN11" s="43">
        <f>if($F11=$G11,if(and($F11=$G11,AI11&lt;&gt;AJ11),'Thể lệ'!$E$6,if($F11=AI11,0,0.5*'Thể lệ'!$E$6)),if(and($F11=AI11,$G11=AJ11),"0",if(($F11-$G11)*(AI11-AJ11)&gt;0,0.5*'Thể lệ'!$E$6,'Thể lệ'!$E$6)))</f>
        <v>0</v>
      </c>
      <c r="CO11" s="43"/>
      <c r="CP11" s="44">
        <f>if($F11=$G11,if(and($F11=$G11,AK11&lt;&gt;AL11),'Thể lệ'!$E$6,if($F11=AK11,0,0.5*'Thể lệ'!$E$6)),if(and($F11=AK11,$G11=AL11),"0",if(($F11-$G11)*(AK11-AL11)&gt;0,0.5*'Thể lệ'!$E$6,'Thể lệ'!$E$6)))</f>
        <v>10000</v>
      </c>
      <c r="CQ11" s="43"/>
      <c r="CR11" s="44">
        <f>if($F11=$G11,if(and($F11=$G11,AM11&lt;&gt;AN11),'Thể lệ'!$E$6,if($F11=AM11,0,0.5*'Thể lệ'!$E$6)),if(and($F11=AM11,$G11=AN11),"0",if(($F11-$G11)*(AM11-AN11)&gt;0,0.5*'Thể lệ'!$E$6,'Thể lệ'!$E$6)))</f>
        <v>10000</v>
      </c>
      <c r="CS11" s="43"/>
      <c r="CT11" s="44">
        <f>if($F11=$G11,if(and($F11=$G11,AO11&lt;&gt;AP11),'Thể lệ'!$E$6,if($F11=AO11,0,0.5*'Thể lệ'!$E$6)),if(and($F11=AO11,$G11=AP11),"0",if(($F11-$G11)*(AO11-AP11)&gt;0,0.5*'Thể lệ'!$E$6,'Thể lệ'!$E$6)))</f>
        <v>10000</v>
      </c>
      <c r="CU11" s="43"/>
      <c r="CV11" s="44">
        <f>if($F11=$G11,if(and($F11=$G11,AQ11&lt;&gt;AR11),'Thể lệ'!$E$6,if($F11=AQ11,0,0.5*'Thể lệ'!$E$6)),if(and($F11=AQ11,$G11=AR11),"0",if(($F11-$G11)*(AQ11-AR11)&gt;0,0.5*'Thể lệ'!$E$6,'Thể lệ'!$E$6)))</f>
        <v>10000</v>
      </c>
      <c r="CW11" s="43"/>
      <c r="CX11" s="44">
        <f>if($F11=$G11,if(and($F11=$G11,AS11&lt;&gt;AT11),'Thể lệ'!$E$6,if($F11=AS11,0,0.5*'Thể lệ'!$E$6)),if(and($F11=AS11,$G11=AT11),"0",if(($F11-$G11)*(AS11-AT11)&gt;0,0.5*'Thể lệ'!$E$6,'Thể lệ'!$E$6)))</f>
        <v>10000</v>
      </c>
      <c r="CY11" s="45"/>
      <c r="CZ11" s="44">
        <f>if($F11=$G11,if(and($F11=$G11,AU11&lt;&gt;AV11),'Thể lệ'!$E$6,if($F11=AU11,0,0.5*'Thể lệ'!$E$6)),if(and($F11=AU11,$G11=AV11),"0",if(($F11-$G11)*(AU11-AV11)&gt;0,0.5*'Thể lệ'!$E$6,'Thể lệ'!$E$6)))</f>
        <v>10000</v>
      </c>
      <c r="DA11" s="45"/>
      <c r="DB11" s="43">
        <f>if($F11=$G11,if(and($F11=$G11,AW11&lt;&gt;AX11),'Thể lệ'!$E$6,if($F11=AW11,0,0.5*'Thể lệ'!$E$6)),if(and($F11=AW11,$G11=AX11),"0",if(($F11-$G11)*(AW11-AX11)&gt;0,0.5*'Thể lệ'!$E$6,'Thể lệ'!$E$6)))</f>
        <v>0</v>
      </c>
      <c r="DC11" s="45"/>
      <c r="DD11" s="44">
        <f>if($F11=$G11,if(and($F11=$G11,AY11&lt;&gt;AZ11),'Thể lệ'!$E$6,if($F11=AY11,0,0.5*'Thể lệ'!$E$6)),if(and($F11=AY11,$G11=AZ11),"0",if(($F11-$G11)*(AY11-AZ11)&gt;0,0.5*'Thể lệ'!$E$6,'Thể lệ'!$E$6)))</f>
        <v>10000</v>
      </c>
      <c r="DE11" s="45"/>
      <c r="DF11" s="44">
        <f>if($F11=$G11,if(and($F11=$G11,BA11&lt;&gt;BB11),'Thể lệ'!$E$6,if($F11=BA11,0,0.5*'Thể lệ'!$E$6)),if(and($F11=BA11,$G11=BB11),"0",if(($F11-$G11)*(BA11-BB11)&gt;0,0.5*'Thể lệ'!$E$6,'Thể lệ'!$E$6)))</f>
        <v>10000</v>
      </c>
      <c r="DG11" s="45"/>
      <c r="DH11" s="44">
        <f>if($F11=$G11,if(and($F11=$G11,BC11&lt;&gt;BD11),'Thể lệ'!$E$6,if($F11=BC11,0,0.5*'Thể lệ'!$E$6)),if(and($F11=BC11,$G11=BD11),"0",if(($F11-$G11)*(BC11-BD11)&gt;0,0.5*'Thể lệ'!$E$6,'Thể lệ'!$E$6)))</f>
        <v>10000</v>
      </c>
      <c r="DI11" s="45"/>
      <c r="DJ11" s="44">
        <f>if($F11=$G11,if(and($F11=$G11,BE11&lt;&gt;BF11),'Thể lệ'!$E$6,if($F11=BE11,0,0.5*'Thể lệ'!$E$6)),if(and($F11=BE11,$G11=BF11),"0",if(($F11-$G11)*(BE11-BF11)&gt;0,0.5*'Thể lệ'!$E$6,'Thể lệ'!$E$6)))</f>
        <v>10000</v>
      </c>
      <c r="DK11" s="45"/>
      <c r="DL11" s="43">
        <f>if($F11=$G11,if(and($F11=$G11,BG11&lt;&gt;BH11),'Thể lệ'!$E$6,if($F11=BG11,0,0.5*'Thể lệ'!$E$6)),if(and($F11=BG11,$G11=BH11),"0",if(($F11-$G11)*(BG11-BH11)&gt;0,0.5*'Thể lệ'!$E$6,'Thể lệ'!$E$6)))</f>
        <v>0</v>
      </c>
      <c r="DM11" s="45"/>
      <c r="DN11" s="44">
        <f>if($F11=$G11,if(and($F11=$G11,BI11&lt;&gt;BJ11),'Thể lệ'!$E$6,if($F11=BI11,0,0.5*'Thể lệ'!$E$6)),if(and($F11=BI11,$G11=BJ11),"0",if(($F11-$G11)*(BI11-BJ11)&gt;0,0.5*'Thể lệ'!$E$6,'Thể lệ'!$E$6)))</f>
        <v>10000</v>
      </c>
      <c r="DO11" s="45"/>
      <c r="DP11" s="8"/>
    </row>
    <row r="12">
      <c r="B12" s="22">
        <v>6.0</v>
      </c>
      <c r="C12" s="46">
        <v>46187.20833333333</v>
      </c>
      <c r="D12" s="47">
        <v>46187.20833333333</v>
      </c>
      <c r="E12" s="48" t="s">
        <v>42</v>
      </c>
      <c r="F12" s="23"/>
      <c r="G12" s="23"/>
      <c r="H12" s="48" t="s">
        <v>43</v>
      </c>
      <c r="I12" s="37"/>
      <c r="J12" s="37"/>
      <c r="K12" s="37">
        <v>3.0</v>
      </c>
      <c r="L12" s="37">
        <v>1.0</v>
      </c>
      <c r="M12" s="37"/>
      <c r="N12" s="37"/>
      <c r="O12" s="37">
        <v>3.0</v>
      </c>
      <c r="P12" s="37">
        <v>1.0</v>
      </c>
      <c r="Q12" s="37">
        <f t="shared" si="4"/>
        <v>1</v>
      </c>
      <c r="R12" s="37">
        <f t="shared" si="6"/>
        <v>1</v>
      </c>
      <c r="S12" s="37">
        <v>2.0</v>
      </c>
      <c r="T12" s="37">
        <v>1.0</v>
      </c>
      <c r="U12" s="37">
        <v>2.0</v>
      </c>
      <c r="V12" s="37">
        <v>0.0</v>
      </c>
      <c r="W12" s="37">
        <v>2.0</v>
      </c>
      <c r="X12" s="37">
        <v>0.0</v>
      </c>
      <c r="Y12" s="37">
        <v>1.0</v>
      </c>
      <c r="Z12" s="37">
        <v>1.0</v>
      </c>
      <c r="AA12" s="37"/>
      <c r="AB12" s="37"/>
      <c r="AC12" s="37"/>
      <c r="AD12" s="37"/>
      <c r="AE12" s="37">
        <v>1.0</v>
      </c>
      <c r="AF12" s="37">
        <v>1.0</v>
      </c>
      <c r="AG12" s="37"/>
      <c r="AH12" s="37"/>
      <c r="AI12" s="37"/>
      <c r="AJ12" s="37"/>
      <c r="AK12" s="37">
        <v>2.0</v>
      </c>
      <c r="AL12" s="37">
        <v>0.0</v>
      </c>
      <c r="AM12" s="37"/>
      <c r="AN12" s="37"/>
      <c r="AO12" s="37">
        <v>2.0</v>
      </c>
      <c r="AP12" s="37">
        <v>2.0</v>
      </c>
      <c r="AQ12" s="39">
        <f t="shared" ref="AQ12:AR12" si="8">BE12</f>
        <v>2</v>
      </c>
      <c r="AR12" s="39">
        <f t="shared" si="8"/>
        <v>1</v>
      </c>
      <c r="AS12" s="40">
        <v>3.0</v>
      </c>
      <c r="AT12" s="40">
        <v>0.0</v>
      </c>
      <c r="AU12" s="37">
        <v>2.0</v>
      </c>
      <c r="AV12" s="37">
        <v>1.0</v>
      </c>
      <c r="AW12" s="37"/>
      <c r="AX12" s="37"/>
      <c r="AY12" s="37">
        <v>2.0</v>
      </c>
      <c r="AZ12" s="37">
        <v>0.0</v>
      </c>
      <c r="BA12" s="37">
        <v>1.0</v>
      </c>
      <c r="BB12" s="37">
        <v>2.0</v>
      </c>
      <c r="BC12" s="37">
        <v>2.0</v>
      </c>
      <c r="BD12" s="37">
        <v>1.0</v>
      </c>
      <c r="BE12" s="42">
        <v>2.0</v>
      </c>
      <c r="BF12" s="37">
        <v>1.0</v>
      </c>
      <c r="BG12" s="37"/>
      <c r="BH12" s="37"/>
      <c r="BI12" s="37">
        <f>H.Son!H12</f>
        <v>2</v>
      </c>
      <c r="BJ12" s="37">
        <f>H.Son!I12</f>
        <v>0</v>
      </c>
      <c r="BK12" s="37"/>
      <c r="BL12" s="37"/>
      <c r="BM12" s="9"/>
      <c r="BN12" s="43">
        <f>if($F12=$G12,if(and($F12=$G12,I12&lt;&gt;J12),'Thể lệ'!$E$6,if($F12=I12,0,0.5*'Thể lệ'!$E$6)),if(and($F12=I12,$G12=J12),"0",if(($F12-$G12)*(I12-J12)&gt;0,0.5*'Thể lệ'!$E$6,'Thể lệ'!$E$6)))</f>
        <v>0</v>
      </c>
      <c r="BO12" s="43"/>
      <c r="BP12" s="44">
        <f>if($F12=$G12,if(and($F12=$G12,K12&lt;&gt;L12),'Thể lệ'!$E$6,if($F12=K12,0,0.5*'Thể lệ'!$E$6)),if(and($F12=K12,$G12=L12),"0",if(($F12-$G12)*(K12-L12)&gt;0,0.5*'Thể lệ'!$E$6,'Thể lệ'!$E$6)))</f>
        <v>10000</v>
      </c>
      <c r="BQ12" s="43"/>
      <c r="BR12" s="43">
        <f>if($F12=$G12,if(and($F12=$G12,M12&lt;&gt;N12),'Thể lệ'!$E$6,if($F12=M12,0,0.5*'Thể lệ'!$E$6)),if(and($F12=M12,$G12=N12),"0",if(($F12-$G12)*(M12-N12)&gt;0,0.5*'Thể lệ'!$E$6,'Thể lệ'!$E$6)))</f>
        <v>0</v>
      </c>
      <c r="BS12" s="43"/>
      <c r="BT12" s="44">
        <f>if($F12=$G12,if(and($F12=$G12,O12&lt;&gt;P12),'Thể lệ'!$E$6,if($F12=O12,0,0.5*'Thể lệ'!$E$6)),if(and($F12=O12,$G12=P12),"0",if(($F12-$G12)*(O12-P12)&gt;0,0.5*'Thể lệ'!$E$6,'Thể lệ'!$E$6)))</f>
        <v>10000</v>
      </c>
      <c r="BU12" s="43"/>
      <c r="BV12" s="44">
        <f>if($F12=$G12,if(and($F12=$G12,Q12&lt;&gt;R12),'Thể lệ'!$E$6,if($F12=Q12,0,0.5*'Thể lệ'!$E$6)),if(and($F12=Q12,$G12=R12),"0",if(($F12-$G12)*(Q12-R12)&gt;0,0.5*'Thể lệ'!$E$6,'Thể lệ'!$E$6)))</f>
        <v>5000</v>
      </c>
      <c r="BW12" s="43"/>
      <c r="BX12" s="44">
        <f>if($F12=$G12,if(and($F12=$G12,S12&lt;&gt;T12),'Thể lệ'!$E$6,if($F12=S12,0,0.5*'Thể lệ'!$E$6)),if(and($F12=S12,$G12=T12),"0",if(($F12-$G12)*(S12-T12)&gt;0,0.5*'Thể lệ'!$E$6,'Thể lệ'!$E$6)))</f>
        <v>10000</v>
      </c>
      <c r="BY12" s="43"/>
      <c r="BZ12" s="44">
        <f>if($F12=$G12,if(and($F12=$G12,U12&lt;&gt;V12),'Thể lệ'!$E$6,if($F12=U12,0,0.5*'Thể lệ'!$E$6)),if(and($F12=U12,$G12=V12),"0",if(($F12-$G12)*(U12-V12)&gt;0,0.5*'Thể lệ'!$E$6,'Thể lệ'!$E$6)))</f>
        <v>10000</v>
      </c>
      <c r="CA12" s="43"/>
      <c r="CB12" s="44">
        <f>if($F12=$G12,if(and($F12=$G12,W12&lt;&gt;X12),'Thể lệ'!$E$6,if($F12=W12,0,0.5*'Thể lệ'!$E$6)),if(and($F12=W12,$G12=X12),"0",if(($F12-$G12)*(W12-X12)&gt;0,0.5*'Thể lệ'!$E$6,'Thể lệ'!$E$6)))</f>
        <v>10000</v>
      </c>
      <c r="CC12" s="43"/>
      <c r="CD12" s="44">
        <f>if($F12=$G12,if(and($F12=$G12,Y12&lt;&gt;Z12),'Thể lệ'!$E$6,if($F12=Y12,0,0.5*'Thể lệ'!$E$6)),if(and($F12=Y12,$G12=Z12),"0",if(($F12-$G12)*(Y12-Z12)&gt;0,0.5*'Thể lệ'!$E$6,'Thể lệ'!$E$6)))</f>
        <v>5000</v>
      </c>
      <c r="CE12" s="43"/>
      <c r="CF12" s="43">
        <f>if($F12=$G12,if(and($F12=$G12,AA12&lt;&gt;AB12),'Thể lệ'!$E$6,if($F12=AA12,0,0.5*'Thể lệ'!$E$6)),if(and($F12=AA12,$G12=AB12),"0",if(($F12-$G12)*(AA12-AB12)&gt;0,0.5*'Thể lệ'!$E$6,'Thể lệ'!$E$6)))</f>
        <v>0</v>
      </c>
      <c r="CG12" s="43"/>
      <c r="CH12" s="43">
        <f>if($F12=$G12,if(and($F12=$G12,AC12&lt;&gt;AD12),'Thể lệ'!$E$6,if($F12=AC12,0,0.5*'Thể lệ'!$E$6)),if(and($F12=AC12,$G12=AD12),"0",if(($F12-$G12)*(AC12-AD12)&gt;0,0.5*'Thể lệ'!$E$6,'Thể lệ'!$E$6)))</f>
        <v>0</v>
      </c>
      <c r="CI12" s="43"/>
      <c r="CJ12" s="44">
        <f>if($F12=$G12,if(and($F12=$G12,AE12&lt;&gt;AF12),'Thể lệ'!$E$6,if($F12=AE12,0,0.5*'Thể lệ'!$E$6)),if(and($F12=AE12,$G12=AF12),"0",if(($F12-$G12)*(AE12-AF12)&gt;0,0.5*'Thể lệ'!$E$6,'Thể lệ'!$E$6)))</f>
        <v>5000</v>
      </c>
      <c r="CK12" s="43"/>
      <c r="CL12" s="43">
        <f>if($F12=$G12,if(and($F12=$G12,AG12&lt;&gt;AH12),'Thể lệ'!$E$6,if($F12=AG12,0,0.5*'Thể lệ'!$E$6)),if(and($F12=AG12,$G12=AH12),"0",if(($F12-$G12)*(AG12-AH12)&gt;0,0.5*'Thể lệ'!$E$6,'Thể lệ'!$E$6)))</f>
        <v>0</v>
      </c>
      <c r="CM12" s="43"/>
      <c r="CN12" s="43">
        <f>if($F12=$G12,if(and($F12=$G12,AI12&lt;&gt;AJ12),'Thể lệ'!$E$6,if($F12=AI12,0,0.5*'Thể lệ'!$E$6)),if(and($F12=AI12,$G12=AJ12),"0",if(($F12-$G12)*(AI12-AJ12)&gt;0,0.5*'Thể lệ'!$E$6,'Thể lệ'!$E$6)))</f>
        <v>0</v>
      </c>
      <c r="CO12" s="43"/>
      <c r="CP12" s="44">
        <f>if($F12=$G12,if(and($F12=$G12,AK12&lt;&gt;AL12),'Thể lệ'!$E$6,if($F12=AK12,0,0.5*'Thể lệ'!$E$6)),if(and($F12=AK12,$G12=AL12),"0",if(($F12-$G12)*(AK12-AL12)&gt;0,0.5*'Thể lệ'!$E$6,'Thể lệ'!$E$6)))</f>
        <v>10000</v>
      </c>
      <c r="CQ12" s="43"/>
      <c r="CR12" s="43">
        <f>if($F12=$G12,if(and($F12=$G12,AM12&lt;&gt;AN12),'Thể lệ'!$E$6,if($F12=AM12,0,0.5*'Thể lệ'!$E$6)),if(and($F12=AM12,$G12=AN12),"0",if(($F12-$G12)*(AM12-AN12)&gt;0,0.5*'Thể lệ'!$E$6,'Thể lệ'!$E$6)))</f>
        <v>0</v>
      </c>
      <c r="CS12" s="43"/>
      <c r="CT12" s="44">
        <f>if($F12=$G12,if(and($F12=$G12,AO12&lt;&gt;AP12),'Thể lệ'!$E$6,if($F12=AO12,0,0.5*'Thể lệ'!$E$6)),if(and($F12=AO12,$G12=AP12),"0",if(($F12-$G12)*(AO12-AP12)&gt;0,0.5*'Thể lệ'!$E$6,'Thể lệ'!$E$6)))</f>
        <v>5000</v>
      </c>
      <c r="CU12" s="43"/>
      <c r="CV12" s="44">
        <f>if($F12=$G12,if(and($F12=$G12,AQ12&lt;&gt;AR12),'Thể lệ'!$E$6,if($F12=AQ12,0,0.5*'Thể lệ'!$E$6)),if(and($F12=AQ12,$G12=AR12),"0",if(($F12-$G12)*(AQ12-AR12)&gt;0,0.5*'Thể lệ'!$E$6,'Thể lệ'!$E$6)))</f>
        <v>10000</v>
      </c>
      <c r="CW12" s="43"/>
      <c r="CX12" s="44">
        <f>if($F12=$G12,if(and($F12=$G12,AS12&lt;&gt;AT12),'Thể lệ'!$E$6,if($F12=AS12,0,0.5*'Thể lệ'!$E$6)),if(and($F12=AS12,$G12=AT12),"0",if(($F12-$G12)*(AS12-AT12)&gt;0,0.5*'Thể lệ'!$E$6,'Thể lệ'!$E$6)))</f>
        <v>10000</v>
      </c>
      <c r="CY12" s="45"/>
      <c r="CZ12" s="44">
        <f>if($F12=$G12,if(and($F12=$G12,AU12&lt;&gt;AV12),'Thể lệ'!$E$6,if($F12=AU12,0,0.5*'Thể lệ'!$E$6)),if(and($F12=AU12,$G12=AV12),"0",if(($F12-$G12)*(AU12-AV12)&gt;0,0.5*'Thể lệ'!$E$6,'Thể lệ'!$E$6)))</f>
        <v>10000</v>
      </c>
      <c r="DA12" s="45"/>
      <c r="DB12" s="43">
        <f>if($F12=$G12,if(and($F12=$G12,AW12&lt;&gt;AX12),'Thể lệ'!$E$6,if($F12=AW12,0,0.5*'Thể lệ'!$E$6)),if(and($F12=AW12,$G12=AX12),"0",if(($F12-$G12)*(AW12-AX12)&gt;0,0.5*'Thể lệ'!$E$6,'Thể lệ'!$E$6)))</f>
        <v>0</v>
      </c>
      <c r="DC12" s="45"/>
      <c r="DD12" s="44">
        <f>if($F12=$G12,if(and($F12=$G12,AY12&lt;&gt;AZ12),'Thể lệ'!$E$6,if($F12=AY12,0,0.5*'Thể lệ'!$E$6)),if(and($F12=AY12,$G12=AZ12),"0",if(($F12-$G12)*(AY12-AZ12)&gt;0,0.5*'Thể lệ'!$E$6,'Thể lệ'!$E$6)))</f>
        <v>10000</v>
      </c>
      <c r="DE12" s="45"/>
      <c r="DF12" s="44">
        <f>if($F12=$G12,if(and($F12=$G12,BA12&lt;&gt;BB12),'Thể lệ'!$E$6,if($F12=BA12,0,0.5*'Thể lệ'!$E$6)),if(and($F12=BA12,$G12=BB12),"0",if(($F12-$G12)*(BA12-BB12)&gt;0,0.5*'Thể lệ'!$E$6,'Thể lệ'!$E$6)))</f>
        <v>10000</v>
      </c>
      <c r="DG12" s="45"/>
      <c r="DH12" s="44">
        <f>if($F12=$G12,if(and($F12=$G12,BC12&lt;&gt;BD12),'Thể lệ'!$E$6,if($F12=BC12,0,0.5*'Thể lệ'!$E$6)),if(and($F12=BC12,$G12=BD12),"0",if(($F12-$G12)*(BC12-BD12)&gt;0,0.5*'Thể lệ'!$E$6,'Thể lệ'!$E$6)))</f>
        <v>10000</v>
      </c>
      <c r="DI12" s="45"/>
      <c r="DJ12" s="44">
        <f>if($F12=$G12,if(and($F12=$G12,BE12&lt;&gt;BF12),'Thể lệ'!$E$6,if($F12=BE12,0,0.5*'Thể lệ'!$E$6)),if(and($F12=BE12,$G12=BF12),"0",if(($F12-$G12)*(BE12-BF12)&gt;0,0.5*'Thể lệ'!$E$6,'Thể lệ'!$E$6)))</f>
        <v>10000</v>
      </c>
      <c r="DK12" s="45"/>
      <c r="DL12" s="43">
        <f>if($F12=$G12,if(and($F12=$G12,BG12&lt;&gt;BH12),'Thể lệ'!$E$6,if($F12=BG12,0,0.5*'Thể lệ'!$E$6)),if(and($F12=BG12,$G12=BH12),"0",if(($F12-$G12)*(BG12-BH12)&gt;0,0.5*'Thể lệ'!$E$6,'Thể lệ'!$E$6)))</f>
        <v>0</v>
      </c>
      <c r="DM12" s="45"/>
      <c r="DN12" s="44">
        <f>if($F12=$G12,if(and($F12=$G12,BI12&lt;&gt;BJ12),'Thể lệ'!$E$6,if($F12=BI12,0,0.5*'Thể lệ'!$E$6)),if(and($F12=BI12,$G12=BJ12),"0",if(($F12-$G12)*(BI12-BJ12)&gt;0,0.5*'Thể lệ'!$E$6,'Thể lệ'!$E$6)))</f>
        <v>10000</v>
      </c>
      <c r="DO12" s="45"/>
      <c r="DP12" s="8"/>
    </row>
    <row r="13">
      <c r="B13" s="22">
        <v>7.0</v>
      </c>
      <c r="C13" s="46">
        <v>46187.33333333333</v>
      </c>
      <c r="D13" s="47">
        <v>46187.33333333333</v>
      </c>
      <c r="E13" s="48" t="s">
        <v>44</v>
      </c>
      <c r="F13" s="23"/>
      <c r="G13" s="23"/>
      <c r="H13" s="48" t="s">
        <v>45</v>
      </c>
      <c r="I13" s="37"/>
      <c r="J13" s="37"/>
      <c r="K13" s="37">
        <v>1.0</v>
      </c>
      <c r="L13" s="37">
        <v>2.0</v>
      </c>
      <c r="M13" s="37"/>
      <c r="N13" s="37"/>
      <c r="O13" s="37">
        <v>0.0</v>
      </c>
      <c r="P13" s="37">
        <v>2.0</v>
      </c>
      <c r="Q13" s="37">
        <f t="shared" si="4"/>
        <v>1</v>
      </c>
      <c r="R13" s="37">
        <f t="shared" si="6"/>
        <v>2</v>
      </c>
      <c r="S13" s="37">
        <v>0.0</v>
      </c>
      <c r="T13" s="37">
        <v>2.0</v>
      </c>
      <c r="U13" s="37">
        <v>0.0</v>
      </c>
      <c r="V13" s="37">
        <v>1.0</v>
      </c>
      <c r="W13" s="37">
        <v>0.0</v>
      </c>
      <c r="X13" s="37">
        <v>1.0</v>
      </c>
      <c r="Y13" s="37">
        <v>1.0</v>
      </c>
      <c r="Z13" s="37">
        <v>2.0</v>
      </c>
      <c r="AA13" s="37"/>
      <c r="AB13" s="37"/>
      <c r="AC13" s="37"/>
      <c r="AD13" s="37"/>
      <c r="AE13" s="37">
        <v>1.0</v>
      </c>
      <c r="AF13" s="37">
        <v>2.0</v>
      </c>
      <c r="AG13" s="37"/>
      <c r="AH13" s="37"/>
      <c r="AI13" s="37"/>
      <c r="AJ13" s="37"/>
      <c r="AK13" s="37">
        <v>0.0</v>
      </c>
      <c r="AL13" s="37">
        <v>1.0</v>
      </c>
      <c r="AM13" s="37"/>
      <c r="AN13" s="37"/>
      <c r="AO13" s="37">
        <v>2.0</v>
      </c>
      <c r="AP13" s="37">
        <v>3.0</v>
      </c>
      <c r="AQ13" s="39">
        <f t="shared" ref="AQ13:AR13" si="9">BE13</f>
        <v>1</v>
      </c>
      <c r="AR13" s="39">
        <f t="shared" si="9"/>
        <v>2</v>
      </c>
      <c r="AS13" s="40">
        <v>1.0</v>
      </c>
      <c r="AT13" s="40">
        <v>1.0</v>
      </c>
      <c r="AU13" s="37"/>
      <c r="AV13" s="37"/>
      <c r="AW13" s="37"/>
      <c r="AX13" s="37"/>
      <c r="AY13" s="37">
        <v>0.0</v>
      </c>
      <c r="AZ13" s="37">
        <v>2.0</v>
      </c>
      <c r="BA13" s="37">
        <v>1.0</v>
      </c>
      <c r="BB13" s="37">
        <v>2.0</v>
      </c>
      <c r="BC13" s="37">
        <v>0.0</v>
      </c>
      <c r="BD13" s="37">
        <v>2.0</v>
      </c>
      <c r="BE13" s="42">
        <v>1.0</v>
      </c>
      <c r="BF13" s="37">
        <v>2.0</v>
      </c>
      <c r="BG13" s="37"/>
      <c r="BH13" s="37"/>
      <c r="BI13" s="37">
        <f>H.Son!H13</f>
        <v>0</v>
      </c>
      <c r="BJ13" s="37">
        <f>H.Son!I13</f>
        <v>2</v>
      </c>
      <c r="BK13" s="37"/>
      <c r="BL13" s="37"/>
      <c r="BM13" s="9"/>
      <c r="BN13" s="43">
        <f>if($F13=$G13,if(and($F13=$G13,I13&lt;&gt;J13),'Thể lệ'!$E$6,if($F13=I13,0,0.5*'Thể lệ'!$E$6)),if(and($F13=I13,$G13=J13),"0",if(($F13-$G13)*(I13-J13)&gt;0,0.5*'Thể lệ'!$E$6,'Thể lệ'!$E$6)))</f>
        <v>0</v>
      </c>
      <c r="BO13" s="43"/>
      <c r="BP13" s="44">
        <f>if($F13=$G13,if(and($F13=$G13,K13&lt;&gt;L13),'Thể lệ'!$E$6,if($F13=K13,0,0.5*'Thể lệ'!$E$6)),if(and($F13=K13,$G13=L13),"0",if(($F13-$G13)*(K13-L13)&gt;0,0.5*'Thể lệ'!$E$6,'Thể lệ'!$E$6)))</f>
        <v>10000</v>
      </c>
      <c r="BQ13" s="43"/>
      <c r="BR13" s="43">
        <f>if($F13=$G13,if(and($F13=$G13,M13&lt;&gt;N13),'Thể lệ'!$E$6,if($F13=M13,0,0.5*'Thể lệ'!$E$6)),if(and($F13=M13,$G13=N13),"0",if(($F13-$G13)*(M13-N13)&gt;0,0.5*'Thể lệ'!$E$6,'Thể lệ'!$E$6)))</f>
        <v>0</v>
      </c>
      <c r="BS13" s="43"/>
      <c r="BT13" s="44">
        <f>if($F13=$G13,if(and($F13=$G13,O13&lt;&gt;P13),'Thể lệ'!$E$6,if($F13=O13,0,0.5*'Thể lệ'!$E$6)),if(and($F13=O13,$G13=P13),"0",if(($F13-$G13)*(O13-P13)&gt;0,0.5*'Thể lệ'!$E$6,'Thể lệ'!$E$6)))</f>
        <v>10000</v>
      </c>
      <c r="BU13" s="43"/>
      <c r="BV13" s="44">
        <f>if($F13=$G13,if(and($F13=$G13,Q13&lt;&gt;R13),'Thể lệ'!$E$6,if($F13=Q13,0,0.5*'Thể lệ'!$E$6)),if(and($F13=Q13,$G13=R13),"0",if(($F13-$G13)*(Q13-R13)&gt;0,0.5*'Thể lệ'!$E$6,'Thể lệ'!$E$6)))</f>
        <v>10000</v>
      </c>
      <c r="BW13" s="43"/>
      <c r="BX13" s="44">
        <f>if($F13=$G13,if(and($F13=$G13,S13&lt;&gt;T13),'Thể lệ'!$E$6,if($F13=S13,0,0.5*'Thể lệ'!$E$6)),if(and($F13=S13,$G13=T13),"0",if(($F13-$G13)*(S13-T13)&gt;0,0.5*'Thể lệ'!$E$6,'Thể lệ'!$E$6)))</f>
        <v>10000</v>
      </c>
      <c r="BY13" s="43"/>
      <c r="BZ13" s="44">
        <f>if($F13=$G13,if(and($F13=$G13,U13&lt;&gt;V13),'Thể lệ'!$E$6,if($F13=U13,0,0.5*'Thể lệ'!$E$6)),if(and($F13=U13,$G13=V13),"0",if(($F13-$G13)*(U13-V13)&gt;0,0.5*'Thể lệ'!$E$6,'Thể lệ'!$E$6)))</f>
        <v>10000</v>
      </c>
      <c r="CA13" s="43"/>
      <c r="CB13" s="44">
        <f>if($F13=$G13,if(and($F13=$G13,W13&lt;&gt;X13),'Thể lệ'!$E$6,if($F13=W13,0,0.5*'Thể lệ'!$E$6)),if(and($F13=W13,$G13=X13),"0",if(($F13-$G13)*(W13-X13)&gt;0,0.5*'Thể lệ'!$E$6,'Thể lệ'!$E$6)))</f>
        <v>10000</v>
      </c>
      <c r="CC13" s="43"/>
      <c r="CD13" s="44">
        <f>if($F13=$G13,if(and($F13=$G13,Y13&lt;&gt;Z13),'Thể lệ'!$E$6,if($F13=Y13,0,0.5*'Thể lệ'!$E$6)),if(and($F13=Y13,$G13=Z13),"0",if(($F13-$G13)*(Y13-Z13)&gt;0,0.5*'Thể lệ'!$E$6,'Thể lệ'!$E$6)))</f>
        <v>10000</v>
      </c>
      <c r="CE13" s="43"/>
      <c r="CF13" s="43">
        <f>if($F13=$G13,if(and($F13=$G13,AA13&lt;&gt;AB13),'Thể lệ'!$E$6,if($F13=AA13,0,0.5*'Thể lệ'!$E$6)),if(and($F13=AA13,$G13=AB13),"0",if(($F13-$G13)*(AA13-AB13)&gt;0,0.5*'Thể lệ'!$E$6,'Thể lệ'!$E$6)))</f>
        <v>0</v>
      </c>
      <c r="CG13" s="43"/>
      <c r="CH13" s="43">
        <f>if($F13=$G13,if(and($F13=$G13,AC13&lt;&gt;AD13),'Thể lệ'!$E$6,if($F13=AC13,0,0.5*'Thể lệ'!$E$6)),if(and($F13=AC13,$G13=AD13),"0",if(($F13-$G13)*(AC13-AD13)&gt;0,0.5*'Thể lệ'!$E$6,'Thể lệ'!$E$6)))</f>
        <v>0</v>
      </c>
      <c r="CI13" s="43"/>
      <c r="CJ13" s="44">
        <f>if($F13=$G13,if(and($F13=$G13,AE13&lt;&gt;AF13),'Thể lệ'!$E$6,if($F13=AE13,0,0.5*'Thể lệ'!$E$6)),if(and($F13=AE13,$G13=AF13),"0",if(($F13-$G13)*(AE13-AF13)&gt;0,0.5*'Thể lệ'!$E$6,'Thể lệ'!$E$6)))</f>
        <v>10000</v>
      </c>
      <c r="CK13" s="43"/>
      <c r="CL13" s="43">
        <f>if($F13=$G13,if(and($F13=$G13,AG13&lt;&gt;AH13),'Thể lệ'!$E$6,if($F13=AG13,0,0.5*'Thể lệ'!$E$6)),if(and($F13=AG13,$G13=AH13),"0",if(($F13-$G13)*(AG13-AH13)&gt;0,0.5*'Thể lệ'!$E$6,'Thể lệ'!$E$6)))</f>
        <v>0</v>
      </c>
      <c r="CM13" s="43"/>
      <c r="CN13" s="43">
        <f>if($F13=$G13,if(and($F13=$G13,AI13&lt;&gt;AJ13),'Thể lệ'!$E$6,if($F13=AI13,0,0.5*'Thể lệ'!$E$6)),if(and($F13=AI13,$G13=AJ13),"0",if(($F13-$G13)*(AI13-AJ13)&gt;0,0.5*'Thể lệ'!$E$6,'Thể lệ'!$E$6)))</f>
        <v>0</v>
      </c>
      <c r="CO13" s="43"/>
      <c r="CP13" s="44">
        <f>if($F13=$G13,if(and($F13=$G13,AK13&lt;&gt;AL13),'Thể lệ'!$E$6,if($F13=AK13,0,0.5*'Thể lệ'!$E$6)),if(and($F13=AK13,$G13=AL13),"0",if(($F13-$G13)*(AK13-AL13)&gt;0,0.5*'Thể lệ'!$E$6,'Thể lệ'!$E$6)))</f>
        <v>10000</v>
      </c>
      <c r="CQ13" s="43"/>
      <c r="CR13" s="43">
        <f>if($F13=$G13,if(and($F13=$G13,AM13&lt;&gt;AN13),'Thể lệ'!$E$6,if($F13=AM13,0,0.5*'Thể lệ'!$E$6)),if(and($F13=AM13,$G13=AN13),"0",if(($F13-$G13)*(AM13-AN13)&gt;0,0.5*'Thể lệ'!$E$6,'Thể lệ'!$E$6)))</f>
        <v>0</v>
      </c>
      <c r="CS13" s="43"/>
      <c r="CT13" s="44">
        <f>if($F13=$G13,if(and($F13=$G13,AO13&lt;&gt;AP13),'Thể lệ'!$E$6,if($F13=AO13,0,0.5*'Thể lệ'!$E$6)),if(and($F13=AO13,$G13=AP13),"0",if(($F13-$G13)*(AO13-AP13)&gt;0,0.5*'Thể lệ'!$E$6,'Thể lệ'!$E$6)))</f>
        <v>10000</v>
      </c>
      <c r="CU13" s="43"/>
      <c r="CV13" s="44">
        <f>if($F13=$G13,if(and($F13=$G13,AQ13&lt;&gt;AR13),'Thể lệ'!$E$6,if($F13=AQ13,0,0.5*'Thể lệ'!$E$6)),if(and($F13=AQ13,$G13=AR13),"0",if(($F13-$G13)*(AQ13-AR13)&gt;0,0.5*'Thể lệ'!$E$6,'Thể lệ'!$E$6)))</f>
        <v>10000</v>
      </c>
      <c r="CW13" s="43"/>
      <c r="CX13" s="44">
        <f>if($F13=$G13,if(and($F13=$G13,AS13&lt;&gt;AT13),'Thể lệ'!$E$6,if($F13=AS13,0,0.5*'Thể lệ'!$E$6)),if(and($F13=AS13,$G13=AT13),"0",if(($F13-$G13)*(AS13-AT13)&gt;0,0.5*'Thể lệ'!$E$6,'Thể lệ'!$E$6)))</f>
        <v>5000</v>
      </c>
      <c r="CY13" s="45"/>
      <c r="CZ13" s="43">
        <f>if($F13=$G13,if(and($F13=$G13,AU13&lt;&gt;AV13),'Thể lệ'!$E$6,if($F13=AU13,0,0.5*'Thể lệ'!$E$6)),if(and($F13=AU13,$G13=AV13),"0",if(($F13-$G13)*(AU13-AV13)&gt;0,0.5*'Thể lệ'!$E$6,'Thể lệ'!$E$6)))</f>
        <v>0</v>
      </c>
      <c r="DA13" s="45"/>
      <c r="DB13" s="43">
        <f>if($F13=$G13,if(and($F13=$G13,AW13&lt;&gt;AX13),'Thể lệ'!$E$6,if($F13=AW13,0,0.5*'Thể lệ'!$E$6)),if(and($F13=AW13,$G13=AX13),"0",if(($F13-$G13)*(AW13-AX13)&gt;0,0.5*'Thể lệ'!$E$6,'Thể lệ'!$E$6)))</f>
        <v>0</v>
      </c>
      <c r="DC13" s="45"/>
      <c r="DD13" s="44">
        <f>if($F13=$G13,if(and($F13=$G13,AY13&lt;&gt;AZ13),'Thể lệ'!$E$6,if($F13=AY13,0,0.5*'Thể lệ'!$E$6)),if(and($F13=AY13,$G13=AZ13),"0",if(($F13-$G13)*(AY13-AZ13)&gt;0,0.5*'Thể lệ'!$E$6,'Thể lệ'!$E$6)))</f>
        <v>10000</v>
      </c>
      <c r="DE13" s="45"/>
      <c r="DF13" s="44">
        <f>if($F13=$G13,if(and($F13=$G13,BA13&lt;&gt;BB13),'Thể lệ'!$E$6,if($F13=BA13,0,0.5*'Thể lệ'!$E$6)),if(and($F13=BA13,$G13=BB13),"0",if(($F13-$G13)*(BA13-BB13)&gt;0,0.5*'Thể lệ'!$E$6,'Thể lệ'!$E$6)))</f>
        <v>10000</v>
      </c>
      <c r="DG13" s="45"/>
      <c r="DH13" s="44">
        <f>if($F13=$G13,if(and($F13=$G13,BC13&lt;&gt;BD13),'Thể lệ'!$E$6,if($F13=BC13,0,0.5*'Thể lệ'!$E$6)),if(and($F13=BC13,$G13=BD13),"0",if(($F13-$G13)*(BC13-BD13)&gt;0,0.5*'Thể lệ'!$E$6,'Thể lệ'!$E$6)))</f>
        <v>10000</v>
      </c>
      <c r="DI13" s="45"/>
      <c r="DJ13" s="44">
        <f>if($F13=$G13,if(and($F13=$G13,BE13&lt;&gt;BF13),'Thể lệ'!$E$6,if($F13=BE13,0,0.5*'Thể lệ'!$E$6)),if(and($F13=BE13,$G13=BF13),"0",if(($F13-$G13)*(BE13-BF13)&gt;0,0.5*'Thể lệ'!$E$6,'Thể lệ'!$E$6)))</f>
        <v>10000</v>
      </c>
      <c r="DK13" s="45"/>
      <c r="DL13" s="43">
        <f>if($F13=$G13,if(and($F13=$G13,BG13&lt;&gt;BH13),'Thể lệ'!$E$6,if($F13=BG13,0,0.5*'Thể lệ'!$E$6)),if(and($F13=BG13,$G13=BH13),"0",if(($F13-$G13)*(BG13-BH13)&gt;0,0.5*'Thể lệ'!$E$6,'Thể lệ'!$E$6)))</f>
        <v>0</v>
      </c>
      <c r="DM13" s="45"/>
      <c r="DN13" s="44">
        <f>if($F13=$G13,if(and($F13=$G13,BI13&lt;&gt;BJ13),'Thể lệ'!$E$6,if($F13=BI13,0,0.5*'Thể lệ'!$E$6)),if(and($F13=BI13,$G13=BJ13),"0",if(($F13-$G13)*(BI13-BJ13)&gt;0,0.5*'Thể lệ'!$E$6,'Thể lệ'!$E$6)))</f>
        <v>10000</v>
      </c>
      <c r="DO13" s="45"/>
      <c r="DP13" s="8"/>
    </row>
    <row r="14">
      <c r="B14" s="22">
        <v>8.0</v>
      </c>
      <c r="C14" s="46">
        <v>46187.45833333333</v>
      </c>
      <c r="D14" s="47">
        <v>46187.45833333333</v>
      </c>
      <c r="E14" s="48" t="s">
        <v>46</v>
      </c>
      <c r="F14" s="23"/>
      <c r="G14" s="23"/>
      <c r="H14" s="48" t="s">
        <v>47</v>
      </c>
      <c r="I14" s="37"/>
      <c r="J14" s="37"/>
      <c r="K14" s="37">
        <v>2.0</v>
      </c>
      <c r="L14" s="37">
        <v>2.0</v>
      </c>
      <c r="M14" s="37"/>
      <c r="N14" s="37"/>
      <c r="O14" s="37">
        <v>1.0</v>
      </c>
      <c r="P14" s="37">
        <v>1.0</v>
      </c>
      <c r="Q14" s="37">
        <f t="shared" si="4"/>
        <v>0</v>
      </c>
      <c r="R14" s="37">
        <f t="shared" si="6"/>
        <v>2</v>
      </c>
      <c r="S14" s="37">
        <v>1.0</v>
      </c>
      <c r="T14" s="37">
        <v>1.0</v>
      </c>
      <c r="U14" s="37">
        <v>1.0</v>
      </c>
      <c r="V14" s="37">
        <v>2.0</v>
      </c>
      <c r="W14" s="37">
        <v>1.0</v>
      </c>
      <c r="X14" s="37">
        <v>2.0</v>
      </c>
      <c r="Y14" s="37">
        <v>1.0</v>
      </c>
      <c r="Z14" s="37">
        <v>2.0</v>
      </c>
      <c r="AA14" s="37"/>
      <c r="AB14" s="37"/>
      <c r="AC14" s="37"/>
      <c r="AD14" s="37"/>
      <c r="AE14" s="37">
        <v>0.0</v>
      </c>
      <c r="AF14" s="37">
        <v>2.0</v>
      </c>
      <c r="AG14" s="37"/>
      <c r="AH14" s="37"/>
      <c r="AI14" s="37"/>
      <c r="AJ14" s="37"/>
      <c r="AK14" s="37">
        <v>0.0</v>
      </c>
      <c r="AL14" s="37">
        <v>0.0</v>
      </c>
      <c r="AM14" s="37"/>
      <c r="AN14" s="37"/>
      <c r="AO14" s="37">
        <v>2.0</v>
      </c>
      <c r="AP14" s="37">
        <v>2.0</v>
      </c>
      <c r="AQ14" s="39">
        <f t="shared" ref="AQ14:AR14" si="10">BE14</f>
        <v>1</v>
      </c>
      <c r="AR14" s="39">
        <f t="shared" si="10"/>
        <v>2</v>
      </c>
      <c r="AS14" s="40">
        <v>1.0</v>
      </c>
      <c r="AT14" s="40">
        <v>1.0</v>
      </c>
      <c r="AU14" s="37"/>
      <c r="AV14" s="37"/>
      <c r="AW14" s="37"/>
      <c r="AX14" s="37"/>
      <c r="AY14" s="37">
        <v>1.0</v>
      </c>
      <c r="AZ14" s="37">
        <v>2.0</v>
      </c>
      <c r="BA14" s="37">
        <v>1.0</v>
      </c>
      <c r="BB14" s="37">
        <v>1.0</v>
      </c>
      <c r="BC14" s="37">
        <v>1.0</v>
      </c>
      <c r="BD14" s="37">
        <v>2.0</v>
      </c>
      <c r="BE14" s="42">
        <v>1.0</v>
      </c>
      <c r="BF14" s="37">
        <v>2.0</v>
      </c>
      <c r="BG14" s="37"/>
      <c r="BH14" s="37"/>
      <c r="BI14" s="37">
        <f>H.Son!H14</f>
        <v>1</v>
      </c>
      <c r="BJ14" s="37">
        <f>H.Son!I14</f>
        <v>1</v>
      </c>
      <c r="BK14" s="37"/>
      <c r="BL14" s="37"/>
      <c r="BM14" s="9"/>
      <c r="BN14" s="43">
        <f>if($F14=$G14,if(and($F14=$G14,I14&lt;&gt;J14),'Thể lệ'!$E$6,if($F14=I14,0,0.5*'Thể lệ'!$E$6)),if(and($F14=I14,$G14=J14),"0",if(($F14-$G14)*(I14-J14)&gt;0,0.5*'Thể lệ'!$E$6,'Thể lệ'!$E$6)))</f>
        <v>0</v>
      </c>
      <c r="BO14" s="43"/>
      <c r="BP14" s="44">
        <f>if($F14=$G14,if(and($F14=$G14,K14&lt;&gt;L14),'Thể lệ'!$E$6,if($F14=K14,0,0.5*'Thể lệ'!$E$6)),if(and($F14=K14,$G14=L14),"0",if(($F14-$G14)*(K14-L14)&gt;0,0.5*'Thể lệ'!$E$6,'Thể lệ'!$E$6)))</f>
        <v>5000</v>
      </c>
      <c r="BQ14" s="43"/>
      <c r="BR14" s="43">
        <f>if($F14=$G14,if(and($F14=$G14,M14&lt;&gt;N14),'Thể lệ'!$E$6,if($F14=M14,0,0.5*'Thể lệ'!$E$6)),if(and($F14=M14,$G14=N14),"0",if(($F14-$G14)*(M14-N14)&gt;0,0.5*'Thể lệ'!$E$6,'Thể lệ'!$E$6)))</f>
        <v>0</v>
      </c>
      <c r="BS14" s="43"/>
      <c r="BT14" s="44">
        <f>if($F14=$G14,if(and($F14=$G14,O14&lt;&gt;P14),'Thể lệ'!$E$6,if($F14=O14,0,0.5*'Thể lệ'!$E$6)),if(and($F14=O14,$G14=P14),"0",if(($F14-$G14)*(O14-P14)&gt;0,0.5*'Thể lệ'!$E$6,'Thể lệ'!$E$6)))</f>
        <v>5000</v>
      </c>
      <c r="BU14" s="43"/>
      <c r="BV14" s="44">
        <f>if($F14=$G14,if(and($F14=$G14,Q14&lt;&gt;R14),'Thể lệ'!$E$6,if($F14=Q14,0,0.5*'Thể lệ'!$E$6)),if(and($F14=Q14,$G14=R14),"0",if(($F14-$G14)*(Q14-R14)&gt;0,0.5*'Thể lệ'!$E$6,'Thể lệ'!$E$6)))</f>
        <v>10000</v>
      </c>
      <c r="BW14" s="43"/>
      <c r="BX14" s="44">
        <f>if($F14=$G14,if(and($F14=$G14,S14&lt;&gt;T14),'Thể lệ'!$E$6,if($F14=S14,0,0.5*'Thể lệ'!$E$6)),if(and($F14=S14,$G14=T14),"0",if(($F14-$G14)*(S14-T14)&gt;0,0.5*'Thể lệ'!$E$6,'Thể lệ'!$E$6)))</f>
        <v>5000</v>
      </c>
      <c r="BY14" s="43"/>
      <c r="BZ14" s="44">
        <f>if($F14=$G14,if(and($F14=$G14,U14&lt;&gt;V14),'Thể lệ'!$E$6,if($F14=U14,0,0.5*'Thể lệ'!$E$6)),if(and($F14=U14,$G14=V14),"0",if(($F14-$G14)*(U14-V14)&gt;0,0.5*'Thể lệ'!$E$6,'Thể lệ'!$E$6)))</f>
        <v>10000</v>
      </c>
      <c r="CA14" s="43"/>
      <c r="CB14" s="44">
        <f>if($F14=$G14,if(and($F14=$G14,W14&lt;&gt;X14),'Thể lệ'!$E$6,if($F14=W14,0,0.5*'Thể lệ'!$E$6)),if(and($F14=W14,$G14=X14),"0",if(($F14-$G14)*(W14-X14)&gt;0,0.5*'Thể lệ'!$E$6,'Thể lệ'!$E$6)))</f>
        <v>10000</v>
      </c>
      <c r="CC14" s="43"/>
      <c r="CD14" s="44">
        <f>if($F14=$G14,if(and($F14=$G14,Y14&lt;&gt;Z14),'Thể lệ'!$E$6,if($F14=Y14,0,0.5*'Thể lệ'!$E$6)),if(and($F14=Y14,$G14=Z14),"0",if(($F14-$G14)*(Y14-Z14)&gt;0,0.5*'Thể lệ'!$E$6,'Thể lệ'!$E$6)))</f>
        <v>10000</v>
      </c>
      <c r="CE14" s="43"/>
      <c r="CF14" s="43">
        <f>if($F14=$G14,if(and($F14=$G14,AA14&lt;&gt;AB14),'Thể lệ'!$E$6,if($F14=AA14,0,0.5*'Thể lệ'!$E$6)),if(and($F14=AA14,$G14=AB14),"0",if(($F14-$G14)*(AA14-AB14)&gt;0,0.5*'Thể lệ'!$E$6,'Thể lệ'!$E$6)))</f>
        <v>0</v>
      </c>
      <c r="CG14" s="43"/>
      <c r="CH14" s="43">
        <f>if($F14=$G14,if(and($F14=$G14,AC14&lt;&gt;AD14),'Thể lệ'!$E$6,if($F14=AC14,0,0.5*'Thể lệ'!$E$6)),if(and($F14=AC14,$G14=AD14),"0",if(($F14-$G14)*(AC14-AD14)&gt;0,0.5*'Thể lệ'!$E$6,'Thể lệ'!$E$6)))</f>
        <v>0</v>
      </c>
      <c r="CI14" s="43"/>
      <c r="CJ14" s="44">
        <f>if($F14=$G14,if(and($F14=$G14,AE14&lt;&gt;AF14),'Thể lệ'!$E$6,if($F14=AE14,0,0.5*'Thể lệ'!$E$6)),if(and($F14=AE14,$G14=AF14),"0",if(($F14-$G14)*(AE14-AF14)&gt;0,0.5*'Thể lệ'!$E$6,'Thể lệ'!$E$6)))</f>
        <v>10000</v>
      </c>
      <c r="CK14" s="43"/>
      <c r="CL14" s="43">
        <f>if($F14=$G14,if(and($F14=$G14,AG14&lt;&gt;AH14),'Thể lệ'!$E$6,if($F14=AG14,0,0.5*'Thể lệ'!$E$6)),if(and($F14=AG14,$G14=AH14),"0",if(($F14-$G14)*(AG14-AH14)&gt;0,0.5*'Thể lệ'!$E$6,'Thể lệ'!$E$6)))</f>
        <v>0</v>
      </c>
      <c r="CM14" s="43"/>
      <c r="CN14" s="43">
        <f>if($F14=$G14,if(and($F14=$G14,AI14&lt;&gt;AJ14),'Thể lệ'!$E$6,if($F14=AI14,0,0.5*'Thể lệ'!$E$6)),if(and($F14=AI14,$G14=AJ14),"0",if(($F14-$G14)*(AI14-AJ14)&gt;0,0.5*'Thể lệ'!$E$6,'Thể lệ'!$E$6)))</f>
        <v>0</v>
      </c>
      <c r="CO14" s="43"/>
      <c r="CP14" s="43">
        <f>if($F14=$G14,if(and($F14=$G14,AK14&lt;&gt;AL14),'Thể lệ'!$E$6,if($F14=AK14,0,0.5*'Thể lệ'!$E$6)),if(and($F14=AK14,$G14=AL14),"0",if(($F14-$G14)*(AK14-AL14)&gt;0,0.5*'Thể lệ'!$E$6,'Thể lệ'!$E$6)))</f>
        <v>0</v>
      </c>
      <c r="CQ14" s="43"/>
      <c r="CR14" s="43">
        <f>if($F14=$G14,if(and($F14=$G14,AM14&lt;&gt;AN14),'Thể lệ'!$E$6,if($F14=AM14,0,0.5*'Thể lệ'!$E$6)),if(and($F14=AM14,$G14=AN14),"0",if(($F14-$G14)*(AM14-AN14)&gt;0,0.5*'Thể lệ'!$E$6,'Thể lệ'!$E$6)))</f>
        <v>0</v>
      </c>
      <c r="CS14" s="43"/>
      <c r="CT14" s="44">
        <f>if($F14=$G14,if(and($F14=$G14,AO14&lt;&gt;AP14),'Thể lệ'!$E$6,if($F14=AO14,0,0.5*'Thể lệ'!$E$6)),if(and($F14=AO14,$G14=AP14),"0",if(($F14-$G14)*(AO14-AP14)&gt;0,0.5*'Thể lệ'!$E$6,'Thể lệ'!$E$6)))</f>
        <v>5000</v>
      </c>
      <c r="CU14" s="43"/>
      <c r="CV14" s="44">
        <f>if($F14=$G14,if(and($F14=$G14,AQ14&lt;&gt;AR14),'Thể lệ'!$E$6,if($F14=AQ14,0,0.5*'Thể lệ'!$E$6)),if(and($F14=AQ14,$G14=AR14),"0",if(($F14-$G14)*(AQ14-AR14)&gt;0,0.5*'Thể lệ'!$E$6,'Thể lệ'!$E$6)))</f>
        <v>10000</v>
      </c>
      <c r="CW14" s="43"/>
      <c r="CX14" s="44">
        <f>if($F14=$G14,if(and($F14=$G14,AS14&lt;&gt;AT14),'Thể lệ'!$E$6,if($F14=AS14,0,0.5*'Thể lệ'!$E$6)),if(and($F14=AS14,$G14=AT14),"0",if(($F14-$G14)*(AS14-AT14)&gt;0,0.5*'Thể lệ'!$E$6,'Thể lệ'!$E$6)))</f>
        <v>5000</v>
      </c>
      <c r="CY14" s="45"/>
      <c r="CZ14" s="43">
        <f>if($F14=$G14,if(and($F14=$G14,AU14&lt;&gt;AV14),'Thể lệ'!$E$6,if($F14=AU14,0,0.5*'Thể lệ'!$E$6)),if(and($F14=AU14,$G14=AV14),"0",if(($F14-$G14)*(AU14-AV14)&gt;0,0.5*'Thể lệ'!$E$6,'Thể lệ'!$E$6)))</f>
        <v>0</v>
      </c>
      <c r="DA14" s="45"/>
      <c r="DB14" s="43">
        <f>if($F14=$G14,if(and($F14=$G14,AW14&lt;&gt;AX14),'Thể lệ'!$E$6,if($F14=AW14,0,0.5*'Thể lệ'!$E$6)),if(and($F14=AW14,$G14=AX14),"0",if(($F14-$G14)*(AW14-AX14)&gt;0,0.5*'Thể lệ'!$E$6,'Thể lệ'!$E$6)))</f>
        <v>0</v>
      </c>
      <c r="DC14" s="45"/>
      <c r="DD14" s="44">
        <f>if($F14=$G14,if(and($F14=$G14,AY14&lt;&gt;AZ14),'Thể lệ'!$E$6,if($F14=AY14,0,0.5*'Thể lệ'!$E$6)),if(and($F14=AY14,$G14=AZ14),"0",if(($F14-$G14)*(AY14-AZ14)&gt;0,0.5*'Thể lệ'!$E$6,'Thể lệ'!$E$6)))</f>
        <v>10000</v>
      </c>
      <c r="DE14" s="45"/>
      <c r="DF14" s="44">
        <f>if($F14=$G14,if(and($F14=$G14,BA14&lt;&gt;BB14),'Thể lệ'!$E$6,if($F14=BA14,0,0.5*'Thể lệ'!$E$6)),if(and($F14=BA14,$G14=BB14),"0",if(($F14-$G14)*(BA14-BB14)&gt;0,0.5*'Thể lệ'!$E$6,'Thể lệ'!$E$6)))</f>
        <v>5000</v>
      </c>
      <c r="DG14" s="45"/>
      <c r="DH14" s="44">
        <f>if($F14=$G14,if(and($F14=$G14,BC14&lt;&gt;BD14),'Thể lệ'!$E$6,if($F14=BC14,0,0.5*'Thể lệ'!$E$6)),if(and($F14=BC14,$G14=BD14),"0",if(($F14-$G14)*(BC14-BD14)&gt;0,0.5*'Thể lệ'!$E$6,'Thể lệ'!$E$6)))</f>
        <v>10000</v>
      </c>
      <c r="DI14" s="45"/>
      <c r="DJ14" s="44">
        <f>if($F14=$G14,if(and($F14=$G14,BE14&lt;&gt;BF14),'Thể lệ'!$E$6,if($F14=BE14,0,0.5*'Thể lệ'!$E$6)),if(and($F14=BE14,$G14=BF14),"0",if(($F14-$G14)*(BE14-BF14)&gt;0,0.5*'Thể lệ'!$E$6,'Thể lệ'!$E$6)))</f>
        <v>10000</v>
      </c>
      <c r="DK14" s="45"/>
      <c r="DL14" s="43">
        <f>if($F14=$G14,if(and($F14=$G14,BG14&lt;&gt;BH14),'Thể lệ'!$E$6,if($F14=BG14,0,0.5*'Thể lệ'!$E$6)),if(and($F14=BG14,$G14=BH14),"0",if(($F14-$G14)*(BG14-BH14)&gt;0,0.5*'Thể lệ'!$E$6,'Thể lệ'!$E$6)))</f>
        <v>0</v>
      </c>
      <c r="DM14" s="45"/>
      <c r="DN14" s="44">
        <f>if($F14=$G14,if(and($F14=$G14,BI14&lt;&gt;BJ14),'Thể lệ'!$E$6,if($F14=BI14,0,0.5*'Thể lệ'!$E$6)),if(and($F14=BI14,$G14=BJ14),"0",if(($F14-$G14)*(BI14-BJ14)&gt;0,0.5*'Thể lệ'!$E$6,'Thể lệ'!$E$6)))</f>
        <v>5000</v>
      </c>
      <c r="DO14" s="45"/>
      <c r="DP14" s="8"/>
    </row>
    <row r="15">
      <c r="B15" s="22">
        <v>9.0</v>
      </c>
      <c r="C15" s="46">
        <v>46187.99999999999</v>
      </c>
      <c r="D15" s="47">
        <v>46187.99999999999</v>
      </c>
      <c r="E15" s="48" t="s">
        <v>48</v>
      </c>
      <c r="F15" s="23"/>
      <c r="G15" s="23"/>
      <c r="H15" s="48" t="s">
        <v>49</v>
      </c>
      <c r="I15" s="37"/>
      <c r="J15" s="37"/>
      <c r="K15" s="37">
        <v>3.0</v>
      </c>
      <c r="L15" s="37">
        <v>0.0</v>
      </c>
      <c r="M15" s="37"/>
      <c r="N15" s="37"/>
      <c r="O15" s="37">
        <v>4.0</v>
      </c>
      <c r="P15" s="37">
        <v>0.0</v>
      </c>
      <c r="Q15" s="37">
        <f t="shared" si="4"/>
        <v>2</v>
      </c>
      <c r="R15" s="37">
        <f t="shared" si="6"/>
        <v>0</v>
      </c>
      <c r="S15" s="37">
        <v>4.0</v>
      </c>
      <c r="T15" s="37">
        <v>0.0</v>
      </c>
      <c r="U15" s="37">
        <v>2.0</v>
      </c>
      <c r="V15" s="37">
        <v>0.0</v>
      </c>
      <c r="W15" s="37">
        <v>2.0</v>
      </c>
      <c r="X15" s="37">
        <v>0.0</v>
      </c>
      <c r="Y15" s="37">
        <v>3.0</v>
      </c>
      <c r="Z15" s="37">
        <v>0.0</v>
      </c>
      <c r="AA15" s="37"/>
      <c r="AB15" s="37"/>
      <c r="AC15" s="37"/>
      <c r="AD15" s="37"/>
      <c r="AE15" s="37">
        <v>2.0</v>
      </c>
      <c r="AF15" s="37">
        <v>0.0</v>
      </c>
      <c r="AG15" s="37"/>
      <c r="AH15" s="37"/>
      <c r="AI15" s="37"/>
      <c r="AJ15" s="37"/>
      <c r="AK15" s="37">
        <v>2.0</v>
      </c>
      <c r="AL15" s="37">
        <v>0.0</v>
      </c>
      <c r="AM15" s="37"/>
      <c r="AN15" s="37"/>
      <c r="AO15" s="37">
        <v>2.0</v>
      </c>
      <c r="AP15" s="37">
        <v>0.0</v>
      </c>
      <c r="AQ15" s="39">
        <f t="shared" ref="AQ15:AR15" si="11">BE15</f>
        <v>2</v>
      </c>
      <c r="AR15" s="39">
        <f t="shared" si="11"/>
        <v>0</v>
      </c>
      <c r="AS15" s="40">
        <v>3.0</v>
      </c>
      <c r="AT15" s="40">
        <v>0.0</v>
      </c>
      <c r="AU15" s="37"/>
      <c r="AV15" s="37"/>
      <c r="AW15" s="37"/>
      <c r="AX15" s="37"/>
      <c r="AY15" s="37"/>
      <c r="AZ15" s="37"/>
      <c r="BA15" s="37">
        <v>3.0</v>
      </c>
      <c r="BB15" s="37">
        <v>0.0</v>
      </c>
      <c r="BC15" s="37">
        <v>5.0</v>
      </c>
      <c r="BD15" s="37">
        <v>0.0</v>
      </c>
      <c r="BE15" s="42">
        <v>2.0</v>
      </c>
      <c r="BF15" s="37">
        <v>0.0</v>
      </c>
      <c r="BG15" s="37"/>
      <c r="BH15" s="37"/>
      <c r="BI15" s="37">
        <f>H.Son!H15</f>
        <v>4</v>
      </c>
      <c r="BJ15" s="37">
        <f>H.Son!I15</f>
        <v>0</v>
      </c>
      <c r="BK15" s="37"/>
      <c r="BL15" s="37"/>
      <c r="BM15" s="9"/>
      <c r="BN15" s="43">
        <f>if($F15=$G15,if(and($F15=$G15,I15&lt;&gt;J15),'Thể lệ'!$E$6,if($F15=I15,0,0.5*'Thể lệ'!$E$6)),if(and($F15=I15,$G15=J15),"0",if(($F15-$G15)*(I15-J15)&gt;0,0.5*'Thể lệ'!$E$6,'Thể lệ'!$E$6)))</f>
        <v>0</v>
      </c>
      <c r="BO15" s="43"/>
      <c r="BP15" s="44">
        <f>if($F15=$G15,if(and($F15=$G15,K15&lt;&gt;L15),'Thể lệ'!$E$6,if($F15=K15,0,0.5*'Thể lệ'!$E$6)),if(and($F15=K15,$G15=L15),"0",if(($F15-$G15)*(K15-L15)&gt;0,0.5*'Thể lệ'!$E$6,'Thể lệ'!$E$6)))</f>
        <v>10000</v>
      </c>
      <c r="BQ15" s="43"/>
      <c r="BR15" s="43">
        <f>if($F15=$G15,if(and($F15=$G15,M15&lt;&gt;N15),'Thể lệ'!$E$6,if($F15=M15,0,0.5*'Thể lệ'!$E$6)),if(and($F15=M15,$G15=N15),"0",if(($F15-$G15)*(M15-N15)&gt;0,0.5*'Thể lệ'!$E$6,'Thể lệ'!$E$6)))</f>
        <v>0</v>
      </c>
      <c r="BS15" s="43"/>
      <c r="BT15" s="44">
        <f>if($F15=$G15,if(and($F15=$G15,O15&lt;&gt;P15),'Thể lệ'!$E$6,if($F15=O15,0,0.5*'Thể lệ'!$E$6)),if(and($F15=O15,$G15=P15),"0",if(($F15-$G15)*(O15-P15)&gt;0,0.5*'Thể lệ'!$E$6,'Thể lệ'!$E$6)))</f>
        <v>10000</v>
      </c>
      <c r="BU15" s="43"/>
      <c r="BV15" s="44">
        <f>if($F15=$G15,if(and($F15=$G15,Q15&lt;&gt;R15),'Thể lệ'!$E$6,if($F15=Q15,0,0.5*'Thể lệ'!$E$6)),if(and($F15=Q15,$G15=R15),"0",if(($F15-$G15)*(Q15-R15)&gt;0,0.5*'Thể lệ'!$E$6,'Thể lệ'!$E$6)))</f>
        <v>10000</v>
      </c>
      <c r="BW15" s="43"/>
      <c r="BX15" s="44">
        <f>if($F15=$G15,if(and($F15=$G15,S15&lt;&gt;T15),'Thể lệ'!$E$6,if($F15=S15,0,0.5*'Thể lệ'!$E$6)),if(and($F15=S15,$G15=T15),"0",if(($F15-$G15)*(S15-T15)&gt;0,0.5*'Thể lệ'!$E$6,'Thể lệ'!$E$6)))</f>
        <v>10000</v>
      </c>
      <c r="BY15" s="43"/>
      <c r="BZ15" s="44">
        <f>if($F15=$G15,if(and($F15=$G15,U15&lt;&gt;V15),'Thể lệ'!$E$6,if($F15=U15,0,0.5*'Thể lệ'!$E$6)),if(and($F15=U15,$G15=V15),"0",if(($F15-$G15)*(U15-V15)&gt;0,0.5*'Thể lệ'!$E$6,'Thể lệ'!$E$6)))</f>
        <v>10000</v>
      </c>
      <c r="CA15" s="43"/>
      <c r="CB15" s="44">
        <f>if($F15=$G15,if(and($F15=$G15,W15&lt;&gt;X15),'Thể lệ'!$E$6,if($F15=W15,0,0.5*'Thể lệ'!$E$6)),if(and($F15=W15,$G15=X15),"0",if(($F15-$G15)*(W15-X15)&gt;0,0.5*'Thể lệ'!$E$6,'Thể lệ'!$E$6)))</f>
        <v>10000</v>
      </c>
      <c r="CC15" s="43"/>
      <c r="CD15" s="44">
        <f>if($F15=$G15,if(and($F15=$G15,Y15&lt;&gt;Z15),'Thể lệ'!$E$6,if($F15=Y15,0,0.5*'Thể lệ'!$E$6)),if(and($F15=Y15,$G15=Z15),"0",if(($F15-$G15)*(Y15-Z15)&gt;0,0.5*'Thể lệ'!$E$6,'Thể lệ'!$E$6)))</f>
        <v>10000</v>
      </c>
      <c r="CE15" s="43"/>
      <c r="CF15" s="43">
        <f>if($F15=$G15,if(and($F15=$G15,AA15&lt;&gt;AB15),'Thể lệ'!$E$6,if($F15=AA15,0,0.5*'Thể lệ'!$E$6)),if(and($F15=AA15,$G15=AB15),"0",if(($F15-$G15)*(AA15-AB15)&gt;0,0.5*'Thể lệ'!$E$6,'Thể lệ'!$E$6)))</f>
        <v>0</v>
      </c>
      <c r="CG15" s="43"/>
      <c r="CH15" s="43">
        <f>if($F15=$G15,if(and($F15=$G15,AC15&lt;&gt;AD15),'Thể lệ'!$E$6,if($F15=AC15,0,0.5*'Thể lệ'!$E$6)),if(and($F15=AC15,$G15=AD15),"0",if(($F15-$G15)*(AC15-AD15)&gt;0,0.5*'Thể lệ'!$E$6,'Thể lệ'!$E$6)))</f>
        <v>0</v>
      </c>
      <c r="CI15" s="43"/>
      <c r="CJ15" s="44">
        <f>if($F15=$G15,if(and($F15=$G15,AE15&lt;&gt;AF15),'Thể lệ'!$E$6,if($F15=AE15,0,0.5*'Thể lệ'!$E$6)),if(and($F15=AE15,$G15=AF15),"0",if(($F15-$G15)*(AE15-AF15)&gt;0,0.5*'Thể lệ'!$E$6,'Thể lệ'!$E$6)))</f>
        <v>10000</v>
      </c>
      <c r="CK15" s="43"/>
      <c r="CL15" s="43">
        <f>if($F15=$G15,if(and($F15=$G15,AG15&lt;&gt;AH15),'Thể lệ'!$E$6,if($F15=AG15,0,0.5*'Thể lệ'!$E$6)),if(and($F15=AG15,$G15=AH15),"0",if(($F15-$G15)*(AG15-AH15)&gt;0,0.5*'Thể lệ'!$E$6,'Thể lệ'!$E$6)))</f>
        <v>0</v>
      </c>
      <c r="CM15" s="43"/>
      <c r="CN15" s="43">
        <f>if($F15=$G15,if(and($F15=$G15,AI15&lt;&gt;AJ15),'Thể lệ'!$E$6,if($F15=AI15,0,0.5*'Thể lệ'!$E$6)),if(and($F15=AI15,$G15=AJ15),"0",if(($F15-$G15)*(AI15-AJ15)&gt;0,0.5*'Thể lệ'!$E$6,'Thể lệ'!$E$6)))</f>
        <v>0</v>
      </c>
      <c r="CO15" s="43"/>
      <c r="CP15" s="44">
        <f>if($F15=$G15,if(and($F15=$G15,AK15&lt;&gt;AL15),'Thể lệ'!$E$6,if($F15=AK15,0,0.5*'Thể lệ'!$E$6)),if(and($F15=AK15,$G15=AL15),"0",if(($F15-$G15)*(AK15-AL15)&gt;0,0.5*'Thể lệ'!$E$6,'Thể lệ'!$E$6)))</f>
        <v>10000</v>
      </c>
      <c r="CQ15" s="43"/>
      <c r="CR15" s="43">
        <f>if($F15=$G15,if(and($F15=$G15,AM15&lt;&gt;AN15),'Thể lệ'!$E$6,if($F15=AM15,0,0.5*'Thể lệ'!$E$6)),if(and($F15=AM15,$G15=AN15),"0",if(($F15-$G15)*(AM15-AN15)&gt;0,0.5*'Thể lệ'!$E$6,'Thể lệ'!$E$6)))</f>
        <v>0</v>
      </c>
      <c r="CS15" s="43"/>
      <c r="CT15" s="44">
        <f>if($F15=$G15,if(and($F15=$G15,AO15&lt;&gt;AP15),'Thể lệ'!$E$6,if($F15=AO15,0,0.5*'Thể lệ'!$E$6)),if(and($F15=AO15,$G15=AP15),"0",if(($F15-$G15)*(AO15-AP15)&gt;0,0.5*'Thể lệ'!$E$6,'Thể lệ'!$E$6)))</f>
        <v>10000</v>
      </c>
      <c r="CU15" s="43"/>
      <c r="CV15" s="44">
        <f>if($F15=$G15,if(and($F15=$G15,AQ15&lt;&gt;AR15),'Thể lệ'!$E$6,if($F15=AQ15,0,0.5*'Thể lệ'!$E$6)),if(and($F15=AQ15,$G15=AR15),"0",if(($F15-$G15)*(AQ15-AR15)&gt;0,0.5*'Thể lệ'!$E$6,'Thể lệ'!$E$6)))</f>
        <v>10000</v>
      </c>
      <c r="CW15" s="43"/>
      <c r="CX15" s="44">
        <f>if($F15=$G15,if(and($F15=$G15,AS15&lt;&gt;AT15),'Thể lệ'!$E$6,if($F15=AS15,0,0.5*'Thể lệ'!$E$6)),if(and($F15=AS15,$G15=AT15),"0",if(($F15-$G15)*(AS15-AT15)&gt;0,0.5*'Thể lệ'!$E$6,'Thể lệ'!$E$6)))</f>
        <v>10000</v>
      </c>
      <c r="CY15" s="45"/>
      <c r="CZ15" s="43">
        <f>if($F15=$G15,if(and($F15=$G15,AU15&lt;&gt;AV15),'Thể lệ'!$E$6,if($F15=AU15,0,0.5*'Thể lệ'!$E$6)),if(and($F15=AU15,$G15=AV15),"0",if(($F15-$G15)*(AU15-AV15)&gt;0,0.5*'Thể lệ'!$E$6,'Thể lệ'!$E$6)))</f>
        <v>0</v>
      </c>
      <c r="DA15" s="45"/>
      <c r="DB15" s="43">
        <f>if($F15=$G15,if(and($F15=$G15,AW15&lt;&gt;AX15),'Thể lệ'!$E$6,if($F15=AW15,0,0.5*'Thể lệ'!$E$6)),if(and($F15=AW15,$G15=AX15),"0",if(($F15-$G15)*(AW15-AX15)&gt;0,0.5*'Thể lệ'!$E$6,'Thể lệ'!$E$6)))</f>
        <v>0</v>
      </c>
      <c r="DC15" s="45"/>
      <c r="DD15" s="43">
        <f>if($F15=$G15,if(and($F15=$G15,AY15&lt;&gt;AZ15),'Thể lệ'!$E$6,if($F15=AY15,0,0.5*'Thể lệ'!$E$6)),if(and($F15=AY15,$G15=AZ15),"0",if(($F15-$G15)*(AY15-AZ15)&gt;0,0.5*'Thể lệ'!$E$6,'Thể lệ'!$E$6)))</f>
        <v>0</v>
      </c>
      <c r="DE15" s="45"/>
      <c r="DF15" s="44">
        <f>if($F15=$G15,if(and($F15=$G15,BA15&lt;&gt;BB15),'Thể lệ'!$E$6,if($F15=BA15,0,0.5*'Thể lệ'!$E$6)),if(and($F15=BA15,$G15=BB15),"0",if(($F15-$G15)*(BA15-BB15)&gt;0,0.5*'Thể lệ'!$E$6,'Thể lệ'!$E$6)))</f>
        <v>10000</v>
      </c>
      <c r="DG15" s="45"/>
      <c r="DH15" s="44">
        <f>if($F15=$G15,if(and($F15=$G15,BC15&lt;&gt;BD15),'Thể lệ'!$E$6,if($F15=BC15,0,0.5*'Thể lệ'!$E$6)),if(and($F15=BC15,$G15=BD15),"0",if(($F15-$G15)*(BC15-BD15)&gt;0,0.5*'Thể lệ'!$E$6,'Thể lệ'!$E$6)))</f>
        <v>10000</v>
      </c>
      <c r="DI15" s="45"/>
      <c r="DJ15" s="44">
        <f>if($F15=$G15,if(and($F15=$G15,BE15&lt;&gt;BF15),'Thể lệ'!$E$6,if($F15=BE15,0,0.5*'Thể lệ'!$E$6)),if(and($F15=BE15,$G15=BF15),"0",if(($F15-$G15)*(BE15-BF15)&gt;0,0.5*'Thể lệ'!$E$6,'Thể lệ'!$E$6)))</f>
        <v>10000</v>
      </c>
      <c r="DK15" s="45"/>
      <c r="DL15" s="43">
        <f>if($F15=$G15,if(and($F15=$G15,BG15&lt;&gt;BH15),'Thể lệ'!$E$6,if($F15=BG15,0,0.5*'Thể lệ'!$E$6)),if(and($F15=BG15,$G15=BH15),"0",if(($F15-$G15)*(BG15-BH15)&gt;0,0.5*'Thể lệ'!$E$6,'Thể lệ'!$E$6)))</f>
        <v>0</v>
      </c>
      <c r="DM15" s="45"/>
      <c r="DN15" s="44">
        <f>if($F15=$G15,if(and($F15=$G15,BI15&lt;&gt;BJ15),'Thể lệ'!$E$6,if($F15=BI15,0,0.5*'Thể lệ'!$E$6)),if(and($F15=BI15,$G15=BJ15),"0",if(($F15-$G15)*(BI15-BJ15)&gt;0,0.5*'Thể lệ'!$E$6,'Thể lệ'!$E$6)))</f>
        <v>10000</v>
      </c>
      <c r="DO15" s="45"/>
      <c r="DP15" s="8"/>
    </row>
    <row r="16">
      <c r="B16" s="22">
        <v>10.0</v>
      </c>
      <c r="C16" s="46">
        <v>46188.12499999999</v>
      </c>
      <c r="D16" s="47">
        <v>46188.12499999999</v>
      </c>
      <c r="E16" s="48" t="s">
        <v>50</v>
      </c>
      <c r="F16" s="23"/>
      <c r="G16" s="23"/>
      <c r="H16" s="48" t="s">
        <v>51</v>
      </c>
      <c r="I16" s="37"/>
      <c r="J16" s="37"/>
      <c r="K16" s="37">
        <v>1.0</v>
      </c>
      <c r="L16" s="37">
        <v>3.0</v>
      </c>
      <c r="M16" s="37"/>
      <c r="N16" s="37"/>
      <c r="O16" s="37">
        <v>1.0</v>
      </c>
      <c r="P16" s="37">
        <v>1.0</v>
      </c>
      <c r="Q16" s="37">
        <f t="shared" si="4"/>
        <v>2</v>
      </c>
      <c r="R16" s="37">
        <f t="shared" si="6"/>
        <v>2</v>
      </c>
      <c r="S16" s="37">
        <v>2.0</v>
      </c>
      <c r="T16" s="37">
        <v>1.0</v>
      </c>
      <c r="U16" s="37">
        <v>2.0</v>
      </c>
      <c r="V16" s="37">
        <v>2.0</v>
      </c>
      <c r="W16" s="37">
        <v>2.0</v>
      </c>
      <c r="X16" s="37">
        <v>2.0</v>
      </c>
      <c r="Y16" s="37">
        <v>2.0</v>
      </c>
      <c r="Z16" s="37">
        <v>2.0</v>
      </c>
      <c r="AA16" s="37"/>
      <c r="AB16" s="37"/>
      <c r="AC16" s="37"/>
      <c r="AD16" s="37"/>
      <c r="AE16" s="37">
        <v>2.0</v>
      </c>
      <c r="AF16" s="37">
        <v>2.0</v>
      </c>
      <c r="AG16" s="37"/>
      <c r="AH16" s="37"/>
      <c r="AI16" s="37"/>
      <c r="AJ16" s="37"/>
      <c r="AK16" s="37">
        <v>2.0</v>
      </c>
      <c r="AL16" s="37">
        <v>2.0</v>
      </c>
      <c r="AM16" s="37"/>
      <c r="AN16" s="37"/>
      <c r="AO16" s="37">
        <v>2.0</v>
      </c>
      <c r="AP16" s="37">
        <v>2.0</v>
      </c>
      <c r="AQ16" s="39">
        <v>1.0</v>
      </c>
      <c r="AR16" s="39">
        <v>2.0</v>
      </c>
      <c r="AS16" s="40">
        <v>2.0</v>
      </c>
      <c r="AT16" s="40">
        <v>0.0</v>
      </c>
      <c r="AU16" s="37"/>
      <c r="AV16" s="37"/>
      <c r="AW16" s="37"/>
      <c r="AX16" s="37"/>
      <c r="AY16" s="37"/>
      <c r="AZ16" s="37"/>
      <c r="BA16" s="37">
        <v>1.0</v>
      </c>
      <c r="BB16" s="37">
        <v>1.0</v>
      </c>
      <c r="BC16" s="37">
        <v>2.0</v>
      </c>
      <c r="BD16" s="37">
        <v>1.0</v>
      </c>
      <c r="BE16" s="42">
        <v>2.0</v>
      </c>
      <c r="BF16" s="37">
        <v>1.0</v>
      </c>
      <c r="BG16" s="37"/>
      <c r="BH16" s="37"/>
      <c r="BI16" s="37">
        <f>H.Son!H16</f>
        <v>2</v>
      </c>
      <c r="BJ16" s="37">
        <f>H.Son!I16</f>
        <v>1</v>
      </c>
      <c r="BK16" s="37"/>
      <c r="BL16" s="37"/>
      <c r="BM16" s="9"/>
      <c r="BN16" s="43">
        <f>if($F16=$G16,if(and($F16=$G16,I16&lt;&gt;J16),'Thể lệ'!$E$6,if($F16=I16,0,0.5*'Thể lệ'!$E$6)),if(and($F16=I16,$G16=J16),"0",if(($F16-$G16)*(I16-J16)&gt;0,0.5*'Thể lệ'!$E$6,'Thể lệ'!$E$6)))</f>
        <v>0</v>
      </c>
      <c r="BO16" s="43"/>
      <c r="BP16" s="44">
        <f>if($F16=$G16,if(and($F16=$G16,K16&lt;&gt;L16),'Thể lệ'!$E$6,if($F16=K16,0,0.5*'Thể lệ'!$E$6)),if(and($F16=K16,$G16=L16),"0",if(($F16-$G16)*(K16-L16)&gt;0,0.5*'Thể lệ'!$E$6,'Thể lệ'!$E$6)))</f>
        <v>10000</v>
      </c>
      <c r="BQ16" s="43"/>
      <c r="BR16" s="43">
        <f>if($F16=$G16,if(and($F16=$G16,M16&lt;&gt;N16),'Thể lệ'!$E$6,if($F16=M16,0,0.5*'Thể lệ'!$E$6)),if(and($F16=M16,$G16=N16),"0",if(($F16-$G16)*(M16-N16)&gt;0,0.5*'Thể lệ'!$E$6,'Thể lệ'!$E$6)))</f>
        <v>0</v>
      </c>
      <c r="BS16" s="43"/>
      <c r="BT16" s="44">
        <f>if($F16=$G16,if(and($F16=$G16,O16&lt;&gt;P16),'Thể lệ'!$E$6,if($F16=O16,0,0.5*'Thể lệ'!$E$6)),if(and($F16=O16,$G16=P16),"0",if(($F16-$G16)*(O16-P16)&gt;0,0.5*'Thể lệ'!$E$6,'Thể lệ'!$E$6)))</f>
        <v>5000</v>
      </c>
      <c r="BU16" s="43"/>
      <c r="BV16" s="44">
        <f>if($F16=$G16,if(and($F16=$G16,Q16&lt;&gt;R16),'Thể lệ'!$E$6,if($F16=Q16,0,0.5*'Thể lệ'!$E$6)),if(and($F16=Q16,$G16=R16),"0",if(($F16-$G16)*(Q16-R16)&gt;0,0.5*'Thể lệ'!$E$6,'Thể lệ'!$E$6)))</f>
        <v>5000</v>
      </c>
      <c r="BW16" s="43"/>
      <c r="BX16" s="44">
        <f>if($F16=$G16,if(and($F16=$G16,S16&lt;&gt;T16),'Thể lệ'!$E$6,if($F16=S16,0,0.5*'Thể lệ'!$E$6)),if(and($F16=S16,$G16=T16),"0",if(($F16-$G16)*(S16-T16)&gt;0,0.5*'Thể lệ'!$E$6,'Thể lệ'!$E$6)))</f>
        <v>10000</v>
      </c>
      <c r="BY16" s="43"/>
      <c r="BZ16" s="44">
        <f>if($F16=$G16,if(and($F16=$G16,U16&lt;&gt;V16),'Thể lệ'!$E$6,if($F16=U16,0,0.5*'Thể lệ'!$E$6)),if(and($F16=U16,$G16=V16),"0",if(($F16-$G16)*(U16-V16)&gt;0,0.5*'Thể lệ'!$E$6,'Thể lệ'!$E$6)))</f>
        <v>5000</v>
      </c>
      <c r="CA16" s="43"/>
      <c r="CB16" s="44">
        <f>if($F16=$G16,if(and($F16=$G16,W16&lt;&gt;X16),'Thể lệ'!$E$6,if($F16=W16,0,0.5*'Thể lệ'!$E$6)),if(and($F16=W16,$G16=X16),"0",if(($F16-$G16)*(W16-X16)&gt;0,0.5*'Thể lệ'!$E$6,'Thể lệ'!$E$6)))</f>
        <v>5000</v>
      </c>
      <c r="CC16" s="43"/>
      <c r="CD16" s="44">
        <f>if($F16=$G16,if(and($F16=$G16,Y16&lt;&gt;Z16),'Thể lệ'!$E$6,if($F16=Y16,0,0.5*'Thể lệ'!$E$6)),if(and($F16=Y16,$G16=Z16),"0",if(($F16-$G16)*(Y16-Z16)&gt;0,0.5*'Thể lệ'!$E$6,'Thể lệ'!$E$6)))</f>
        <v>5000</v>
      </c>
      <c r="CE16" s="43"/>
      <c r="CF16" s="43">
        <f>if($F16=$G16,if(and($F16=$G16,AA16&lt;&gt;AB16),'Thể lệ'!$E$6,if($F16=AA16,0,0.5*'Thể lệ'!$E$6)),if(and($F16=AA16,$G16=AB16),"0",if(($F16-$G16)*(AA16-AB16)&gt;0,0.5*'Thể lệ'!$E$6,'Thể lệ'!$E$6)))</f>
        <v>0</v>
      </c>
      <c r="CG16" s="43"/>
      <c r="CH16" s="43">
        <f>if($F16=$G16,if(and($F16=$G16,AC16&lt;&gt;AD16),'Thể lệ'!$E$6,if($F16=AC16,0,0.5*'Thể lệ'!$E$6)),if(and($F16=AC16,$G16=AD16),"0",if(($F16-$G16)*(AC16-AD16)&gt;0,0.5*'Thể lệ'!$E$6,'Thể lệ'!$E$6)))</f>
        <v>0</v>
      </c>
      <c r="CI16" s="43"/>
      <c r="CJ16" s="44">
        <f>if($F16=$G16,if(and($F16=$G16,AE16&lt;&gt;AF16),'Thể lệ'!$E$6,if($F16=AE16,0,0.5*'Thể lệ'!$E$6)),if(and($F16=AE16,$G16=AF16),"0",if(($F16-$G16)*(AE16-AF16)&gt;0,0.5*'Thể lệ'!$E$6,'Thể lệ'!$E$6)))</f>
        <v>5000</v>
      </c>
      <c r="CK16" s="43"/>
      <c r="CL16" s="43">
        <f>if($F16=$G16,if(and($F16=$G16,AG16&lt;&gt;AH16),'Thể lệ'!$E$6,if($F16=AG16,0,0.5*'Thể lệ'!$E$6)),if(and($F16=AG16,$G16=AH16),"0",if(($F16-$G16)*(AG16-AH16)&gt;0,0.5*'Thể lệ'!$E$6,'Thể lệ'!$E$6)))</f>
        <v>0</v>
      </c>
      <c r="CM16" s="43"/>
      <c r="CN16" s="43">
        <f>if($F16=$G16,if(and($F16=$G16,AI16&lt;&gt;AJ16),'Thể lệ'!$E$6,if($F16=AI16,0,0.5*'Thể lệ'!$E$6)),if(and($F16=AI16,$G16=AJ16),"0",if(($F16-$G16)*(AI16-AJ16)&gt;0,0.5*'Thể lệ'!$E$6,'Thể lệ'!$E$6)))</f>
        <v>0</v>
      </c>
      <c r="CO16" s="43"/>
      <c r="CP16" s="44">
        <f>if($F16=$G16,if(and($F16=$G16,AK16&lt;&gt;AL16),'Thể lệ'!$E$6,if($F16=AK16,0,0.5*'Thể lệ'!$E$6)),if(and($F16=AK16,$G16=AL16),"0",if(($F16-$G16)*(AK16-AL16)&gt;0,0.5*'Thể lệ'!$E$6,'Thể lệ'!$E$6)))</f>
        <v>5000</v>
      </c>
      <c r="CQ16" s="43"/>
      <c r="CR16" s="43">
        <f>if($F16=$G16,if(and($F16=$G16,AM16&lt;&gt;AN16),'Thể lệ'!$E$6,if($F16=AM16,0,0.5*'Thể lệ'!$E$6)),if(and($F16=AM16,$G16=AN16),"0",if(($F16-$G16)*(AM16-AN16)&gt;0,0.5*'Thể lệ'!$E$6,'Thể lệ'!$E$6)))</f>
        <v>0</v>
      </c>
      <c r="CS16" s="43"/>
      <c r="CT16" s="44">
        <f>if($F16=$G16,if(and($F16=$G16,AO16&lt;&gt;AP16),'Thể lệ'!$E$6,if($F16=AO16,0,0.5*'Thể lệ'!$E$6)),if(and($F16=AO16,$G16=AP16),"0",if(($F16-$G16)*(AO16-AP16)&gt;0,0.5*'Thể lệ'!$E$6,'Thể lệ'!$E$6)))</f>
        <v>5000</v>
      </c>
      <c r="CU16" s="43"/>
      <c r="CV16" s="44">
        <f>if($F16=$G16,if(and($F16=$G16,AQ16&lt;&gt;AR16),'Thể lệ'!$E$6,if($F16=AQ16,0,0.5*'Thể lệ'!$E$6)),if(and($F16=AQ16,$G16=AR16),"0",if(($F16-$G16)*(AQ16-AR16)&gt;0,0.5*'Thể lệ'!$E$6,'Thể lệ'!$E$6)))</f>
        <v>10000</v>
      </c>
      <c r="CW16" s="43"/>
      <c r="CX16" s="44">
        <f>if($F16=$G16,if(and($F16=$G16,AS16&lt;&gt;AT16),'Thể lệ'!$E$6,if($F16=AS16,0,0.5*'Thể lệ'!$E$6)),if(and($F16=AS16,$G16=AT16),"0",if(($F16-$G16)*(AS16-AT16)&gt;0,0.5*'Thể lệ'!$E$6,'Thể lệ'!$E$6)))</f>
        <v>10000</v>
      </c>
      <c r="CY16" s="45"/>
      <c r="CZ16" s="43">
        <f>if($F16=$G16,if(and($F16=$G16,AU16&lt;&gt;AV16),'Thể lệ'!$E$6,if($F16=AU16,0,0.5*'Thể lệ'!$E$6)),if(and($F16=AU16,$G16=AV16),"0",if(($F16-$G16)*(AU16-AV16)&gt;0,0.5*'Thể lệ'!$E$6,'Thể lệ'!$E$6)))</f>
        <v>0</v>
      </c>
      <c r="DA16" s="45"/>
      <c r="DB16" s="43">
        <f>if($F16=$G16,if(and($F16=$G16,AW16&lt;&gt;AX16),'Thể lệ'!$E$6,if($F16=AW16,0,0.5*'Thể lệ'!$E$6)),if(and($F16=AW16,$G16=AX16),"0",if(($F16-$G16)*(AW16-AX16)&gt;0,0.5*'Thể lệ'!$E$6,'Thể lệ'!$E$6)))</f>
        <v>0</v>
      </c>
      <c r="DC16" s="45"/>
      <c r="DD16" s="43">
        <f>if($F16=$G16,if(and($F16=$G16,AY16&lt;&gt;AZ16),'Thể lệ'!$E$6,if($F16=AY16,0,0.5*'Thể lệ'!$E$6)),if(and($F16=AY16,$G16=AZ16),"0",if(($F16-$G16)*(AY16-AZ16)&gt;0,0.5*'Thể lệ'!$E$6,'Thể lệ'!$E$6)))</f>
        <v>0</v>
      </c>
      <c r="DE16" s="45"/>
      <c r="DF16" s="44">
        <f>if($F16=$G16,if(and($F16=$G16,BA16&lt;&gt;BB16),'Thể lệ'!$E$6,if($F16=BA16,0,0.5*'Thể lệ'!$E$6)),if(and($F16=BA16,$G16=BB16),"0",if(($F16-$G16)*(BA16-BB16)&gt;0,0.5*'Thể lệ'!$E$6,'Thể lệ'!$E$6)))</f>
        <v>5000</v>
      </c>
      <c r="DG16" s="45"/>
      <c r="DH16" s="44">
        <f>if($F16=$G16,if(and($F16=$G16,BC16&lt;&gt;BD16),'Thể lệ'!$E$6,if($F16=BC16,0,0.5*'Thể lệ'!$E$6)),if(and($F16=BC16,$G16=BD16),"0",if(($F16-$G16)*(BC16-BD16)&gt;0,0.5*'Thể lệ'!$E$6,'Thể lệ'!$E$6)))</f>
        <v>10000</v>
      </c>
      <c r="DI16" s="45"/>
      <c r="DJ16" s="44">
        <f>if($F16=$G16,if(and($F16=$G16,BE16&lt;&gt;BF16),'Thể lệ'!$E$6,if($F16=BE16,0,0.5*'Thể lệ'!$E$6)),if(and($F16=BE16,$G16=BF16),"0",if(($F16-$G16)*(BE16-BF16)&gt;0,0.5*'Thể lệ'!$E$6,'Thể lệ'!$E$6)))</f>
        <v>10000</v>
      </c>
      <c r="DK16" s="45"/>
      <c r="DL16" s="43">
        <f>if($F16=$G16,if(and($F16=$G16,BG16&lt;&gt;BH16),'Thể lệ'!$E$6,if($F16=BG16,0,0.5*'Thể lệ'!$E$6)),if(and($F16=BG16,$G16=BH16),"0",if(($F16-$G16)*(BG16-BH16)&gt;0,0.5*'Thể lệ'!$E$6,'Thể lệ'!$E$6)))</f>
        <v>0</v>
      </c>
      <c r="DM16" s="45"/>
      <c r="DN16" s="44">
        <f>if($F16=$G16,if(and($F16=$G16,BI16&lt;&gt;BJ16),'Thể lệ'!$E$6,if($F16=BI16,0,0.5*'Thể lệ'!$E$6)),if(and($F16=BI16,$G16=BJ16),"0",if(($F16-$G16)*(BI16-BJ16)&gt;0,0.5*'Thể lệ'!$E$6,'Thể lệ'!$E$6)))</f>
        <v>10000</v>
      </c>
      <c r="DO16" s="45"/>
      <c r="DP16" s="8"/>
    </row>
    <row r="17">
      <c r="B17" s="22">
        <v>11.0</v>
      </c>
      <c r="C17" s="46">
        <v>46188.24999999999</v>
      </c>
      <c r="D17" s="47">
        <v>46188.24999999999</v>
      </c>
      <c r="E17" s="48" t="s">
        <v>52</v>
      </c>
      <c r="F17" s="23"/>
      <c r="G17" s="23"/>
      <c r="H17" s="48" t="s">
        <v>53</v>
      </c>
      <c r="I17" s="37"/>
      <c r="J17" s="37"/>
      <c r="K17" s="37">
        <v>1.0</v>
      </c>
      <c r="L17" s="37">
        <v>3.0</v>
      </c>
      <c r="M17" s="37"/>
      <c r="N17" s="37"/>
      <c r="O17" s="37">
        <v>1.0</v>
      </c>
      <c r="P17" s="37">
        <v>2.0</v>
      </c>
      <c r="Q17" s="37">
        <f t="shared" si="4"/>
        <v>1</v>
      </c>
      <c r="R17" s="37">
        <f t="shared" si="6"/>
        <v>2</v>
      </c>
      <c r="S17" s="37">
        <v>1.0</v>
      </c>
      <c r="T17" s="37">
        <v>1.0</v>
      </c>
      <c r="U17" s="37">
        <v>1.0</v>
      </c>
      <c r="V17" s="37">
        <v>2.0</v>
      </c>
      <c r="W17" s="37">
        <v>1.0</v>
      </c>
      <c r="X17" s="37">
        <v>2.0</v>
      </c>
      <c r="Y17" s="37">
        <v>1.0</v>
      </c>
      <c r="Z17" s="37">
        <v>1.0</v>
      </c>
      <c r="AA17" s="37"/>
      <c r="AB17" s="37"/>
      <c r="AC17" s="37"/>
      <c r="AD17" s="37"/>
      <c r="AE17" s="37">
        <v>1.0</v>
      </c>
      <c r="AF17" s="37">
        <v>2.0</v>
      </c>
      <c r="AG17" s="37"/>
      <c r="AH17" s="37"/>
      <c r="AI17" s="37"/>
      <c r="AJ17" s="37"/>
      <c r="AK17" s="37">
        <v>0.0</v>
      </c>
      <c r="AL17" s="37">
        <v>1.0</v>
      </c>
      <c r="AM17" s="37"/>
      <c r="AN17" s="37"/>
      <c r="AO17" s="37">
        <v>2.0</v>
      </c>
      <c r="AP17" s="37">
        <v>1.0</v>
      </c>
      <c r="AQ17" s="39">
        <f t="shared" ref="AQ17:AR17" si="12">BE17</f>
        <v>1</v>
      </c>
      <c r="AR17" s="39">
        <f t="shared" si="12"/>
        <v>1</v>
      </c>
      <c r="AS17" s="40">
        <v>1.0</v>
      </c>
      <c r="AT17" s="40">
        <v>1.0</v>
      </c>
      <c r="AU17" s="37"/>
      <c r="AV17" s="37"/>
      <c r="AW17" s="37"/>
      <c r="AX17" s="37"/>
      <c r="AY17" s="37"/>
      <c r="AZ17" s="37"/>
      <c r="BA17" s="37">
        <v>1.0</v>
      </c>
      <c r="BB17" s="37">
        <v>2.0</v>
      </c>
      <c r="BC17" s="37">
        <v>1.0</v>
      </c>
      <c r="BD17" s="37">
        <v>1.0</v>
      </c>
      <c r="BE17" s="42">
        <v>1.0</v>
      </c>
      <c r="BF17" s="37">
        <v>1.0</v>
      </c>
      <c r="BG17" s="37"/>
      <c r="BH17" s="37"/>
      <c r="BI17" s="37">
        <f>H.Son!H17</f>
        <v>1</v>
      </c>
      <c r="BJ17" s="37">
        <f>H.Son!I17</f>
        <v>1</v>
      </c>
      <c r="BK17" s="37"/>
      <c r="BL17" s="37"/>
      <c r="BM17" s="9"/>
      <c r="BN17" s="43">
        <f>if($F17=$G17,if(and($F17=$G17,I17&lt;&gt;J17),'Thể lệ'!$E$6,if($F17=I17,0,0.5*'Thể lệ'!$E$6)),if(and($F17=I17,$G17=J17),"0",if(($F17-$G17)*(I17-J17)&gt;0,0.5*'Thể lệ'!$E$6,'Thể lệ'!$E$6)))</f>
        <v>0</v>
      </c>
      <c r="BO17" s="43"/>
      <c r="BP17" s="44">
        <f>if($F17=$G17,if(and($F17=$G17,K17&lt;&gt;L17),'Thể lệ'!$E$6,if($F17=K17,0,0.5*'Thể lệ'!$E$6)),if(and($F17=K17,$G17=L17),"0",if(($F17-$G17)*(K17-L17)&gt;0,0.5*'Thể lệ'!$E$6,'Thể lệ'!$E$6)))</f>
        <v>10000</v>
      </c>
      <c r="BQ17" s="43"/>
      <c r="BR17" s="43">
        <f>if($F17=$G17,if(and($F17=$G17,M17&lt;&gt;N17),'Thể lệ'!$E$6,if($F17=M17,0,0.5*'Thể lệ'!$E$6)),if(and($F17=M17,$G17=N17),"0",if(($F17-$G17)*(M17-N17)&gt;0,0.5*'Thể lệ'!$E$6,'Thể lệ'!$E$6)))</f>
        <v>0</v>
      </c>
      <c r="BS17" s="43"/>
      <c r="BT17" s="44">
        <f>if($F17=$G17,if(and($F17=$G17,O17&lt;&gt;P17),'Thể lệ'!$E$6,if($F17=O17,0,0.5*'Thể lệ'!$E$6)),if(and($F17=O17,$G17=P17),"0",if(($F17-$G17)*(O17-P17)&gt;0,0.5*'Thể lệ'!$E$6,'Thể lệ'!$E$6)))</f>
        <v>10000</v>
      </c>
      <c r="BU17" s="43"/>
      <c r="BV17" s="44">
        <f>if($F17=$G17,if(and($F17=$G17,Q17&lt;&gt;R17),'Thể lệ'!$E$6,if($F17=Q17,0,0.5*'Thể lệ'!$E$6)),if(and($F17=Q17,$G17=R17),"0",if(($F17-$G17)*(Q17-R17)&gt;0,0.5*'Thể lệ'!$E$6,'Thể lệ'!$E$6)))</f>
        <v>10000</v>
      </c>
      <c r="BW17" s="43"/>
      <c r="BX17" s="44">
        <f>if($F17=$G17,if(and($F17=$G17,S17&lt;&gt;T17),'Thể lệ'!$E$6,if($F17=S17,0,0.5*'Thể lệ'!$E$6)),if(and($F17=S17,$G17=T17),"0",if(($F17-$G17)*(S17-T17)&gt;0,0.5*'Thể lệ'!$E$6,'Thể lệ'!$E$6)))</f>
        <v>5000</v>
      </c>
      <c r="BY17" s="43"/>
      <c r="BZ17" s="44">
        <f>if($F17=$G17,if(and($F17=$G17,U17&lt;&gt;V17),'Thể lệ'!$E$6,if($F17=U17,0,0.5*'Thể lệ'!$E$6)),if(and($F17=U17,$G17=V17),"0",if(($F17-$G17)*(U17-V17)&gt;0,0.5*'Thể lệ'!$E$6,'Thể lệ'!$E$6)))</f>
        <v>10000</v>
      </c>
      <c r="CA17" s="43"/>
      <c r="CB17" s="44">
        <f>if($F17=$G17,if(and($F17=$G17,W17&lt;&gt;X17),'Thể lệ'!$E$6,if($F17=W17,0,0.5*'Thể lệ'!$E$6)),if(and($F17=W17,$G17=X17),"0",if(($F17-$G17)*(W17-X17)&gt;0,0.5*'Thể lệ'!$E$6,'Thể lệ'!$E$6)))</f>
        <v>10000</v>
      </c>
      <c r="CC17" s="43"/>
      <c r="CD17" s="44">
        <f>if($F17=$G17,if(and($F17=$G17,Y17&lt;&gt;Z17),'Thể lệ'!$E$6,if($F17=Y17,0,0.5*'Thể lệ'!$E$6)),if(and($F17=Y17,$G17=Z17),"0",if(($F17-$G17)*(Y17-Z17)&gt;0,0.5*'Thể lệ'!$E$6,'Thể lệ'!$E$6)))</f>
        <v>5000</v>
      </c>
      <c r="CE17" s="43"/>
      <c r="CF17" s="43">
        <f>if($F17=$G17,if(and($F17=$G17,AA17&lt;&gt;AB17),'Thể lệ'!$E$6,if($F17=AA17,0,0.5*'Thể lệ'!$E$6)),if(and($F17=AA17,$G17=AB17),"0",if(($F17-$G17)*(AA17-AB17)&gt;0,0.5*'Thể lệ'!$E$6,'Thể lệ'!$E$6)))</f>
        <v>0</v>
      </c>
      <c r="CG17" s="43"/>
      <c r="CH17" s="43">
        <f>if($F17=$G17,if(and($F17=$G17,AC17&lt;&gt;AD17),'Thể lệ'!$E$6,if($F17=AC17,0,0.5*'Thể lệ'!$E$6)),if(and($F17=AC17,$G17=AD17),"0",if(($F17-$G17)*(AC17-AD17)&gt;0,0.5*'Thể lệ'!$E$6,'Thể lệ'!$E$6)))</f>
        <v>0</v>
      </c>
      <c r="CI17" s="43"/>
      <c r="CJ17" s="44">
        <f>if($F17=$G17,if(and($F17=$G17,AE17&lt;&gt;AF17),'Thể lệ'!$E$6,if($F17=AE17,0,0.5*'Thể lệ'!$E$6)),if(and($F17=AE17,$G17=AF17),"0",if(($F17-$G17)*(AE17-AF17)&gt;0,0.5*'Thể lệ'!$E$6,'Thể lệ'!$E$6)))</f>
        <v>10000</v>
      </c>
      <c r="CK17" s="43"/>
      <c r="CL17" s="43">
        <f>if($F17=$G17,if(and($F17=$G17,AG17&lt;&gt;AH17),'Thể lệ'!$E$6,if($F17=AG17,0,0.5*'Thể lệ'!$E$6)),if(and($F17=AG17,$G17=AH17),"0",if(($F17-$G17)*(AG17-AH17)&gt;0,0.5*'Thể lệ'!$E$6,'Thể lệ'!$E$6)))</f>
        <v>0</v>
      </c>
      <c r="CM17" s="43"/>
      <c r="CN17" s="43">
        <f>if($F17=$G17,if(and($F17=$G17,AI17&lt;&gt;AJ17),'Thể lệ'!$E$6,if($F17=AI17,0,0.5*'Thể lệ'!$E$6)),if(and($F17=AI17,$G17=AJ17),"0",if(($F17-$G17)*(AI17-AJ17)&gt;0,0.5*'Thể lệ'!$E$6,'Thể lệ'!$E$6)))</f>
        <v>0</v>
      </c>
      <c r="CO17" s="43"/>
      <c r="CP17" s="44">
        <f>if($F17=$G17,if(and($F17=$G17,AK17&lt;&gt;AL17),'Thể lệ'!$E$6,if($F17=AK17,0,0.5*'Thể lệ'!$E$6)),if(and($F17=AK17,$G17=AL17),"0",if(($F17-$G17)*(AK17-AL17)&gt;0,0.5*'Thể lệ'!$E$6,'Thể lệ'!$E$6)))</f>
        <v>10000</v>
      </c>
      <c r="CQ17" s="43"/>
      <c r="CR17" s="43">
        <f>if($F17=$G17,if(and($F17=$G17,AM17&lt;&gt;AN17),'Thể lệ'!$E$6,if($F17=AM17,0,0.5*'Thể lệ'!$E$6)),if(and($F17=AM17,$G17=AN17),"0",if(($F17-$G17)*(AM17-AN17)&gt;0,0.5*'Thể lệ'!$E$6,'Thể lệ'!$E$6)))</f>
        <v>0</v>
      </c>
      <c r="CS17" s="43"/>
      <c r="CT17" s="44">
        <f>if($F17=$G17,if(and($F17=$G17,AO17&lt;&gt;AP17),'Thể lệ'!$E$6,if($F17=AO17,0,0.5*'Thể lệ'!$E$6)),if(and($F17=AO17,$G17=AP17),"0",if(($F17-$G17)*(AO17-AP17)&gt;0,0.5*'Thể lệ'!$E$6,'Thể lệ'!$E$6)))</f>
        <v>10000</v>
      </c>
      <c r="CU17" s="43"/>
      <c r="CV17" s="44">
        <f>if($F17=$G17,if(and($F17=$G17,AQ17&lt;&gt;AR17),'Thể lệ'!$E$6,if($F17=AQ17,0,0.5*'Thể lệ'!$E$6)),if(and($F17=AQ17,$G17=AR17),"0",if(($F17-$G17)*(AQ17-AR17)&gt;0,0.5*'Thể lệ'!$E$6,'Thể lệ'!$E$6)))</f>
        <v>5000</v>
      </c>
      <c r="CW17" s="43"/>
      <c r="CX17" s="44">
        <f>if($F17=$G17,if(and($F17=$G17,AS17&lt;&gt;AT17),'Thể lệ'!$E$6,if($F17=AS17,0,0.5*'Thể lệ'!$E$6)),if(and($F17=AS17,$G17=AT17),"0",if(($F17-$G17)*(AS17-AT17)&gt;0,0.5*'Thể lệ'!$E$6,'Thể lệ'!$E$6)))</f>
        <v>5000</v>
      </c>
      <c r="CY17" s="45"/>
      <c r="CZ17" s="43">
        <f>if($F17=$G17,if(and($F17=$G17,AU17&lt;&gt;AV17),'Thể lệ'!$E$6,if($F17=AU17,0,0.5*'Thể lệ'!$E$6)),if(and($F17=AU17,$G17=AV17),"0",if(($F17-$G17)*(AU17-AV17)&gt;0,0.5*'Thể lệ'!$E$6,'Thể lệ'!$E$6)))</f>
        <v>0</v>
      </c>
      <c r="DA17" s="45"/>
      <c r="DB17" s="43">
        <f>if($F17=$G17,if(and($F17=$G17,AW17&lt;&gt;AX17),'Thể lệ'!$E$6,if($F17=AW17,0,0.5*'Thể lệ'!$E$6)),if(and($F17=AW17,$G17=AX17),"0",if(($F17-$G17)*(AW17-AX17)&gt;0,0.5*'Thể lệ'!$E$6,'Thể lệ'!$E$6)))</f>
        <v>0</v>
      </c>
      <c r="DC17" s="45"/>
      <c r="DD17" s="43">
        <f>if($F17=$G17,if(and($F17=$G17,AY17&lt;&gt;AZ17),'Thể lệ'!$E$6,if($F17=AY17,0,0.5*'Thể lệ'!$E$6)),if(and($F17=AY17,$G17=AZ17),"0",if(($F17-$G17)*(AY17-AZ17)&gt;0,0.5*'Thể lệ'!$E$6,'Thể lệ'!$E$6)))</f>
        <v>0</v>
      </c>
      <c r="DE17" s="45"/>
      <c r="DF17" s="44">
        <f>if($F17=$G17,if(and($F17=$G17,BA17&lt;&gt;BB17),'Thể lệ'!$E$6,if($F17=BA17,0,0.5*'Thể lệ'!$E$6)),if(and($F17=BA17,$G17=BB17),"0",if(($F17-$G17)*(BA17-BB17)&gt;0,0.5*'Thể lệ'!$E$6,'Thể lệ'!$E$6)))</f>
        <v>10000</v>
      </c>
      <c r="DG17" s="45"/>
      <c r="DH17" s="44">
        <f>if($F17=$G17,if(and($F17=$G17,BC17&lt;&gt;BD17),'Thể lệ'!$E$6,if($F17=BC17,0,0.5*'Thể lệ'!$E$6)),if(and($F17=BC17,$G17=BD17),"0",if(($F17-$G17)*(BC17-BD17)&gt;0,0.5*'Thể lệ'!$E$6,'Thể lệ'!$E$6)))</f>
        <v>5000</v>
      </c>
      <c r="DI17" s="45"/>
      <c r="DJ17" s="44">
        <f>if($F17=$G17,if(and($F17=$G17,BE17&lt;&gt;BF17),'Thể lệ'!$E$6,if($F17=BE17,0,0.5*'Thể lệ'!$E$6)),if(and($F17=BE17,$G17=BF17),"0",if(($F17-$G17)*(BE17-BF17)&gt;0,0.5*'Thể lệ'!$E$6,'Thể lệ'!$E$6)))</f>
        <v>5000</v>
      </c>
      <c r="DK17" s="45"/>
      <c r="DL17" s="43">
        <f>if($F17=$G17,if(and($F17=$G17,BG17&lt;&gt;BH17),'Thể lệ'!$E$6,if($F17=BG17,0,0.5*'Thể lệ'!$E$6)),if(and($F17=BG17,$G17=BH17),"0",if(($F17-$G17)*(BG17-BH17)&gt;0,0.5*'Thể lệ'!$E$6,'Thể lệ'!$E$6)))</f>
        <v>0</v>
      </c>
      <c r="DM17" s="45"/>
      <c r="DN17" s="44">
        <f>if($F17=$G17,if(and($F17=$G17,BI17&lt;&gt;BJ17),'Thể lệ'!$E$6,if($F17=BI17,0,0.5*'Thể lệ'!$E$6)),if(and($F17=BI17,$G17=BJ17),"0",if(($F17-$G17)*(BI17-BJ17)&gt;0,0.5*'Thể lệ'!$E$6,'Thể lệ'!$E$6)))</f>
        <v>5000</v>
      </c>
      <c r="DO17" s="45"/>
      <c r="DP17" s="8"/>
    </row>
    <row r="18">
      <c r="B18" s="22">
        <v>12.0</v>
      </c>
      <c r="C18" s="46">
        <v>46188.37499999999</v>
      </c>
      <c r="D18" s="47">
        <v>46188.37499999999</v>
      </c>
      <c r="E18" s="48" t="s">
        <v>54</v>
      </c>
      <c r="F18" s="23"/>
      <c r="G18" s="23"/>
      <c r="H18" s="48" t="s">
        <v>55</v>
      </c>
      <c r="I18" s="37"/>
      <c r="J18" s="37"/>
      <c r="K18" s="37">
        <v>2.0</v>
      </c>
      <c r="L18" s="37">
        <v>1.0</v>
      </c>
      <c r="M18" s="37"/>
      <c r="N18" s="37"/>
      <c r="O18" s="37">
        <v>2.0</v>
      </c>
      <c r="P18" s="37">
        <v>0.0</v>
      </c>
      <c r="Q18" s="37">
        <f t="shared" si="4"/>
        <v>1</v>
      </c>
      <c r="R18" s="37">
        <f t="shared" si="6"/>
        <v>0</v>
      </c>
      <c r="S18" s="37">
        <v>1.0</v>
      </c>
      <c r="T18" s="37">
        <v>0.0</v>
      </c>
      <c r="U18" s="37">
        <v>1.0</v>
      </c>
      <c r="V18" s="37">
        <v>0.0</v>
      </c>
      <c r="W18" s="37">
        <v>1.0</v>
      </c>
      <c r="X18" s="37">
        <v>0.0</v>
      </c>
      <c r="Y18" s="37">
        <v>1.0</v>
      </c>
      <c r="Z18" s="37">
        <v>1.0</v>
      </c>
      <c r="AA18" s="37"/>
      <c r="AB18" s="37"/>
      <c r="AC18" s="37"/>
      <c r="AD18" s="37"/>
      <c r="AE18" s="37">
        <v>1.0</v>
      </c>
      <c r="AF18" s="37">
        <v>0.0</v>
      </c>
      <c r="AG18" s="37"/>
      <c r="AH18" s="37"/>
      <c r="AI18" s="37"/>
      <c r="AJ18" s="37"/>
      <c r="AK18" s="37">
        <v>0.0</v>
      </c>
      <c r="AL18" s="37">
        <v>0.0</v>
      </c>
      <c r="AM18" s="37"/>
      <c r="AN18" s="37"/>
      <c r="AO18" s="37">
        <v>1.0</v>
      </c>
      <c r="AP18" s="37">
        <v>1.0</v>
      </c>
      <c r="AQ18" s="39">
        <f t="shared" ref="AQ18:AR18" si="13">BE18</f>
        <v>1</v>
      </c>
      <c r="AR18" s="39">
        <f t="shared" si="13"/>
        <v>0</v>
      </c>
      <c r="AS18" s="40">
        <v>2.0</v>
      </c>
      <c r="AT18" s="40">
        <v>0.0</v>
      </c>
      <c r="AU18" s="37"/>
      <c r="AV18" s="37"/>
      <c r="AW18" s="37"/>
      <c r="AX18" s="37"/>
      <c r="AY18" s="37"/>
      <c r="AZ18" s="37"/>
      <c r="BA18" s="37">
        <v>1.0</v>
      </c>
      <c r="BB18" s="37">
        <v>0.0</v>
      </c>
      <c r="BC18" s="37">
        <v>2.0</v>
      </c>
      <c r="BD18" s="37">
        <v>0.0</v>
      </c>
      <c r="BE18" s="42">
        <v>1.0</v>
      </c>
      <c r="BF18" s="37">
        <v>0.0</v>
      </c>
      <c r="BG18" s="37"/>
      <c r="BH18" s="37"/>
      <c r="BI18" s="37">
        <f>H.Son!H18</f>
        <v>1</v>
      </c>
      <c r="BJ18" s="37">
        <f>H.Son!I18</f>
        <v>0</v>
      </c>
      <c r="BK18" s="37"/>
      <c r="BL18" s="37"/>
      <c r="BM18" s="9"/>
      <c r="BN18" s="43">
        <f>if($F18=$G18,if(and($F18=$G18,I18&lt;&gt;J18),'Thể lệ'!$E$6,if($F18=I18,0,0.5*'Thể lệ'!$E$6)),if(and($F18=I18,$G18=J18),"0",if(($F18-$G18)*(I18-J18)&gt;0,0.5*'Thể lệ'!$E$6,'Thể lệ'!$E$6)))</f>
        <v>0</v>
      </c>
      <c r="BO18" s="43"/>
      <c r="BP18" s="44">
        <f>if($F18=$G18,if(and($F18=$G18,K18&lt;&gt;L18),'Thể lệ'!$E$6,if($F18=K18,0,0.5*'Thể lệ'!$E$6)),if(and($F18=K18,$G18=L18),"0",if(($F18-$G18)*(K18-L18)&gt;0,0.5*'Thể lệ'!$E$6,'Thể lệ'!$E$6)))</f>
        <v>10000</v>
      </c>
      <c r="BQ18" s="43"/>
      <c r="BR18" s="43">
        <f>if($F18=$G18,if(and($F18=$G18,M18&lt;&gt;N18),'Thể lệ'!$E$6,if($F18=M18,0,0.5*'Thể lệ'!$E$6)),if(and($F18=M18,$G18=N18),"0",if(($F18-$G18)*(M18-N18)&gt;0,0.5*'Thể lệ'!$E$6,'Thể lệ'!$E$6)))</f>
        <v>0</v>
      </c>
      <c r="BS18" s="43"/>
      <c r="BT18" s="44">
        <f>if($F18=$G18,if(and($F18=$G18,O18&lt;&gt;P18),'Thể lệ'!$E$6,if($F18=O18,0,0.5*'Thể lệ'!$E$6)),if(and($F18=O18,$G18=P18),"0",if(($F18-$G18)*(O18-P18)&gt;0,0.5*'Thể lệ'!$E$6,'Thể lệ'!$E$6)))</f>
        <v>10000</v>
      </c>
      <c r="BU18" s="43"/>
      <c r="BV18" s="44">
        <f>if($F18=$G18,if(and($F18=$G18,Q18&lt;&gt;R18),'Thể lệ'!$E$6,if($F18=Q18,0,0.5*'Thể lệ'!$E$6)),if(and($F18=Q18,$G18=R18),"0",if(($F18-$G18)*(Q18-R18)&gt;0,0.5*'Thể lệ'!$E$6,'Thể lệ'!$E$6)))</f>
        <v>10000</v>
      </c>
      <c r="BW18" s="43"/>
      <c r="BX18" s="44">
        <f>if($F18=$G18,if(and($F18=$G18,S18&lt;&gt;T18),'Thể lệ'!$E$6,if($F18=S18,0,0.5*'Thể lệ'!$E$6)),if(and($F18=S18,$G18=T18),"0",if(($F18-$G18)*(S18-T18)&gt;0,0.5*'Thể lệ'!$E$6,'Thể lệ'!$E$6)))</f>
        <v>10000</v>
      </c>
      <c r="BY18" s="43"/>
      <c r="BZ18" s="44">
        <f>if($F18=$G18,if(and($F18=$G18,U18&lt;&gt;V18),'Thể lệ'!$E$6,if($F18=U18,0,0.5*'Thể lệ'!$E$6)),if(and($F18=U18,$G18=V18),"0",if(($F18-$G18)*(U18-V18)&gt;0,0.5*'Thể lệ'!$E$6,'Thể lệ'!$E$6)))</f>
        <v>10000</v>
      </c>
      <c r="CA18" s="43"/>
      <c r="CB18" s="44">
        <f>if($F18=$G18,if(and($F18=$G18,W18&lt;&gt;X18),'Thể lệ'!$E$6,if($F18=W18,0,0.5*'Thể lệ'!$E$6)),if(and($F18=W18,$G18=X18),"0",if(($F18-$G18)*(W18-X18)&gt;0,0.5*'Thể lệ'!$E$6,'Thể lệ'!$E$6)))</f>
        <v>10000</v>
      </c>
      <c r="CC18" s="43"/>
      <c r="CD18" s="44">
        <f>if($F18=$G18,if(and($F18=$G18,Y18&lt;&gt;Z18),'Thể lệ'!$E$6,if($F18=Y18,0,0.5*'Thể lệ'!$E$6)),if(and($F18=Y18,$G18=Z18),"0",if(($F18-$G18)*(Y18-Z18)&gt;0,0.5*'Thể lệ'!$E$6,'Thể lệ'!$E$6)))</f>
        <v>5000</v>
      </c>
      <c r="CE18" s="43"/>
      <c r="CF18" s="43">
        <f>if($F18=$G18,if(and($F18=$G18,AA18&lt;&gt;AB18),'Thể lệ'!$E$6,if($F18=AA18,0,0.5*'Thể lệ'!$E$6)),if(and($F18=AA18,$G18=AB18),"0",if(($F18-$G18)*(AA18-AB18)&gt;0,0.5*'Thể lệ'!$E$6,'Thể lệ'!$E$6)))</f>
        <v>0</v>
      </c>
      <c r="CG18" s="43"/>
      <c r="CH18" s="43">
        <f>if($F18=$G18,if(and($F18=$G18,AC18&lt;&gt;AD18),'Thể lệ'!$E$6,if($F18=AC18,0,0.5*'Thể lệ'!$E$6)),if(and($F18=AC18,$G18=AD18),"0",if(($F18-$G18)*(AC18-AD18)&gt;0,0.5*'Thể lệ'!$E$6,'Thể lệ'!$E$6)))</f>
        <v>0</v>
      </c>
      <c r="CI18" s="43"/>
      <c r="CJ18" s="44">
        <f>if($F18=$G18,if(and($F18=$G18,AE18&lt;&gt;AF18),'Thể lệ'!$E$6,if($F18=AE18,0,0.5*'Thể lệ'!$E$6)),if(and($F18=AE18,$G18=AF18),"0",if(($F18-$G18)*(AE18-AF18)&gt;0,0.5*'Thể lệ'!$E$6,'Thể lệ'!$E$6)))</f>
        <v>10000</v>
      </c>
      <c r="CK18" s="43"/>
      <c r="CL18" s="43">
        <f>if($F18=$G18,if(and($F18=$G18,AG18&lt;&gt;AH18),'Thể lệ'!$E$6,if($F18=AG18,0,0.5*'Thể lệ'!$E$6)),if(and($F18=AG18,$G18=AH18),"0",if(($F18-$G18)*(AG18-AH18)&gt;0,0.5*'Thể lệ'!$E$6,'Thể lệ'!$E$6)))</f>
        <v>0</v>
      </c>
      <c r="CM18" s="43"/>
      <c r="CN18" s="43">
        <f>if($F18=$G18,if(and($F18=$G18,AI18&lt;&gt;AJ18),'Thể lệ'!$E$6,if($F18=AI18,0,0.5*'Thể lệ'!$E$6)),if(and($F18=AI18,$G18=AJ18),"0",if(($F18-$G18)*(AI18-AJ18)&gt;0,0.5*'Thể lệ'!$E$6,'Thể lệ'!$E$6)))</f>
        <v>0</v>
      </c>
      <c r="CO18" s="43"/>
      <c r="CP18" s="43">
        <f>if($F18=$G18,if(and($F18=$G18,AK18&lt;&gt;AL18),'Thể lệ'!$E$6,if($F18=AK18,0,0.5*'Thể lệ'!$E$6)),if(and($F18=AK18,$G18=AL18),"0",if(($F18-$G18)*(AK18-AL18)&gt;0,0.5*'Thể lệ'!$E$6,'Thể lệ'!$E$6)))</f>
        <v>0</v>
      </c>
      <c r="CQ18" s="43"/>
      <c r="CR18" s="43">
        <f>if($F18=$G18,if(and($F18=$G18,AM18&lt;&gt;AN18),'Thể lệ'!$E$6,if($F18=AM18,0,0.5*'Thể lệ'!$E$6)),if(and($F18=AM18,$G18=AN18),"0",if(($F18-$G18)*(AM18-AN18)&gt;0,0.5*'Thể lệ'!$E$6,'Thể lệ'!$E$6)))</f>
        <v>0</v>
      </c>
      <c r="CS18" s="43"/>
      <c r="CT18" s="44">
        <f>if($F18=$G18,if(and($F18=$G18,AO18&lt;&gt;AP18),'Thể lệ'!$E$6,if($F18=AO18,0,0.5*'Thể lệ'!$E$6)),if(and($F18=AO18,$G18=AP18),"0",if(($F18-$G18)*(AO18-AP18)&gt;0,0.5*'Thể lệ'!$E$6,'Thể lệ'!$E$6)))</f>
        <v>5000</v>
      </c>
      <c r="CU18" s="43"/>
      <c r="CV18" s="44">
        <f>if($F18=$G18,if(and($F18=$G18,AQ18&lt;&gt;AR18),'Thể lệ'!$E$6,if($F18=AQ18,0,0.5*'Thể lệ'!$E$6)),if(and($F18=AQ18,$G18=AR18),"0",if(($F18-$G18)*(AQ18-AR18)&gt;0,0.5*'Thể lệ'!$E$6,'Thể lệ'!$E$6)))</f>
        <v>10000</v>
      </c>
      <c r="CW18" s="43"/>
      <c r="CX18" s="44">
        <f>if($F18=$G18,if(and($F18=$G18,AS18&lt;&gt;AT18),'Thể lệ'!$E$6,if($F18=AS18,0,0.5*'Thể lệ'!$E$6)),if(and($F18=AS18,$G18=AT18),"0",if(($F18-$G18)*(AS18-AT18)&gt;0,0.5*'Thể lệ'!$E$6,'Thể lệ'!$E$6)))</f>
        <v>10000</v>
      </c>
      <c r="CY18" s="45"/>
      <c r="CZ18" s="43">
        <f>if($F18=$G18,if(and($F18=$G18,AU18&lt;&gt;AV18),'Thể lệ'!$E$6,if($F18=AU18,0,0.5*'Thể lệ'!$E$6)),if(and($F18=AU18,$G18=AV18),"0",if(($F18-$G18)*(AU18-AV18)&gt;0,0.5*'Thể lệ'!$E$6,'Thể lệ'!$E$6)))</f>
        <v>0</v>
      </c>
      <c r="DA18" s="45"/>
      <c r="DB18" s="43">
        <f>if($F18=$G18,if(and($F18=$G18,AW18&lt;&gt;AX18),'Thể lệ'!$E$6,if($F18=AW18,0,0.5*'Thể lệ'!$E$6)),if(and($F18=AW18,$G18=AX18),"0",if(($F18-$G18)*(AW18-AX18)&gt;0,0.5*'Thể lệ'!$E$6,'Thể lệ'!$E$6)))</f>
        <v>0</v>
      </c>
      <c r="DC18" s="45"/>
      <c r="DD18" s="43">
        <f>if($F18=$G18,if(and($F18=$G18,AY18&lt;&gt;AZ18),'Thể lệ'!$E$6,if($F18=AY18,0,0.5*'Thể lệ'!$E$6)),if(and($F18=AY18,$G18=AZ18),"0",if(($F18-$G18)*(AY18-AZ18)&gt;0,0.5*'Thể lệ'!$E$6,'Thể lệ'!$E$6)))</f>
        <v>0</v>
      </c>
      <c r="DE18" s="45"/>
      <c r="DF18" s="44">
        <f>if($F18=$G18,if(and($F18=$G18,BA18&lt;&gt;BB18),'Thể lệ'!$E$6,if($F18=BA18,0,0.5*'Thể lệ'!$E$6)),if(and($F18=BA18,$G18=BB18),"0",if(($F18-$G18)*(BA18-BB18)&gt;0,0.5*'Thể lệ'!$E$6,'Thể lệ'!$E$6)))</f>
        <v>10000</v>
      </c>
      <c r="DG18" s="45"/>
      <c r="DH18" s="44">
        <f>if($F18=$G18,if(and($F18=$G18,BC18&lt;&gt;BD18),'Thể lệ'!$E$6,if($F18=BC18,0,0.5*'Thể lệ'!$E$6)),if(and($F18=BC18,$G18=BD18),"0",if(($F18-$G18)*(BC18-BD18)&gt;0,0.5*'Thể lệ'!$E$6,'Thể lệ'!$E$6)))</f>
        <v>10000</v>
      </c>
      <c r="DI18" s="45"/>
      <c r="DJ18" s="44">
        <f>if($F18=$G18,if(and($F18=$G18,BE18&lt;&gt;BF18),'Thể lệ'!$E$6,if($F18=BE18,0,0.5*'Thể lệ'!$E$6)),if(and($F18=BE18,$G18=BF18),"0",if(($F18-$G18)*(BE18-BF18)&gt;0,0.5*'Thể lệ'!$E$6,'Thể lệ'!$E$6)))</f>
        <v>10000</v>
      </c>
      <c r="DK18" s="45"/>
      <c r="DL18" s="43">
        <f>if($F18=$G18,if(and($F18=$G18,BG18&lt;&gt;BH18),'Thể lệ'!$E$6,if($F18=BG18,0,0.5*'Thể lệ'!$E$6)),if(and($F18=BG18,$G18=BH18),"0",if(($F18-$G18)*(BG18-BH18)&gt;0,0.5*'Thể lệ'!$E$6,'Thể lệ'!$E$6)))</f>
        <v>0</v>
      </c>
      <c r="DM18" s="45"/>
      <c r="DN18" s="44">
        <f>if($F18=$G18,if(and($F18=$G18,BI18&lt;&gt;BJ18),'Thể lệ'!$E$6,if($F18=BI18,0,0.5*'Thể lệ'!$E$6)),if(and($F18=BI18,$G18=BJ18),"0",if(($F18-$G18)*(BI18-BJ18)&gt;0,0.5*'Thể lệ'!$E$6,'Thể lệ'!$E$6)))</f>
        <v>10000</v>
      </c>
      <c r="DO18" s="45"/>
      <c r="DP18" s="8"/>
    </row>
    <row r="19">
      <c r="A19" s="33"/>
      <c r="B19" s="22">
        <v>13.0</v>
      </c>
      <c r="C19" s="34">
        <v>46188.95833333333</v>
      </c>
      <c r="D19" s="49">
        <v>46188.95833333333</v>
      </c>
      <c r="E19" s="36" t="s">
        <v>56</v>
      </c>
      <c r="F19" s="23"/>
      <c r="G19" s="23"/>
      <c r="H19" s="36" t="s">
        <v>57</v>
      </c>
      <c r="I19" s="37"/>
      <c r="J19" s="37"/>
      <c r="K19" s="37"/>
      <c r="L19" s="37"/>
      <c r="M19" s="37"/>
      <c r="N19" s="37"/>
      <c r="O19" s="37">
        <v>3.0</v>
      </c>
      <c r="P19" s="37">
        <v>0.0</v>
      </c>
      <c r="Q19" s="37">
        <f t="shared" si="4"/>
        <v>3</v>
      </c>
      <c r="R19" s="37">
        <f t="shared" si="6"/>
        <v>0</v>
      </c>
      <c r="S19" s="37">
        <v>3.0</v>
      </c>
      <c r="T19" s="37">
        <v>0.0</v>
      </c>
      <c r="U19" s="37">
        <v>3.0</v>
      </c>
      <c r="V19" s="37">
        <v>0.0</v>
      </c>
      <c r="W19" s="37">
        <v>3.0</v>
      </c>
      <c r="X19" s="37">
        <v>0.0</v>
      </c>
      <c r="Y19" s="37">
        <v>4.0</v>
      </c>
      <c r="Z19" s="37">
        <v>0.0</v>
      </c>
      <c r="AA19" s="37"/>
      <c r="AB19" s="37"/>
      <c r="AC19" s="37"/>
      <c r="AD19" s="37"/>
      <c r="AE19" s="37">
        <v>3.0</v>
      </c>
      <c r="AF19" s="37">
        <v>0.0</v>
      </c>
      <c r="AG19" s="37"/>
      <c r="AH19" s="37"/>
      <c r="AI19" s="37"/>
      <c r="AJ19" s="37"/>
      <c r="AK19" s="37">
        <v>2.0</v>
      </c>
      <c r="AL19" s="37">
        <v>0.0</v>
      </c>
      <c r="AM19" s="50"/>
      <c r="AN19" s="50"/>
      <c r="AO19" s="37">
        <v>3.0</v>
      </c>
      <c r="AP19" s="37">
        <v>0.0</v>
      </c>
      <c r="AQ19" s="39">
        <f t="shared" ref="AQ19:AR19" si="14">BE19</f>
        <v>3</v>
      </c>
      <c r="AR19" s="39">
        <f t="shared" si="14"/>
        <v>0</v>
      </c>
      <c r="AS19" s="40">
        <v>3.0</v>
      </c>
      <c r="AT19" s="40">
        <v>0.0</v>
      </c>
      <c r="AU19" s="37"/>
      <c r="AV19" s="37"/>
      <c r="AW19" s="37"/>
      <c r="AX19" s="37"/>
      <c r="AY19" s="37"/>
      <c r="AZ19" s="37"/>
      <c r="BA19" s="37">
        <v>3.0</v>
      </c>
      <c r="BB19" s="37">
        <v>1.0</v>
      </c>
      <c r="BC19" s="37">
        <v>4.0</v>
      </c>
      <c r="BD19" s="37">
        <v>0.0</v>
      </c>
      <c r="BE19" s="42">
        <v>3.0</v>
      </c>
      <c r="BF19" s="37">
        <v>0.0</v>
      </c>
      <c r="BG19" s="37"/>
      <c r="BH19" s="37"/>
      <c r="BI19" s="37">
        <f>H.Son!H19</f>
        <v>3</v>
      </c>
      <c r="BJ19" s="37">
        <f>H.Son!I19</f>
        <v>0</v>
      </c>
      <c r="BK19" s="37"/>
      <c r="BL19" s="37"/>
      <c r="BM19" s="9"/>
      <c r="BN19" s="43">
        <f>if($F19=$G19,if(and($F19=$G19,I19&lt;&gt;J19),'Thể lệ'!$E$6,if($F19=I19,0,0.5*'Thể lệ'!$E$6)),if(and($F19=I19,$G19=J19),"0",if(($F19-$G19)*(I19-J19)&gt;0,0.5*'Thể lệ'!$E$6,'Thể lệ'!$E$6)))</f>
        <v>0</v>
      </c>
      <c r="BO19" s="43"/>
      <c r="BP19" s="43">
        <f>if($F19=$G19,if(and($F19=$G19,K19&lt;&gt;L19),'Thể lệ'!$E$6,if($F19=K19,0,0.5*'Thể lệ'!$E$6)),if(and($F19=K19,$G19=L19),"0",if(($F19-$G19)*(K19-L19)&gt;0,0.5*'Thể lệ'!$E$6,'Thể lệ'!$E$6)))</f>
        <v>0</v>
      </c>
      <c r="BQ19" s="43"/>
      <c r="BR19" s="43">
        <f>if($F19=$G19,if(and($F19=$G19,M19&lt;&gt;N19),'Thể lệ'!$E$6,if($F19=M19,0,0.5*'Thể lệ'!$E$6)),if(and($F19=M19,$G19=N19),"0",if(($F19-$G19)*(M19-N19)&gt;0,0.5*'Thể lệ'!$E$6,'Thể lệ'!$E$6)))</f>
        <v>0</v>
      </c>
      <c r="BS19" s="43"/>
      <c r="BT19" s="44">
        <f>if($F19=$G19,if(and($F19=$G19,O19&lt;&gt;P19),'Thể lệ'!$E$6,if($F19=O19,0,0.5*'Thể lệ'!$E$6)),if(and($F19=O19,$G19=P19),"0",if(($F19-$G19)*(O19-P19)&gt;0,0.5*'Thể lệ'!$E$6,'Thể lệ'!$E$6)))</f>
        <v>10000</v>
      </c>
      <c r="BU19" s="43"/>
      <c r="BV19" s="44">
        <f>if($F19=$G19,if(and($F19=$G19,Q19&lt;&gt;R19),'Thể lệ'!$E$6,if($F19=Q19,0,0.5*'Thể lệ'!$E$6)),if(and($F19=Q19,$G19=R19),"0",if(($F19-$G19)*(Q19-R19)&gt;0,0.5*'Thể lệ'!$E$6,'Thể lệ'!$E$6)))</f>
        <v>10000</v>
      </c>
      <c r="BW19" s="43"/>
      <c r="BX19" s="44">
        <f>if($F19=$G19,if(and($F19=$G19,S19&lt;&gt;T19),'Thể lệ'!$E$6,if($F19=S19,0,0.5*'Thể lệ'!$E$6)),if(and($F19=S19,$G19=T19),"0",if(($F19-$G19)*(S19-T19)&gt;0,0.5*'Thể lệ'!$E$6,'Thể lệ'!$E$6)))</f>
        <v>10000</v>
      </c>
      <c r="BY19" s="43"/>
      <c r="BZ19" s="44">
        <f>if($F19=$G19,if(and($F19=$G19,U19&lt;&gt;V19),'Thể lệ'!$E$6,if($F19=U19,0,0.5*'Thể lệ'!$E$6)),if(and($F19=U19,$G19=V19),"0",if(($F19-$G19)*(U19-V19)&gt;0,0.5*'Thể lệ'!$E$6,'Thể lệ'!$E$6)))</f>
        <v>10000</v>
      </c>
      <c r="CA19" s="43"/>
      <c r="CB19" s="44">
        <f>if($F19=$G19,if(and($F19=$G19,W19&lt;&gt;X19),'Thể lệ'!$E$6,if($F19=W19,0,0.5*'Thể lệ'!$E$6)),if(and($F19=W19,$G19=X19),"0",if(($F19-$G19)*(W19-X19)&gt;0,0.5*'Thể lệ'!$E$6,'Thể lệ'!$E$6)))</f>
        <v>10000</v>
      </c>
      <c r="CC19" s="43"/>
      <c r="CD19" s="44">
        <f>if($F19=$G19,if(and($F19=$G19,Y19&lt;&gt;Z19),'Thể lệ'!$E$6,if($F19=Y19,0,0.5*'Thể lệ'!$E$6)),if(and($F19=Y19,$G19=Z19),"0",if(($F19-$G19)*(Y19-Z19)&gt;0,0.5*'Thể lệ'!$E$6,'Thể lệ'!$E$6)))</f>
        <v>10000</v>
      </c>
      <c r="CE19" s="43"/>
      <c r="CF19" s="43">
        <f>if($F19=$G19,if(and($F19=$G19,AA19&lt;&gt;AB19),'Thể lệ'!$E$6,if($F19=AA19,0,0.5*'Thể lệ'!$E$6)),if(and($F19=AA19,$G19=AB19),"0",if(($F19-$G19)*(AA19-AB19)&gt;0,0.5*'Thể lệ'!$E$6,'Thể lệ'!$E$6)))</f>
        <v>0</v>
      </c>
      <c r="CG19" s="43"/>
      <c r="CH19" s="43">
        <f>if($F19=$G19,if(and($F19=$G19,AC19&lt;&gt;AD19),'Thể lệ'!$E$6,if($F19=AC19,0,0.5*'Thể lệ'!$E$6)),if(and($F19=AC19,$G19=AD19),"0",if(($F19-$G19)*(AC19-AD19)&gt;0,0.5*'Thể lệ'!$E$6,'Thể lệ'!$E$6)))</f>
        <v>0</v>
      </c>
      <c r="CI19" s="43"/>
      <c r="CJ19" s="44">
        <f>if($F19=$G19,if(and($F19=$G19,AE19&lt;&gt;AF19),'Thể lệ'!$E$6,if($F19=AE19,0,0.5*'Thể lệ'!$E$6)),if(and($F19=AE19,$G19=AF19),"0",if(($F19-$G19)*(AE19-AF19)&gt;0,0.5*'Thể lệ'!$E$6,'Thể lệ'!$E$6)))</f>
        <v>10000</v>
      </c>
      <c r="CK19" s="43"/>
      <c r="CL19" s="43">
        <f>if($F19=$G19,if(and($F19=$G19,AG19&lt;&gt;AH19),'Thể lệ'!$E$6,if($F19=AG19,0,0.5*'Thể lệ'!$E$6)),if(and($F19=AG19,$G19=AH19),"0",if(($F19-$G19)*(AG19-AH19)&gt;0,0.5*'Thể lệ'!$E$6,'Thể lệ'!$E$6)))</f>
        <v>0</v>
      </c>
      <c r="CM19" s="43"/>
      <c r="CN19" s="43">
        <f>if($F19=$G19,if(and($F19=$G19,AI19&lt;&gt;AJ19),'Thể lệ'!$E$6,if($F19=AI19,0,0.5*'Thể lệ'!$E$6)),if(and($F19=AI19,$G19=AJ19),"0",if(($F19-$G19)*(AI19-AJ19)&gt;0,0.5*'Thể lệ'!$E$6,'Thể lệ'!$E$6)))</f>
        <v>0</v>
      </c>
      <c r="CO19" s="43"/>
      <c r="CP19" s="44">
        <f>if($F19=$G19,if(and($F19=$G19,AK19&lt;&gt;AL19),'Thể lệ'!$E$6,if($F19=AK19,0,0.5*'Thể lệ'!$E$6)),if(and($F19=AK19,$G19=AL19),"0",if(($F19-$G19)*(AK19-AL19)&gt;0,0.5*'Thể lệ'!$E$6,'Thể lệ'!$E$6)))</f>
        <v>10000</v>
      </c>
      <c r="CQ19" s="43"/>
      <c r="CR19" s="43">
        <f>if($F19=$G19,if(and($F19=$G19,AM19&lt;&gt;AN19),'Thể lệ'!$E$6,if($F19=AM19,0,0.5*'Thể lệ'!$E$6)),if(and($F19=AM19,$G19=AN19),"0",if(($F19-$G19)*(AM19-AN19)&gt;0,0.5*'Thể lệ'!$E$6,'Thể lệ'!$E$6)))</f>
        <v>0</v>
      </c>
      <c r="CS19" s="43"/>
      <c r="CT19" s="44">
        <f>if($F19=$G19,if(and($F19=$G19,AO19&lt;&gt;AP19),'Thể lệ'!$E$6,if($F19=AO19,0,0.5*'Thể lệ'!$E$6)),if(and($F19=AO19,$G19=AP19),"0",if(($F19-$G19)*(AO19-AP19)&gt;0,0.5*'Thể lệ'!$E$6,'Thể lệ'!$E$6)))</f>
        <v>10000</v>
      </c>
      <c r="CU19" s="43"/>
      <c r="CV19" s="44">
        <f>if($F19=$G19,if(and($F19=$G19,AQ19&lt;&gt;AR19),'Thể lệ'!$E$6,if($F19=AQ19,0,0.5*'Thể lệ'!$E$6)),if(and($F19=AQ19,$G19=AR19),"0",if(($F19-$G19)*(AQ19-AR19)&gt;0,0.5*'Thể lệ'!$E$6,'Thể lệ'!$E$6)))</f>
        <v>10000</v>
      </c>
      <c r="CW19" s="43"/>
      <c r="CX19" s="44">
        <f>if($F19=$G19,if(and($F19=$G19,AS19&lt;&gt;AT19),'Thể lệ'!$E$6,if($F19=AS19,0,0.5*'Thể lệ'!$E$6)),if(and($F19=AS19,$G19=AT19),"0",if(($F19-$G19)*(AS19-AT19)&gt;0,0.5*'Thể lệ'!$E$6,'Thể lệ'!$E$6)))</f>
        <v>10000</v>
      </c>
      <c r="CY19" s="45"/>
      <c r="CZ19" s="43">
        <f>if($F19=$G19,if(and($F19=$G19,AU19&lt;&gt;AV19),'Thể lệ'!$E$6,if($F19=AU19,0,0.5*'Thể lệ'!$E$6)),if(and($F19=AU19,$G19=AV19),"0",if(($F19-$G19)*(AU19-AV19)&gt;0,0.5*'Thể lệ'!$E$6,'Thể lệ'!$E$6)))</f>
        <v>0</v>
      </c>
      <c r="DA19" s="45"/>
      <c r="DB19" s="43">
        <f>if($F19=$G19,if(and($F19=$G19,AW19&lt;&gt;AX19),'Thể lệ'!$E$6,if($F19=AW19,0,0.5*'Thể lệ'!$E$6)),if(and($F19=AW19,$G19=AX19),"0",if(($F19-$G19)*(AW19-AX19)&gt;0,0.5*'Thể lệ'!$E$6,'Thể lệ'!$E$6)))</f>
        <v>0</v>
      </c>
      <c r="DC19" s="45"/>
      <c r="DD19" s="43">
        <f>if($F19=$G19,if(and($F19=$G19,AY19&lt;&gt;AZ19),'Thể lệ'!$E$6,if($F19=AY19,0,0.5*'Thể lệ'!$E$6)),if(and($F19=AY19,$G19=AZ19),"0",if(($F19-$G19)*(AY19-AZ19)&gt;0,0.5*'Thể lệ'!$E$6,'Thể lệ'!$E$6)))</f>
        <v>0</v>
      </c>
      <c r="DE19" s="45"/>
      <c r="DF19" s="44">
        <f>if($F19=$G19,if(and($F19=$G19,BA19&lt;&gt;BB19),'Thể lệ'!$E$6,if($F19=BA19,0,0.5*'Thể lệ'!$E$6)),if(and($F19=BA19,$G19=BB19),"0",if(($F19-$G19)*(BA19-BB19)&gt;0,0.5*'Thể lệ'!$E$6,'Thể lệ'!$E$6)))</f>
        <v>10000</v>
      </c>
      <c r="DG19" s="45"/>
      <c r="DH19" s="44">
        <f>if($F19=$G19,if(and($F19=$G19,BC19&lt;&gt;BD19),'Thể lệ'!$E$6,if($F19=BC19,0,0.5*'Thể lệ'!$E$6)),if(and($F19=BC19,$G19=BD19),"0",if(($F19-$G19)*(BC19-BD19)&gt;0,0.5*'Thể lệ'!$E$6,'Thể lệ'!$E$6)))</f>
        <v>10000</v>
      </c>
      <c r="DI19" s="45"/>
      <c r="DJ19" s="44">
        <f>if($F19=$G19,if(and($F19=$G19,BE19&lt;&gt;BF19),'Thể lệ'!$E$6,if($F19=BE19,0,0.5*'Thể lệ'!$E$6)),if(and($F19=BE19,$G19=BF19),"0",if(($F19-$G19)*(BE19-BF19)&gt;0,0.5*'Thể lệ'!$E$6,'Thể lệ'!$E$6)))</f>
        <v>10000</v>
      </c>
      <c r="DK19" s="45"/>
      <c r="DL19" s="43">
        <f>if($F19=$G19,if(and($F19=$G19,BG19&lt;&gt;BH19),'Thể lệ'!$E$6,if($F19=BG19,0,0.5*'Thể lệ'!$E$6)),if(and($F19=BG19,$G19=BH19),"0",if(($F19-$G19)*(BG19-BH19)&gt;0,0.5*'Thể lệ'!$E$6,'Thể lệ'!$E$6)))</f>
        <v>0</v>
      </c>
      <c r="DM19" s="45"/>
      <c r="DN19" s="44">
        <f>if($F19=$G19,if(and($F19=$G19,BI19&lt;&gt;BJ19),'Thể lệ'!$E$6,if($F19=BI19,0,0.5*'Thể lệ'!$E$6)),if(and($F19=BI19,$G19=BJ19),"0",if(($F19-$G19)*(BI19-BJ19)&gt;0,0.5*'Thể lệ'!$E$6,'Thể lệ'!$E$6)))</f>
        <v>10000</v>
      </c>
      <c r="DO19" s="45"/>
      <c r="DP19" s="8"/>
    </row>
    <row r="20">
      <c r="B20" s="22">
        <v>14.0</v>
      </c>
      <c r="C20" s="46">
        <v>46189.08333333333</v>
      </c>
      <c r="D20" s="51">
        <v>46189.08333333333</v>
      </c>
      <c r="E20" s="48" t="s">
        <v>58</v>
      </c>
      <c r="F20" s="23"/>
      <c r="G20" s="23"/>
      <c r="H20" s="48" t="s">
        <v>59</v>
      </c>
      <c r="I20" s="37"/>
      <c r="J20" s="37"/>
      <c r="K20" s="37"/>
      <c r="L20" s="37"/>
      <c r="M20" s="37"/>
      <c r="N20" s="37"/>
      <c r="O20" s="37">
        <v>2.0</v>
      </c>
      <c r="P20" s="37">
        <v>1.0</v>
      </c>
      <c r="Q20" s="37">
        <f t="shared" si="4"/>
        <v>2</v>
      </c>
      <c r="R20" s="37">
        <f t="shared" si="6"/>
        <v>1</v>
      </c>
      <c r="S20" s="37">
        <v>2.0</v>
      </c>
      <c r="T20" s="37">
        <v>0.0</v>
      </c>
      <c r="U20" s="37">
        <v>2.0</v>
      </c>
      <c r="V20" s="37">
        <v>1.0</v>
      </c>
      <c r="W20" s="37">
        <v>2.0</v>
      </c>
      <c r="X20" s="37">
        <v>1.0</v>
      </c>
      <c r="Y20" s="37">
        <v>3.0</v>
      </c>
      <c r="Z20" s="37">
        <v>1.0</v>
      </c>
      <c r="AA20" s="37"/>
      <c r="AB20" s="37"/>
      <c r="AC20" s="37"/>
      <c r="AD20" s="37"/>
      <c r="AE20" s="37">
        <v>2.0</v>
      </c>
      <c r="AF20" s="37">
        <v>1.0</v>
      </c>
      <c r="AG20" s="37"/>
      <c r="AH20" s="37"/>
      <c r="AI20" s="37"/>
      <c r="AJ20" s="37"/>
      <c r="AK20" s="37">
        <v>2.0</v>
      </c>
      <c r="AL20" s="37">
        <v>1.0</v>
      </c>
      <c r="AM20" s="50"/>
      <c r="AN20" s="50"/>
      <c r="AO20" s="37">
        <v>1.0</v>
      </c>
      <c r="AP20" s="37">
        <v>1.0</v>
      </c>
      <c r="AQ20" s="39">
        <f t="shared" ref="AQ20:AR20" si="15">BE20</f>
        <v>2</v>
      </c>
      <c r="AR20" s="39">
        <f t="shared" si="15"/>
        <v>1</v>
      </c>
      <c r="AS20" s="40">
        <v>3.0</v>
      </c>
      <c r="AT20" s="40">
        <v>0.0</v>
      </c>
      <c r="AU20" s="37"/>
      <c r="AV20" s="37"/>
      <c r="AW20" s="37"/>
      <c r="AX20" s="37"/>
      <c r="AY20" s="37"/>
      <c r="AZ20" s="37"/>
      <c r="BA20" s="37">
        <v>2.0</v>
      </c>
      <c r="BB20" s="37">
        <v>1.0</v>
      </c>
      <c r="BC20" s="37">
        <v>3.0</v>
      </c>
      <c r="BD20" s="37">
        <v>0.0</v>
      </c>
      <c r="BE20" s="42">
        <v>2.0</v>
      </c>
      <c r="BF20" s="37">
        <v>1.0</v>
      </c>
      <c r="BG20" s="37"/>
      <c r="BH20" s="37"/>
      <c r="BI20" s="37">
        <f>H.Son!H20</f>
        <v>2</v>
      </c>
      <c r="BJ20" s="37">
        <f>H.Son!I20</f>
        <v>0</v>
      </c>
      <c r="BK20" s="37"/>
      <c r="BL20" s="37"/>
      <c r="BM20" s="9"/>
      <c r="BN20" s="43">
        <f>if($F20=$G20,if(and($F20=$G20,I20&lt;&gt;J20),'Thể lệ'!$E$6,if($F20=I20,0,0.5*'Thể lệ'!$E$6)),if(and($F20=I20,$G20=J20),"0",if(($F20-$G20)*(I20-J20)&gt;0,0.5*'Thể lệ'!$E$6,'Thể lệ'!$E$6)))</f>
        <v>0</v>
      </c>
      <c r="BO20" s="43"/>
      <c r="BP20" s="43">
        <f>if($F20=$G20,if(and($F20=$G20,K20&lt;&gt;L20),'Thể lệ'!$E$6,if($F20=K20,0,0.5*'Thể lệ'!$E$6)),if(and($F20=K20,$G20=L20),"0",if(($F20-$G20)*(K20-L20)&gt;0,0.5*'Thể lệ'!$E$6,'Thể lệ'!$E$6)))</f>
        <v>0</v>
      </c>
      <c r="BQ20" s="43"/>
      <c r="BR20" s="43">
        <f>if($F20=$G20,if(and($F20=$G20,M20&lt;&gt;N20),'Thể lệ'!$E$6,if($F20=M20,0,0.5*'Thể lệ'!$E$6)),if(and($F20=M20,$G20=N20),"0",if(($F20-$G20)*(M20-N20)&gt;0,0.5*'Thể lệ'!$E$6,'Thể lệ'!$E$6)))</f>
        <v>0</v>
      </c>
      <c r="BS20" s="43"/>
      <c r="BT20" s="44">
        <f>if($F20=$G20,if(and($F20=$G20,O20&lt;&gt;P20),'Thể lệ'!$E$6,if($F20=O20,0,0.5*'Thể lệ'!$E$6)),if(and($F20=O20,$G20=P20),"0",if(($F20-$G20)*(O20-P20)&gt;0,0.5*'Thể lệ'!$E$6,'Thể lệ'!$E$6)))</f>
        <v>10000</v>
      </c>
      <c r="BU20" s="43"/>
      <c r="BV20" s="44">
        <f>if($F20=$G20,if(and($F20=$G20,Q20&lt;&gt;R20),'Thể lệ'!$E$6,if($F20=Q20,0,0.5*'Thể lệ'!$E$6)),if(and($F20=Q20,$G20=R20),"0",if(($F20-$G20)*(Q20-R20)&gt;0,0.5*'Thể lệ'!$E$6,'Thể lệ'!$E$6)))</f>
        <v>10000</v>
      </c>
      <c r="BW20" s="43"/>
      <c r="BX20" s="44">
        <f>if($F20=$G20,if(and($F20=$G20,S20&lt;&gt;T20),'Thể lệ'!$E$6,if($F20=S20,0,0.5*'Thể lệ'!$E$6)),if(and($F20=S20,$G20=T20),"0",if(($F20-$G20)*(S20-T20)&gt;0,0.5*'Thể lệ'!$E$6,'Thể lệ'!$E$6)))</f>
        <v>10000</v>
      </c>
      <c r="BY20" s="43"/>
      <c r="BZ20" s="44">
        <f>if($F20=$G20,if(and($F20=$G20,U20&lt;&gt;V20),'Thể lệ'!$E$6,if($F20=U20,0,0.5*'Thể lệ'!$E$6)),if(and($F20=U20,$G20=V20),"0",if(($F20-$G20)*(U20-V20)&gt;0,0.5*'Thể lệ'!$E$6,'Thể lệ'!$E$6)))</f>
        <v>10000</v>
      </c>
      <c r="CA20" s="43"/>
      <c r="CB20" s="44">
        <f>if($F20=$G20,if(and($F20=$G20,W20&lt;&gt;X20),'Thể lệ'!$E$6,if($F20=W20,0,0.5*'Thể lệ'!$E$6)),if(and($F20=W20,$G20=X20),"0",if(($F20-$G20)*(W20-X20)&gt;0,0.5*'Thể lệ'!$E$6,'Thể lệ'!$E$6)))</f>
        <v>10000</v>
      </c>
      <c r="CC20" s="43"/>
      <c r="CD20" s="44">
        <f>if($F20=$G20,if(and($F20=$G20,Y20&lt;&gt;Z20),'Thể lệ'!$E$6,if($F20=Y20,0,0.5*'Thể lệ'!$E$6)),if(and($F20=Y20,$G20=Z20),"0",if(($F20-$G20)*(Y20-Z20)&gt;0,0.5*'Thể lệ'!$E$6,'Thể lệ'!$E$6)))</f>
        <v>10000</v>
      </c>
      <c r="CE20" s="43"/>
      <c r="CF20" s="43">
        <f>if($F20=$G20,if(and($F20=$G20,AA20&lt;&gt;AB20),'Thể lệ'!$E$6,if($F20=AA20,0,0.5*'Thể lệ'!$E$6)),if(and($F20=AA20,$G20=AB20),"0",if(($F20-$G20)*(AA20-AB20)&gt;0,0.5*'Thể lệ'!$E$6,'Thể lệ'!$E$6)))</f>
        <v>0</v>
      </c>
      <c r="CG20" s="43"/>
      <c r="CH20" s="43">
        <f>if($F20=$G20,if(and($F20=$G20,AC20&lt;&gt;AD20),'Thể lệ'!$E$6,if($F20=AC20,0,0.5*'Thể lệ'!$E$6)),if(and($F20=AC20,$G20=AD20),"0",if(($F20-$G20)*(AC20-AD20)&gt;0,0.5*'Thể lệ'!$E$6,'Thể lệ'!$E$6)))</f>
        <v>0</v>
      </c>
      <c r="CI20" s="43"/>
      <c r="CJ20" s="44">
        <f>if($F20=$G20,if(and($F20=$G20,AE20&lt;&gt;AF20),'Thể lệ'!$E$6,if($F20=AE20,0,0.5*'Thể lệ'!$E$6)),if(and($F20=AE20,$G20=AF20),"0",if(($F20-$G20)*(AE20-AF20)&gt;0,0.5*'Thể lệ'!$E$6,'Thể lệ'!$E$6)))</f>
        <v>10000</v>
      </c>
      <c r="CK20" s="43"/>
      <c r="CL20" s="43">
        <f>if($F20=$G20,if(and($F20=$G20,AG20&lt;&gt;AH20),'Thể lệ'!$E$6,if($F20=AG20,0,0.5*'Thể lệ'!$E$6)),if(and($F20=AG20,$G20=AH20),"0",if(($F20-$G20)*(AG20-AH20)&gt;0,0.5*'Thể lệ'!$E$6,'Thể lệ'!$E$6)))</f>
        <v>0</v>
      </c>
      <c r="CM20" s="43"/>
      <c r="CN20" s="43">
        <f>if($F20=$G20,if(and($F20=$G20,AI20&lt;&gt;AJ20),'Thể lệ'!$E$6,if($F20=AI20,0,0.5*'Thể lệ'!$E$6)),if(and($F20=AI20,$G20=AJ20),"0",if(($F20-$G20)*(AI20-AJ20)&gt;0,0.5*'Thể lệ'!$E$6,'Thể lệ'!$E$6)))</f>
        <v>0</v>
      </c>
      <c r="CO20" s="43"/>
      <c r="CP20" s="44">
        <f>if($F20=$G20,if(and($F20=$G20,AK20&lt;&gt;AL20),'Thể lệ'!$E$6,if($F20=AK20,0,0.5*'Thể lệ'!$E$6)),if(and($F20=AK20,$G20=AL20),"0",if(($F20-$G20)*(AK20-AL20)&gt;0,0.5*'Thể lệ'!$E$6,'Thể lệ'!$E$6)))</f>
        <v>10000</v>
      </c>
      <c r="CQ20" s="43"/>
      <c r="CR20" s="43">
        <f>if($F20=$G20,if(and($F20=$G20,AM20&lt;&gt;AN20),'Thể lệ'!$E$6,if($F20=AM20,0,0.5*'Thể lệ'!$E$6)),if(and($F20=AM20,$G20=AN20),"0",if(($F20-$G20)*(AM20-AN20)&gt;0,0.5*'Thể lệ'!$E$6,'Thể lệ'!$E$6)))</f>
        <v>0</v>
      </c>
      <c r="CS20" s="43"/>
      <c r="CT20" s="44">
        <f>if($F20=$G20,if(and($F20=$G20,AO20&lt;&gt;AP20),'Thể lệ'!$E$6,if($F20=AO20,0,0.5*'Thể lệ'!$E$6)),if(and($F20=AO20,$G20=AP20),"0",if(($F20-$G20)*(AO20-AP20)&gt;0,0.5*'Thể lệ'!$E$6,'Thể lệ'!$E$6)))</f>
        <v>5000</v>
      </c>
      <c r="CU20" s="43"/>
      <c r="CV20" s="44">
        <f>if($F20=$G20,if(and($F20=$G20,AQ20&lt;&gt;AR20),'Thể lệ'!$E$6,if($F20=AQ20,0,0.5*'Thể lệ'!$E$6)),if(and($F20=AQ20,$G20=AR20),"0",if(($F20-$G20)*(AQ20-AR20)&gt;0,0.5*'Thể lệ'!$E$6,'Thể lệ'!$E$6)))</f>
        <v>10000</v>
      </c>
      <c r="CW20" s="43"/>
      <c r="CX20" s="44">
        <f>if($F20=$G20,if(and($F20=$G20,AS20&lt;&gt;AT20),'Thể lệ'!$E$6,if($F20=AS20,0,0.5*'Thể lệ'!$E$6)),if(and($F20=AS20,$G20=AT20),"0",if(($F20-$G20)*(AS20-AT20)&gt;0,0.5*'Thể lệ'!$E$6,'Thể lệ'!$E$6)))</f>
        <v>10000</v>
      </c>
      <c r="CY20" s="45"/>
      <c r="CZ20" s="43">
        <f>if($F20=$G20,if(and($F20=$G20,AU20&lt;&gt;AV20),'Thể lệ'!$E$6,if($F20=AU20,0,0.5*'Thể lệ'!$E$6)),if(and($F20=AU20,$G20=AV20),"0",if(($F20-$G20)*(AU20-AV20)&gt;0,0.5*'Thể lệ'!$E$6,'Thể lệ'!$E$6)))</f>
        <v>0</v>
      </c>
      <c r="DA20" s="45"/>
      <c r="DB20" s="43">
        <f>if($F20=$G20,if(and($F20=$G20,AW20&lt;&gt;AX20),'Thể lệ'!$E$6,if($F20=AW20,0,0.5*'Thể lệ'!$E$6)),if(and($F20=AW20,$G20=AX20),"0",if(($F20-$G20)*(AW20-AX20)&gt;0,0.5*'Thể lệ'!$E$6,'Thể lệ'!$E$6)))</f>
        <v>0</v>
      </c>
      <c r="DC20" s="45"/>
      <c r="DD20" s="43">
        <f>if($F20=$G20,if(and($F20=$G20,AY20&lt;&gt;AZ20),'Thể lệ'!$E$6,if($F20=AY20,0,0.5*'Thể lệ'!$E$6)),if(and($F20=AY20,$G20=AZ20),"0",if(($F20-$G20)*(AY20-AZ20)&gt;0,0.5*'Thể lệ'!$E$6,'Thể lệ'!$E$6)))</f>
        <v>0</v>
      </c>
      <c r="DE20" s="45"/>
      <c r="DF20" s="44">
        <f>if($F20=$G20,if(and($F20=$G20,BA20&lt;&gt;BB20),'Thể lệ'!$E$6,if($F20=BA20,0,0.5*'Thể lệ'!$E$6)),if(and($F20=BA20,$G20=BB20),"0",if(($F20-$G20)*(BA20-BB20)&gt;0,0.5*'Thể lệ'!$E$6,'Thể lệ'!$E$6)))</f>
        <v>10000</v>
      </c>
      <c r="DG20" s="45"/>
      <c r="DH20" s="44">
        <f>if($F20=$G20,if(and($F20=$G20,BC20&lt;&gt;BD20),'Thể lệ'!$E$6,if($F20=BC20,0,0.5*'Thể lệ'!$E$6)),if(and($F20=BC20,$G20=BD20),"0",if(($F20-$G20)*(BC20-BD20)&gt;0,0.5*'Thể lệ'!$E$6,'Thể lệ'!$E$6)))</f>
        <v>10000</v>
      </c>
      <c r="DI20" s="45"/>
      <c r="DJ20" s="44">
        <f>if($F20=$G20,if(and($F20=$G20,BE20&lt;&gt;BF20),'Thể lệ'!$E$6,if($F20=BE20,0,0.5*'Thể lệ'!$E$6)),if(and($F20=BE20,$G20=BF20),"0",if(($F20-$G20)*(BE20-BF20)&gt;0,0.5*'Thể lệ'!$E$6,'Thể lệ'!$E$6)))</f>
        <v>10000</v>
      </c>
      <c r="DK20" s="45"/>
      <c r="DL20" s="43">
        <f>if($F20=$G20,if(and($F20=$G20,BG20&lt;&gt;BH20),'Thể lệ'!$E$6,if($F20=BG20,0,0.5*'Thể lệ'!$E$6)),if(and($F20=BG20,$G20=BH20),"0",if(($F20-$G20)*(BG20-BH20)&gt;0,0.5*'Thể lệ'!$E$6,'Thể lệ'!$E$6)))</f>
        <v>0</v>
      </c>
      <c r="DM20" s="45"/>
      <c r="DN20" s="44">
        <f>if($F20=$G20,if(and($F20=$G20,BI20&lt;&gt;BJ20),'Thể lệ'!$E$6,if($F20=BI20,0,0.5*'Thể lệ'!$E$6)),if(and($F20=BI20,$G20=BJ20),"0",if(($F20-$G20)*(BI20-BJ20)&gt;0,0.5*'Thể lệ'!$E$6,'Thể lệ'!$E$6)))</f>
        <v>10000</v>
      </c>
      <c r="DO20" s="45"/>
      <c r="DP20" s="8"/>
    </row>
    <row r="21">
      <c r="B21" s="22">
        <v>15.0</v>
      </c>
      <c r="C21" s="46">
        <v>46189.20833333333</v>
      </c>
      <c r="D21" s="51">
        <v>46189.20833333333</v>
      </c>
      <c r="E21" s="48" t="s">
        <v>60</v>
      </c>
      <c r="F21" s="23"/>
      <c r="G21" s="23"/>
      <c r="H21" s="48" t="s">
        <v>61</v>
      </c>
      <c r="I21" s="37"/>
      <c r="J21" s="37"/>
      <c r="K21" s="37"/>
      <c r="L21" s="37"/>
      <c r="M21" s="37"/>
      <c r="N21" s="37"/>
      <c r="O21" s="37">
        <v>0.0</v>
      </c>
      <c r="P21" s="37">
        <v>2.0</v>
      </c>
      <c r="Q21" s="37">
        <f t="shared" si="4"/>
        <v>1</v>
      </c>
      <c r="R21" s="37">
        <f t="shared" si="6"/>
        <v>2</v>
      </c>
      <c r="S21" s="37">
        <v>0.0</v>
      </c>
      <c r="T21" s="37">
        <v>2.0</v>
      </c>
      <c r="U21" s="37">
        <v>1.0</v>
      </c>
      <c r="V21" s="37">
        <v>2.0</v>
      </c>
      <c r="W21" s="37">
        <v>1.0</v>
      </c>
      <c r="X21" s="37">
        <v>2.0</v>
      </c>
      <c r="Y21" s="37">
        <v>0.0</v>
      </c>
      <c r="Z21" s="37">
        <v>2.0</v>
      </c>
      <c r="AA21" s="37"/>
      <c r="AB21" s="37"/>
      <c r="AC21" s="37"/>
      <c r="AD21" s="37"/>
      <c r="AE21" s="37">
        <v>1.0</v>
      </c>
      <c r="AF21" s="37">
        <v>2.0</v>
      </c>
      <c r="AG21" s="37"/>
      <c r="AH21" s="37"/>
      <c r="AI21" s="37"/>
      <c r="AJ21" s="37"/>
      <c r="AK21" s="37">
        <v>2.0</v>
      </c>
      <c r="AL21" s="37">
        <v>1.0</v>
      </c>
      <c r="AM21" s="50"/>
      <c r="AN21" s="50"/>
      <c r="AO21" s="37">
        <v>0.0</v>
      </c>
      <c r="AP21" s="37">
        <v>2.0</v>
      </c>
      <c r="AQ21" s="39">
        <v>3.0</v>
      </c>
      <c r="AR21" s="39">
        <f>BF21</f>
        <v>2</v>
      </c>
      <c r="AS21" s="40">
        <v>0.0</v>
      </c>
      <c r="AT21" s="40">
        <v>3.0</v>
      </c>
      <c r="AU21" s="37"/>
      <c r="AV21" s="37"/>
      <c r="AW21" s="37"/>
      <c r="AX21" s="37"/>
      <c r="AY21" s="37"/>
      <c r="AZ21" s="37"/>
      <c r="BA21" s="37">
        <v>0.0</v>
      </c>
      <c r="BB21" s="37">
        <v>2.0</v>
      </c>
      <c r="BC21" s="37">
        <v>1.0</v>
      </c>
      <c r="BD21" s="37">
        <v>2.0</v>
      </c>
      <c r="BE21" s="42">
        <v>1.0</v>
      </c>
      <c r="BF21" s="37">
        <v>2.0</v>
      </c>
      <c r="BG21" s="37"/>
      <c r="BH21" s="37"/>
      <c r="BI21" s="37">
        <f>H.Son!H21</f>
        <v>0</v>
      </c>
      <c r="BJ21" s="37">
        <f>H.Son!I21</f>
        <v>2</v>
      </c>
      <c r="BK21" s="37"/>
      <c r="BL21" s="37"/>
      <c r="BM21" s="9"/>
      <c r="BN21" s="43">
        <f>if($F21=$G21,if(and($F21=$G21,I21&lt;&gt;J21),'Thể lệ'!$E$6,if($F21=I21,0,0.5*'Thể lệ'!$E$6)),if(and($F21=I21,$G21=J21),"0",if(($F21-$G21)*(I21-J21)&gt;0,0.5*'Thể lệ'!$E$6,'Thể lệ'!$E$6)))</f>
        <v>0</v>
      </c>
      <c r="BO21" s="43"/>
      <c r="BP21" s="43">
        <f>if($F21=$G21,if(and($F21=$G21,K21&lt;&gt;L21),'Thể lệ'!$E$6,if($F21=K21,0,0.5*'Thể lệ'!$E$6)),if(and($F21=K21,$G21=L21),"0",if(($F21-$G21)*(K21-L21)&gt;0,0.5*'Thể lệ'!$E$6,'Thể lệ'!$E$6)))</f>
        <v>0</v>
      </c>
      <c r="BQ21" s="43"/>
      <c r="BR21" s="43">
        <f>if($F21=$G21,if(and($F21=$G21,M21&lt;&gt;N21),'Thể lệ'!$E$6,if($F21=M21,0,0.5*'Thể lệ'!$E$6)),if(and($F21=M21,$G21=N21),"0",if(($F21-$G21)*(M21-N21)&gt;0,0.5*'Thể lệ'!$E$6,'Thể lệ'!$E$6)))</f>
        <v>0</v>
      </c>
      <c r="BS21" s="43"/>
      <c r="BT21" s="44">
        <f>if($F21=$G21,if(and($F21=$G21,O21&lt;&gt;P21),'Thể lệ'!$E$6,if($F21=O21,0,0.5*'Thể lệ'!$E$6)),if(and($F21=O21,$G21=P21),"0",if(($F21-$G21)*(O21-P21)&gt;0,0.5*'Thể lệ'!$E$6,'Thể lệ'!$E$6)))</f>
        <v>10000</v>
      </c>
      <c r="BU21" s="43"/>
      <c r="BV21" s="44">
        <f>if($F21=$G21,if(and($F21=$G21,Q21&lt;&gt;R21),'Thể lệ'!$E$6,if($F21=Q21,0,0.5*'Thể lệ'!$E$6)),if(and($F21=Q21,$G21=R21),"0",if(($F21-$G21)*(Q21-R21)&gt;0,0.5*'Thể lệ'!$E$6,'Thể lệ'!$E$6)))</f>
        <v>10000</v>
      </c>
      <c r="BW21" s="43"/>
      <c r="BX21" s="44">
        <f>if($F21=$G21,if(and($F21=$G21,S21&lt;&gt;T21),'Thể lệ'!$E$6,if($F21=S21,0,0.5*'Thể lệ'!$E$6)),if(and($F21=S21,$G21=T21),"0",if(($F21-$G21)*(S21-T21)&gt;0,0.5*'Thể lệ'!$E$6,'Thể lệ'!$E$6)))</f>
        <v>10000</v>
      </c>
      <c r="BY21" s="43"/>
      <c r="BZ21" s="44">
        <f>if($F21=$G21,if(and($F21=$G21,U21&lt;&gt;V21),'Thể lệ'!$E$6,if($F21=U21,0,0.5*'Thể lệ'!$E$6)),if(and($F21=U21,$G21=V21),"0",if(($F21-$G21)*(U21-V21)&gt;0,0.5*'Thể lệ'!$E$6,'Thể lệ'!$E$6)))</f>
        <v>10000</v>
      </c>
      <c r="CA21" s="43"/>
      <c r="CB21" s="44">
        <f>if($F21=$G21,if(and($F21=$G21,W21&lt;&gt;X21),'Thể lệ'!$E$6,if($F21=W21,0,0.5*'Thể lệ'!$E$6)),if(and($F21=W21,$G21=X21),"0",if(($F21-$G21)*(W21-X21)&gt;0,0.5*'Thể lệ'!$E$6,'Thể lệ'!$E$6)))</f>
        <v>10000</v>
      </c>
      <c r="CC21" s="43"/>
      <c r="CD21" s="44">
        <f>if($F21=$G21,if(and($F21=$G21,Y21&lt;&gt;Z21),'Thể lệ'!$E$6,if($F21=Y21,0,0.5*'Thể lệ'!$E$6)),if(and($F21=Y21,$G21=Z21),"0",if(($F21-$G21)*(Y21-Z21)&gt;0,0.5*'Thể lệ'!$E$6,'Thể lệ'!$E$6)))</f>
        <v>10000</v>
      </c>
      <c r="CE21" s="43"/>
      <c r="CF21" s="43">
        <f>if($F21=$G21,if(and($F21=$G21,AA21&lt;&gt;AB21),'Thể lệ'!$E$6,if($F21=AA21,0,0.5*'Thể lệ'!$E$6)),if(and($F21=AA21,$G21=AB21),"0",if(($F21-$G21)*(AA21-AB21)&gt;0,0.5*'Thể lệ'!$E$6,'Thể lệ'!$E$6)))</f>
        <v>0</v>
      </c>
      <c r="CG21" s="43"/>
      <c r="CH21" s="43">
        <f>if($F21=$G21,if(and($F21=$G21,AC21&lt;&gt;AD21),'Thể lệ'!$E$6,if($F21=AC21,0,0.5*'Thể lệ'!$E$6)),if(and($F21=AC21,$G21=AD21),"0",if(($F21-$G21)*(AC21-AD21)&gt;0,0.5*'Thể lệ'!$E$6,'Thể lệ'!$E$6)))</f>
        <v>0</v>
      </c>
      <c r="CI21" s="43"/>
      <c r="CJ21" s="44">
        <f>if($F21=$G21,if(and($F21=$G21,AE21&lt;&gt;AF21),'Thể lệ'!$E$6,if($F21=AE21,0,0.5*'Thể lệ'!$E$6)),if(and($F21=AE21,$G21=AF21),"0",if(($F21-$G21)*(AE21-AF21)&gt;0,0.5*'Thể lệ'!$E$6,'Thể lệ'!$E$6)))</f>
        <v>10000</v>
      </c>
      <c r="CK21" s="43"/>
      <c r="CL21" s="43">
        <f>if($F21=$G21,if(and($F21=$G21,AG21&lt;&gt;AH21),'Thể lệ'!$E$6,if($F21=AG21,0,0.5*'Thể lệ'!$E$6)),if(and($F21=AG21,$G21=AH21),"0",if(($F21-$G21)*(AG21-AH21)&gt;0,0.5*'Thể lệ'!$E$6,'Thể lệ'!$E$6)))</f>
        <v>0</v>
      </c>
      <c r="CM21" s="43"/>
      <c r="CN21" s="43">
        <f>if($F21=$G21,if(and($F21=$G21,AI21&lt;&gt;AJ21),'Thể lệ'!$E$6,if($F21=AI21,0,0.5*'Thể lệ'!$E$6)),if(and($F21=AI21,$G21=AJ21),"0",if(($F21-$G21)*(AI21-AJ21)&gt;0,0.5*'Thể lệ'!$E$6,'Thể lệ'!$E$6)))</f>
        <v>0</v>
      </c>
      <c r="CO21" s="43"/>
      <c r="CP21" s="44">
        <f>if($F21=$G21,if(and($F21=$G21,AK21&lt;&gt;AL21),'Thể lệ'!$E$6,if($F21=AK21,0,0.5*'Thể lệ'!$E$6)),if(and($F21=AK21,$G21=AL21),"0",if(($F21-$G21)*(AK21-AL21)&gt;0,0.5*'Thể lệ'!$E$6,'Thể lệ'!$E$6)))</f>
        <v>10000</v>
      </c>
      <c r="CQ21" s="43"/>
      <c r="CR21" s="43">
        <f>if($F21=$G21,if(and($F21=$G21,AM21&lt;&gt;AN21),'Thể lệ'!$E$6,if($F21=AM21,0,0.5*'Thể lệ'!$E$6)),if(and($F21=AM21,$G21=AN21),"0",if(($F21-$G21)*(AM21-AN21)&gt;0,0.5*'Thể lệ'!$E$6,'Thể lệ'!$E$6)))</f>
        <v>0</v>
      </c>
      <c r="CS21" s="43"/>
      <c r="CT21" s="44">
        <f>if($F21=$G21,if(and($F21=$G21,AO21&lt;&gt;AP21),'Thể lệ'!$E$6,if($F21=AO21,0,0.5*'Thể lệ'!$E$6)),if(and($F21=AO21,$G21=AP21),"0",if(($F21-$G21)*(AO21-AP21)&gt;0,0.5*'Thể lệ'!$E$6,'Thể lệ'!$E$6)))</f>
        <v>10000</v>
      </c>
      <c r="CU21" s="43"/>
      <c r="CV21" s="44">
        <f>if($F21=$G21,if(and($F21=$G21,AQ21&lt;&gt;AR21),'Thể lệ'!$E$6,if($F21=AQ21,0,0.5*'Thể lệ'!$E$6)),if(and($F21=AQ21,$G21=AR21),"0",if(($F21-$G21)*(AQ21-AR21)&gt;0,0.5*'Thể lệ'!$E$6,'Thể lệ'!$E$6)))</f>
        <v>10000</v>
      </c>
      <c r="CW21" s="43"/>
      <c r="CX21" s="44">
        <f>if($F21=$G21,if(and($F21=$G21,AS21&lt;&gt;AT21),'Thể lệ'!$E$6,if($F21=AS21,0,0.5*'Thể lệ'!$E$6)),if(and($F21=AS21,$G21=AT21),"0",if(($F21-$G21)*(AS21-AT21)&gt;0,0.5*'Thể lệ'!$E$6,'Thể lệ'!$E$6)))</f>
        <v>10000</v>
      </c>
      <c r="CY21" s="45"/>
      <c r="CZ21" s="43">
        <f>if($F21=$G21,if(and($F21=$G21,AU21&lt;&gt;AV21),'Thể lệ'!$E$6,if($F21=AU21,0,0.5*'Thể lệ'!$E$6)),if(and($F21=AU21,$G21=AV21),"0",if(($F21-$G21)*(AU21-AV21)&gt;0,0.5*'Thể lệ'!$E$6,'Thể lệ'!$E$6)))</f>
        <v>0</v>
      </c>
      <c r="DA21" s="45"/>
      <c r="DB21" s="43">
        <f>if($F21=$G21,if(and($F21=$G21,AW21&lt;&gt;AX21),'Thể lệ'!$E$6,if($F21=AW21,0,0.5*'Thể lệ'!$E$6)),if(and($F21=AW21,$G21=AX21),"0",if(($F21-$G21)*(AW21-AX21)&gt;0,0.5*'Thể lệ'!$E$6,'Thể lệ'!$E$6)))</f>
        <v>0</v>
      </c>
      <c r="DC21" s="45"/>
      <c r="DD21" s="43">
        <f>if($F21=$G21,if(and($F21=$G21,AY21&lt;&gt;AZ21),'Thể lệ'!$E$6,if($F21=AY21,0,0.5*'Thể lệ'!$E$6)),if(and($F21=AY21,$G21=AZ21),"0",if(($F21-$G21)*(AY21-AZ21)&gt;0,0.5*'Thể lệ'!$E$6,'Thể lệ'!$E$6)))</f>
        <v>0</v>
      </c>
      <c r="DE21" s="45"/>
      <c r="DF21" s="44">
        <f>if($F21=$G21,if(and($F21=$G21,BA21&lt;&gt;BB21),'Thể lệ'!$E$6,if($F21=BA21,0,0.5*'Thể lệ'!$E$6)),if(and($F21=BA21,$G21=BB21),"0",if(($F21-$G21)*(BA21-BB21)&gt;0,0.5*'Thể lệ'!$E$6,'Thể lệ'!$E$6)))</f>
        <v>10000</v>
      </c>
      <c r="DG21" s="45"/>
      <c r="DH21" s="44">
        <f>if($F21=$G21,if(and($F21=$G21,BC21&lt;&gt;BD21),'Thể lệ'!$E$6,if($F21=BC21,0,0.5*'Thể lệ'!$E$6)),if(and($F21=BC21,$G21=BD21),"0",if(($F21-$G21)*(BC21-BD21)&gt;0,0.5*'Thể lệ'!$E$6,'Thể lệ'!$E$6)))</f>
        <v>10000</v>
      </c>
      <c r="DI21" s="45"/>
      <c r="DJ21" s="44">
        <f>if($F21=$G21,if(and($F21=$G21,BE21&lt;&gt;BF21),'Thể lệ'!$E$6,if($F21=BE21,0,0.5*'Thể lệ'!$E$6)),if(and($F21=BE21,$G21=BF21),"0",if(($F21-$G21)*(BE21-BF21)&gt;0,0.5*'Thể lệ'!$E$6,'Thể lệ'!$E$6)))</f>
        <v>10000</v>
      </c>
      <c r="DK21" s="45"/>
      <c r="DL21" s="43">
        <f>if($F21=$G21,if(and($F21=$G21,BG21&lt;&gt;BH21),'Thể lệ'!$E$6,if($F21=BG21,0,0.5*'Thể lệ'!$E$6)),if(and($F21=BG21,$G21=BH21),"0",if(($F21-$G21)*(BG21-BH21)&gt;0,0.5*'Thể lệ'!$E$6,'Thể lệ'!$E$6)))</f>
        <v>0</v>
      </c>
      <c r="DM21" s="45"/>
      <c r="DN21" s="44">
        <f>if($F21=$G21,if(and($F21=$G21,BI21&lt;&gt;BJ21),'Thể lệ'!$E$6,if($F21=BI21,0,0.5*'Thể lệ'!$E$6)),if(and($F21=BI21,$G21=BJ21),"0",if(($F21-$G21)*(BI21-BJ21)&gt;0,0.5*'Thể lệ'!$E$6,'Thể lệ'!$E$6)))</f>
        <v>10000</v>
      </c>
      <c r="DO21" s="45"/>
      <c r="DP21" s="8"/>
    </row>
    <row r="22">
      <c r="B22" s="22">
        <v>16.0</v>
      </c>
      <c r="C22" s="34">
        <v>46189.33333333333</v>
      </c>
      <c r="D22" s="49">
        <v>46189.33333333333</v>
      </c>
      <c r="E22" s="36" t="s">
        <v>62</v>
      </c>
      <c r="F22" s="23"/>
      <c r="G22" s="23"/>
      <c r="H22" s="36" t="s">
        <v>63</v>
      </c>
      <c r="I22" s="37"/>
      <c r="J22" s="37"/>
      <c r="K22" s="37"/>
      <c r="L22" s="37"/>
      <c r="M22" s="37"/>
      <c r="N22" s="37"/>
      <c r="O22" s="37">
        <v>1.0</v>
      </c>
      <c r="P22" s="37">
        <v>0.0</v>
      </c>
      <c r="Q22" s="37">
        <f t="shared" si="4"/>
        <v>1</v>
      </c>
      <c r="R22" s="37">
        <f t="shared" si="6"/>
        <v>0</v>
      </c>
      <c r="S22" s="37">
        <v>2.0</v>
      </c>
      <c r="T22" s="37">
        <v>0.0</v>
      </c>
      <c r="U22" s="37">
        <v>1.0</v>
      </c>
      <c r="V22" s="37">
        <v>0.0</v>
      </c>
      <c r="W22" s="37">
        <v>1.0</v>
      </c>
      <c r="X22" s="37">
        <v>0.0</v>
      </c>
      <c r="Y22" s="37">
        <v>2.0</v>
      </c>
      <c r="Z22" s="37">
        <v>1.0</v>
      </c>
      <c r="AA22" s="37"/>
      <c r="AB22" s="37"/>
      <c r="AC22" s="37"/>
      <c r="AD22" s="37"/>
      <c r="AE22" s="37">
        <v>1.0</v>
      </c>
      <c r="AF22" s="37">
        <v>0.0</v>
      </c>
      <c r="AG22" s="37"/>
      <c r="AH22" s="37"/>
      <c r="AI22" s="37"/>
      <c r="AJ22" s="37"/>
      <c r="AK22" s="37">
        <v>2.0</v>
      </c>
      <c r="AL22" s="37">
        <v>0.0</v>
      </c>
      <c r="AM22" s="50"/>
      <c r="AN22" s="50"/>
      <c r="AO22" s="37">
        <v>2.0</v>
      </c>
      <c r="AP22" s="37">
        <v>0.0</v>
      </c>
      <c r="AQ22" s="39">
        <f t="shared" ref="AQ22:AR22" si="16">BE22</f>
        <v>1</v>
      </c>
      <c r="AR22" s="39">
        <f t="shared" si="16"/>
        <v>0</v>
      </c>
      <c r="AS22" s="40">
        <v>1.0</v>
      </c>
      <c r="AT22" s="40">
        <v>1.0</v>
      </c>
      <c r="AU22" s="37"/>
      <c r="AV22" s="37"/>
      <c r="AW22" s="37"/>
      <c r="AX22" s="37"/>
      <c r="AY22" s="37"/>
      <c r="AZ22" s="37"/>
      <c r="BA22" s="37">
        <v>2.0</v>
      </c>
      <c r="BB22" s="37">
        <v>1.0</v>
      </c>
      <c r="BC22" s="37">
        <v>1.0</v>
      </c>
      <c r="BD22" s="37">
        <v>0.0</v>
      </c>
      <c r="BE22" s="42">
        <v>1.0</v>
      </c>
      <c r="BF22" s="37">
        <v>0.0</v>
      </c>
      <c r="BG22" s="37"/>
      <c r="BH22" s="37"/>
      <c r="BI22" s="37">
        <f>H.Son!H22</f>
        <v>1</v>
      </c>
      <c r="BJ22" s="37">
        <f>H.Son!I22</f>
        <v>0</v>
      </c>
      <c r="BK22" s="37"/>
      <c r="BL22" s="37"/>
      <c r="BM22" s="9"/>
      <c r="BN22" s="43">
        <f>if($F22=$G22,if(and($F22=$G22,I22&lt;&gt;J22),'Thể lệ'!$E$6,if($F22=I22,0,0.5*'Thể lệ'!$E$6)),if(and($F22=I22,$G22=J22),"0",if(($F22-$G22)*(I22-J22)&gt;0,0.5*'Thể lệ'!$E$6,'Thể lệ'!$E$6)))</f>
        <v>0</v>
      </c>
      <c r="BO22" s="43"/>
      <c r="BP22" s="43">
        <f>if($F22=$G22,if(and($F22=$G22,K22&lt;&gt;L22),'Thể lệ'!$E$6,if($F22=K22,0,0.5*'Thể lệ'!$E$6)),if(and($F22=K22,$G22=L22),"0",if(($F22-$G22)*(K22-L22)&gt;0,0.5*'Thể lệ'!$E$6,'Thể lệ'!$E$6)))</f>
        <v>0</v>
      </c>
      <c r="BQ22" s="43"/>
      <c r="BR22" s="43">
        <f>if($F22=$G22,if(and($F22=$G22,M22&lt;&gt;N22),'Thể lệ'!$E$6,if($F22=M22,0,0.5*'Thể lệ'!$E$6)),if(and($F22=M22,$G22=N22),"0",if(($F22-$G22)*(M22-N22)&gt;0,0.5*'Thể lệ'!$E$6,'Thể lệ'!$E$6)))</f>
        <v>0</v>
      </c>
      <c r="BS22" s="43"/>
      <c r="BT22" s="44">
        <f>if($F22=$G22,if(and($F22=$G22,O22&lt;&gt;P22),'Thể lệ'!$E$6,if($F22=O22,0,0.5*'Thể lệ'!$E$6)),if(and($F22=O22,$G22=P22),"0",if(($F22-$G22)*(O22-P22)&gt;0,0.5*'Thể lệ'!$E$6,'Thể lệ'!$E$6)))</f>
        <v>10000</v>
      </c>
      <c r="BU22" s="43"/>
      <c r="BV22" s="44">
        <f>if($F22=$G22,if(and($F22=$G22,Q22&lt;&gt;R22),'Thể lệ'!$E$6,if($F22=Q22,0,0.5*'Thể lệ'!$E$6)),if(and($F22=Q22,$G22=R22),"0",if(($F22-$G22)*(Q22-R22)&gt;0,0.5*'Thể lệ'!$E$6,'Thể lệ'!$E$6)))</f>
        <v>10000</v>
      </c>
      <c r="BW22" s="43"/>
      <c r="BX22" s="44">
        <f>if($F22=$G22,if(and($F22=$G22,S22&lt;&gt;T22),'Thể lệ'!$E$6,if($F22=S22,0,0.5*'Thể lệ'!$E$6)),if(and($F22=S22,$G22=T22),"0",if(($F22-$G22)*(S22-T22)&gt;0,0.5*'Thể lệ'!$E$6,'Thể lệ'!$E$6)))</f>
        <v>10000</v>
      </c>
      <c r="BY22" s="43"/>
      <c r="BZ22" s="44">
        <f>if($F22=$G22,if(and($F22=$G22,U22&lt;&gt;V22),'Thể lệ'!$E$6,if($F22=U22,0,0.5*'Thể lệ'!$E$6)),if(and($F22=U22,$G22=V22),"0",if(($F22-$G22)*(U22-V22)&gt;0,0.5*'Thể lệ'!$E$6,'Thể lệ'!$E$6)))</f>
        <v>10000</v>
      </c>
      <c r="CA22" s="43"/>
      <c r="CB22" s="44">
        <f>if($F22=$G22,if(and($F22=$G22,W22&lt;&gt;X22),'Thể lệ'!$E$6,if($F22=W22,0,0.5*'Thể lệ'!$E$6)),if(and($F22=W22,$G22=X22),"0",if(($F22-$G22)*(W22-X22)&gt;0,0.5*'Thể lệ'!$E$6,'Thể lệ'!$E$6)))</f>
        <v>10000</v>
      </c>
      <c r="CC22" s="43"/>
      <c r="CD22" s="44">
        <f>if($F22=$G22,if(and($F22=$G22,Y22&lt;&gt;Z22),'Thể lệ'!$E$6,if($F22=Y22,0,0.5*'Thể lệ'!$E$6)),if(and($F22=Y22,$G22=Z22),"0",if(($F22-$G22)*(Y22-Z22)&gt;0,0.5*'Thể lệ'!$E$6,'Thể lệ'!$E$6)))</f>
        <v>10000</v>
      </c>
      <c r="CE22" s="43"/>
      <c r="CF22" s="43">
        <f>if($F22=$G22,if(and($F22=$G22,AA22&lt;&gt;AB22),'Thể lệ'!$E$6,if($F22=AA22,0,0.5*'Thể lệ'!$E$6)),if(and($F22=AA22,$G22=AB22),"0",if(($F22-$G22)*(AA22-AB22)&gt;0,0.5*'Thể lệ'!$E$6,'Thể lệ'!$E$6)))</f>
        <v>0</v>
      </c>
      <c r="CG22" s="43"/>
      <c r="CH22" s="43">
        <f>if($F22=$G22,if(and($F22=$G22,AC22&lt;&gt;AD22),'Thể lệ'!$E$6,if($F22=AC22,0,0.5*'Thể lệ'!$E$6)),if(and($F22=AC22,$G22=AD22),"0",if(($F22-$G22)*(AC22-AD22)&gt;0,0.5*'Thể lệ'!$E$6,'Thể lệ'!$E$6)))</f>
        <v>0</v>
      </c>
      <c r="CI22" s="43"/>
      <c r="CJ22" s="44">
        <f>if($F22=$G22,if(and($F22=$G22,AE22&lt;&gt;AF22),'Thể lệ'!$E$6,if($F22=AE22,0,0.5*'Thể lệ'!$E$6)),if(and($F22=AE22,$G22=AF22),"0",if(($F22-$G22)*(AE22-AF22)&gt;0,0.5*'Thể lệ'!$E$6,'Thể lệ'!$E$6)))</f>
        <v>10000</v>
      </c>
      <c r="CK22" s="43"/>
      <c r="CL22" s="43">
        <f>if($F22=$G22,if(and($F22=$G22,AG22&lt;&gt;AH22),'Thể lệ'!$E$6,if($F22=AG22,0,0.5*'Thể lệ'!$E$6)),if(and($F22=AG22,$G22=AH22),"0",if(($F22-$G22)*(AG22-AH22)&gt;0,0.5*'Thể lệ'!$E$6,'Thể lệ'!$E$6)))</f>
        <v>0</v>
      </c>
      <c r="CM22" s="43"/>
      <c r="CN22" s="43">
        <f>if($F22=$G22,if(and($F22=$G22,AI22&lt;&gt;AJ22),'Thể lệ'!$E$6,if($F22=AI22,0,0.5*'Thể lệ'!$E$6)),if(and($F22=AI22,$G22=AJ22),"0",if(($F22-$G22)*(AI22-AJ22)&gt;0,0.5*'Thể lệ'!$E$6,'Thể lệ'!$E$6)))</f>
        <v>0</v>
      </c>
      <c r="CO22" s="43"/>
      <c r="CP22" s="44">
        <f>if($F22=$G22,if(and($F22=$G22,AK22&lt;&gt;AL22),'Thể lệ'!$E$6,if($F22=AK22,0,0.5*'Thể lệ'!$E$6)),if(and($F22=AK22,$G22=AL22),"0",if(($F22-$G22)*(AK22-AL22)&gt;0,0.5*'Thể lệ'!$E$6,'Thể lệ'!$E$6)))</f>
        <v>10000</v>
      </c>
      <c r="CQ22" s="43"/>
      <c r="CR22" s="43">
        <f>if($F22=$G22,if(and($F22=$G22,AM22&lt;&gt;AN22),'Thể lệ'!$E$6,if($F22=AM22,0,0.5*'Thể lệ'!$E$6)),if(and($F22=AM22,$G22=AN22),"0",if(($F22-$G22)*(AM22-AN22)&gt;0,0.5*'Thể lệ'!$E$6,'Thể lệ'!$E$6)))</f>
        <v>0</v>
      </c>
      <c r="CS22" s="43"/>
      <c r="CT22" s="44">
        <f>if($F22=$G22,if(and($F22=$G22,AO22&lt;&gt;AP22),'Thể lệ'!$E$6,if($F22=AO22,0,0.5*'Thể lệ'!$E$6)),if(and($F22=AO22,$G22=AP22),"0",if(($F22-$G22)*(AO22-AP22)&gt;0,0.5*'Thể lệ'!$E$6,'Thể lệ'!$E$6)))</f>
        <v>10000</v>
      </c>
      <c r="CU22" s="43"/>
      <c r="CV22" s="44">
        <f>if($F22=$G22,if(and($F22=$G22,AQ22&lt;&gt;AR22),'Thể lệ'!$E$6,if($F22=AQ22,0,0.5*'Thể lệ'!$E$6)),if(and($F22=AQ22,$G22=AR22),"0",if(($F22-$G22)*(AQ22-AR22)&gt;0,0.5*'Thể lệ'!$E$6,'Thể lệ'!$E$6)))</f>
        <v>10000</v>
      </c>
      <c r="CW22" s="43"/>
      <c r="CX22" s="44">
        <f>if($F22=$G22,if(and($F22=$G22,AS22&lt;&gt;AT22),'Thể lệ'!$E$6,if($F22=AS22,0,0.5*'Thể lệ'!$E$6)),if(and($F22=AS22,$G22=AT22),"0",if(($F22-$G22)*(AS22-AT22)&gt;0,0.5*'Thể lệ'!$E$6,'Thể lệ'!$E$6)))</f>
        <v>5000</v>
      </c>
      <c r="CY22" s="45"/>
      <c r="CZ22" s="43">
        <f>if($F22=$G22,if(and($F22=$G22,AU22&lt;&gt;AV22),'Thể lệ'!$E$6,if($F22=AU22,0,0.5*'Thể lệ'!$E$6)),if(and($F22=AU22,$G22=AV22),"0",if(($F22-$G22)*(AU22-AV22)&gt;0,0.5*'Thể lệ'!$E$6,'Thể lệ'!$E$6)))</f>
        <v>0</v>
      </c>
      <c r="DA22" s="45"/>
      <c r="DB22" s="43">
        <f>if($F22=$G22,if(and($F22=$G22,AW22&lt;&gt;AX22),'Thể lệ'!$E$6,if($F22=AW22,0,0.5*'Thể lệ'!$E$6)),if(and($F22=AW22,$G22=AX22),"0",if(($F22-$G22)*(AW22-AX22)&gt;0,0.5*'Thể lệ'!$E$6,'Thể lệ'!$E$6)))</f>
        <v>0</v>
      </c>
      <c r="DC22" s="45"/>
      <c r="DD22" s="43">
        <f>if($F22=$G22,if(and($F22=$G22,AY22&lt;&gt;AZ22),'Thể lệ'!$E$6,if($F22=AY22,0,0.5*'Thể lệ'!$E$6)),if(and($F22=AY22,$G22=AZ22),"0",if(($F22-$G22)*(AY22-AZ22)&gt;0,0.5*'Thể lệ'!$E$6,'Thể lệ'!$E$6)))</f>
        <v>0</v>
      </c>
      <c r="DE22" s="45"/>
      <c r="DF22" s="44">
        <f>if($F22=$G22,if(and($F22=$G22,BA22&lt;&gt;BB22),'Thể lệ'!$E$6,if($F22=BA22,0,0.5*'Thể lệ'!$E$6)),if(and($F22=BA22,$G22=BB22),"0",if(($F22-$G22)*(BA22-BB22)&gt;0,0.5*'Thể lệ'!$E$6,'Thể lệ'!$E$6)))</f>
        <v>10000</v>
      </c>
      <c r="DG22" s="45"/>
      <c r="DH22" s="44">
        <f>if($F22=$G22,if(and($F22=$G22,BC22&lt;&gt;BD22),'Thể lệ'!$E$6,if($F22=BC22,0,0.5*'Thể lệ'!$E$6)),if(and($F22=BC22,$G22=BD22),"0",if(($F22-$G22)*(BC22-BD22)&gt;0,0.5*'Thể lệ'!$E$6,'Thể lệ'!$E$6)))</f>
        <v>10000</v>
      </c>
      <c r="DI22" s="45"/>
      <c r="DJ22" s="44">
        <f>if($F22=$G22,if(and($F22=$G22,BE22&lt;&gt;BF22),'Thể lệ'!$E$6,if($F22=BE22,0,0.5*'Thể lệ'!$E$6)),if(and($F22=BE22,$G22=BF22),"0",if(($F22-$G22)*(BE22-BF22)&gt;0,0.5*'Thể lệ'!$E$6,'Thể lệ'!$E$6)))</f>
        <v>10000</v>
      </c>
      <c r="DK22" s="45"/>
      <c r="DL22" s="43">
        <f>if($F22=$G22,if(and($F22=$G22,BG22&lt;&gt;BH22),'Thể lệ'!$E$6,if($F22=BG22,0,0.5*'Thể lệ'!$E$6)),if(and($F22=BG22,$G22=BH22),"0",if(($F22-$G22)*(BG22-BH22)&gt;0,0.5*'Thể lệ'!$E$6,'Thể lệ'!$E$6)))</f>
        <v>0</v>
      </c>
      <c r="DM22" s="45"/>
      <c r="DN22" s="44">
        <f>if($F22=$G22,if(and($F22=$G22,BI22&lt;&gt;BJ22),'Thể lệ'!$E$6,if($F22=BI22,0,0.5*'Thể lệ'!$E$6)),if(and($F22=BI22,$G22=BJ22),"0",if(($F22-$G22)*(BI22-BJ22)&gt;0,0.5*'Thể lệ'!$E$6,'Thể lệ'!$E$6)))</f>
        <v>10000</v>
      </c>
      <c r="DO22" s="45"/>
      <c r="DP22" s="8"/>
    </row>
    <row r="23">
      <c r="B23" s="22">
        <v>17.0</v>
      </c>
      <c r="C23" s="34">
        <v>46190.08333333333</v>
      </c>
      <c r="D23" s="49">
        <v>46190.08333333333</v>
      </c>
      <c r="E23" s="36" t="s">
        <v>64</v>
      </c>
      <c r="F23" s="23"/>
      <c r="G23" s="23"/>
      <c r="H23" s="36" t="s">
        <v>65</v>
      </c>
      <c r="I23" s="37"/>
      <c r="J23" s="37"/>
      <c r="K23" s="37"/>
      <c r="L23" s="37"/>
      <c r="M23" s="37"/>
      <c r="N23" s="37"/>
      <c r="O23" s="37"/>
      <c r="P23" s="37"/>
      <c r="Q23" s="37">
        <f t="shared" si="4"/>
        <v>2</v>
      </c>
      <c r="R23" s="37">
        <f t="shared" si="6"/>
        <v>1</v>
      </c>
      <c r="S23" s="37">
        <v>2.0</v>
      </c>
      <c r="T23" s="37">
        <v>1.0</v>
      </c>
      <c r="U23" s="37">
        <v>2.0</v>
      </c>
      <c r="V23" s="37">
        <v>1.0</v>
      </c>
      <c r="W23" s="37">
        <v>2.0</v>
      </c>
      <c r="X23" s="37">
        <v>1.0</v>
      </c>
      <c r="Y23" s="37">
        <v>2.0</v>
      </c>
      <c r="Z23" s="37">
        <v>1.0</v>
      </c>
      <c r="AA23" s="37"/>
      <c r="AB23" s="37"/>
      <c r="AC23" s="37"/>
      <c r="AD23" s="37"/>
      <c r="AE23" s="37">
        <v>2.0</v>
      </c>
      <c r="AF23" s="37">
        <v>1.0</v>
      </c>
      <c r="AG23" s="37"/>
      <c r="AH23" s="37"/>
      <c r="AI23" s="37"/>
      <c r="AJ23" s="37"/>
      <c r="AK23" s="37">
        <v>2.0</v>
      </c>
      <c r="AL23" s="37">
        <v>0.0</v>
      </c>
      <c r="AM23" s="50"/>
      <c r="AN23" s="50"/>
      <c r="AO23" s="37">
        <v>2.0</v>
      </c>
      <c r="AP23" s="37">
        <v>2.0</v>
      </c>
      <c r="AQ23" s="39">
        <f t="shared" ref="AQ23:AR23" si="17">BE23</f>
        <v>2</v>
      </c>
      <c r="AR23" s="39">
        <f t="shared" si="17"/>
        <v>1</v>
      </c>
      <c r="AS23" s="40">
        <v>3.0</v>
      </c>
      <c r="AT23" s="40">
        <v>0.0</v>
      </c>
      <c r="AU23" s="37"/>
      <c r="AV23" s="37"/>
      <c r="AW23" s="37"/>
      <c r="AX23" s="37"/>
      <c r="AY23" s="37"/>
      <c r="AZ23" s="37"/>
      <c r="BA23" s="37">
        <v>2.0</v>
      </c>
      <c r="BB23" s="37">
        <v>1.0</v>
      </c>
      <c r="BC23" s="37">
        <v>2.0</v>
      </c>
      <c r="BD23" s="37">
        <v>1.0</v>
      </c>
      <c r="BE23" s="42">
        <v>2.0</v>
      </c>
      <c r="BF23" s="37">
        <v>1.0</v>
      </c>
      <c r="BG23" s="37"/>
      <c r="BH23" s="37"/>
      <c r="BI23" s="37">
        <f>H.Son!H23</f>
        <v>2</v>
      </c>
      <c r="BJ23" s="37">
        <f>H.Son!I23</f>
        <v>1</v>
      </c>
      <c r="BK23" s="37"/>
      <c r="BL23" s="37"/>
      <c r="BM23" s="9"/>
      <c r="BN23" s="43">
        <f>if($F23=$G23,if(and($F23=$G23,I23&lt;&gt;J23),'Thể lệ'!$E$6,if($F23=I23,0,0.5*'Thể lệ'!$E$6)),if(and($F23=I23,$G23=J23),"0",if(($F23-$G23)*(I23-J23)&gt;0,0.5*'Thể lệ'!$E$6,'Thể lệ'!$E$6)))</f>
        <v>0</v>
      </c>
      <c r="BO23" s="43"/>
      <c r="BP23" s="43">
        <f>if($F23=$G23,if(and($F23=$G23,K23&lt;&gt;L23),'Thể lệ'!$E$6,if($F23=K23,0,0.5*'Thể lệ'!$E$6)),if(and($F23=K23,$G23=L23),"0",if(($F23-$G23)*(K23-L23)&gt;0,0.5*'Thể lệ'!$E$6,'Thể lệ'!$E$6)))</f>
        <v>0</v>
      </c>
      <c r="BQ23" s="43"/>
      <c r="BR23" s="43">
        <f>if($F23=$G23,if(and($F23=$G23,M23&lt;&gt;N23),'Thể lệ'!$E$6,if($F23=M23,0,0.5*'Thể lệ'!$E$6)),if(and($F23=M23,$G23=N23),"0",if(($F23-$G23)*(M23-N23)&gt;0,0.5*'Thể lệ'!$E$6,'Thể lệ'!$E$6)))</f>
        <v>0</v>
      </c>
      <c r="BS23" s="43"/>
      <c r="BT23" s="43">
        <f>if($F23=$G23,if(and($F23=$G23,O23&lt;&gt;P23),'Thể lệ'!$E$6,if($F23=O23,0,0.5*'Thể lệ'!$E$6)),if(and($F23=O23,$G23=P23),"0",if(($F23-$G23)*(O23-P23)&gt;0,0.5*'Thể lệ'!$E$6,'Thể lệ'!$E$6)))</f>
        <v>0</v>
      </c>
      <c r="BU23" s="43"/>
      <c r="BV23" s="44">
        <f>if($F23=$G23,if(and($F23=$G23,Q23&lt;&gt;R23),'Thể lệ'!$E$6,if($F23=Q23,0,0.5*'Thể lệ'!$E$6)),if(and($F23=Q23,$G23=R23),"0",if(($F23-$G23)*(Q23-R23)&gt;0,0.5*'Thể lệ'!$E$6,'Thể lệ'!$E$6)))</f>
        <v>10000</v>
      </c>
      <c r="BW23" s="43"/>
      <c r="BX23" s="44">
        <f>if($F23=$G23,if(and($F23=$G23,S23&lt;&gt;T23),'Thể lệ'!$E$6,if($F23=S23,0,0.5*'Thể lệ'!$E$6)),if(and($F23=S23,$G23=T23),"0",if(($F23-$G23)*(S23-T23)&gt;0,0.5*'Thể lệ'!$E$6,'Thể lệ'!$E$6)))</f>
        <v>10000</v>
      </c>
      <c r="BY23" s="43"/>
      <c r="BZ23" s="44">
        <f>if($F23=$G23,if(and($F23=$G23,U23&lt;&gt;V23),'Thể lệ'!$E$6,if($F23=U23,0,0.5*'Thể lệ'!$E$6)),if(and($F23=U23,$G23=V23),"0",if(($F23-$G23)*(U23-V23)&gt;0,0.5*'Thể lệ'!$E$6,'Thể lệ'!$E$6)))</f>
        <v>10000</v>
      </c>
      <c r="CA23" s="43"/>
      <c r="CB23" s="44">
        <f>if($F23=$G23,if(and($F23=$G23,W23&lt;&gt;X23),'Thể lệ'!$E$6,if($F23=W23,0,0.5*'Thể lệ'!$E$6)),if(and($F23=W23,$G23=X23),"0",if(($F23-$G23)*(W23-X23)&gt;0,0.5*'Thể lệ'!$E$6,'Thể lệ'!$E$6)))</f>
        <v>10000</v>
      </c>
      <c r="CC23" s="43"/>
      <c r="CD23" s="44">
        <f>if($F23=$G23,if(and($F23=$G23,Y23&lt;&gt;Z23),'Thể lệ'!$E$6,if($F23=Y23,0,0.5*'Thể lệ'!$E$6)),if(and($F23=Y23,$G23=Z23),"0",if(($F23-$G23)*(Y23-Z23)&gt;0,0.5*'Thể lệ'!$E$6,'Thể lệ'!$E$6)))</f>
        <v>10000</v>
      </c>
      <c r="CE23" s="43"/>
      <c r="CF23" s="43">
        <f>if($F23=$G23,if(and($F23=$G23,AA23&lt;&gt;AB23),'Thể lệ'!$E$6,if($F23=AA23,0,0.5*'Thể lệ'!$E$6)),if(and($F23=AA23,$G23=AB23),"0",if(($F23-$G23)*(AA23-AB23)&gt;0,0.5*'Thể lệ'!$E$6,'Thể lệ'!$E$6)))</f>
        <v>0</v>
      </c>
      <c r="CG23" s="43"/>
      <c r="CH23" s="43">
        <f>if($F23=$G23,if(and($F23=$G23,AC23&lt;&gt;AD23),'Thể lệ'!$E$6,if($F23=AC23,0,0.5*'Thể lệ'!$E$6)),if(and($F23=AC23,$G23=AD23),"0",if(($F23-$G23)*(AC23-AD23)&gt;0,0.5*'Thể lệ'!$E$6,'Thể lệ'!$E$6)))</f>
        <v>0</v>
      </c>
      <c r="CI23" s="43"/>
      <c r="CJ23" s="44">
        <f>if($F23=$G23,if(and($F23=$G23,AE23&lt;&gt;AF23),'Thể lệ'!$E$6,if($F23=AE23,0,0.5*'Thể lệ'!$E$6)),if(and($F23=AE23,$G23=AF23),"0",if(($F23-$G23)*(AE23-AF23)&gt;0,0.5*'Thể lệ'!$E$6,'Thể lệ'!$E$6)))</f>
        <v>10000</v>
      </c>
      <c r="CK23" s="43"/>
      <c r="CL23" s="43">
        <f>if($F23=$G23,if(and($F23=$G23,AG23&lt;&gt;AH23),'Thể lệ'!$E$6,if($F23=AG23,0,0.5*'Thể lệ'!$E$6)),if(and($F23=AG23,$G23=AH23),"0",if(($F23-$G23)*(AG23-AH23)&gt;0,0.5*'Thể lệ'!$E$6,'Thể lệ'!$E$6)))</f>
        <v>0</v>
      </c>
      <c r="CM23" s="43"/>
      <c r="CN23" s="43">
        <f>if($F23=$G23,if(and($F23=$G23,AI23&lt;&gt;AJ23),'Thể lệ'!$E$6,if($F23=AI23,0,0.5*'Thể lệ'!$E$6)),if(and($F23=AI23,$G23=AJ23),"0",if(($F23-$G23)*(AI23-AJ23)&gt;0,0.5*'Thể lệ'!$E$6,'Thể lệ'!$E$6)))</f>
        <v>0</v>
      </c>
      <c r="CO23" s="43"/>
      <c r="CP23" s="44">
        <f>if($F23=$G23,if(and($F23=$G23,AK23&lt;&gt;AL23),'Thể lệ'!$E$6,if($F23=AK23,0,0.5*'Thể lệ'!$E$6)),if(and($F23=AK23,$G23=AL23),"0",if(($F23-$G23)*(AK23-AL23)&gt;0,0.5*'Thể lệ'!$E$6,'Thể lệ'!$E$6)))</f>
        <v>10000</v>
      </c>
      <c r="CQ23" s="43"/>
      <c r="CR23" s="43">
        <f>if($F23=$G23,if(and($F23=$G23,AM23&lt;&gt;AN23),'Thể lệ'!$E$6,if($F23=AM23,0,0.5*'Thể lệ'!$E$6)),if(and($F23=AM23,$G23=AN23),"0",if(($F23-$G23)*(AM23-AN23)&gt;0,0.5*'Thể lệ'!$E$6,'Thể lệ'!$E$6)))</f>
        <v>0</v>
      </c>
      <c r="CS23" s="43"/>
      <c r="CT23" s="44">
        <f>if($F23=$G23,if(and($F23=$G23,AO23&lt;&gt;AP23),'Thể lệ'!$E$6,if($F23=AO23,0,0.5*'Thể lệ'!$E$6)),if(and($F23=AO23,$G23=AP23),"0",if(($F23-$G23)*(AO23-AP23)&gt;0,0.5*'Thể lệ'!$E$6,'Thể lệ'!$E$6)))</f>
        <v>5000</v>
      </c>
      <c r="CU23" s="43"/>
      <c r="CV23" s="44">
        <f>if($F23=$G23,if(and($F23=$G23,AQ23&lt;&gt;AR23),'Thể lệ'!$E$6,if($F23=AQ23,0,0.5*'Thể lệ'!$E$6)),if(and($F23=AQ23,$G23=AR23),"0",if(($F23-$G23)*(AQ23-AR23)&gt;0,0.5*'Thể lệ'!$E$6,'Thể lệ'!$E$6)))</f>
        <v>10000</v>
      </c>
      <c r="CW23" s="43"/>
      <c r="CX23" s="44">
        <f>if($F23=$G23,if(and($F23=$G23,AS23&lt;&gt;AT23),'Thể lệ'!$E$6,if($F23=AS23,0,0.5*'Thể lệ'!$E$6)),if(and($F23=AS23,$G23=AT23),"0",if(($F23-$G23)*(AS23-AT23)&gt;0,0.5*'Thể lệ'!$E$6,'Thể lệ'!$E$6)))</f>
        <v>10000</v>
      </c>
      <c r="CY23" s="45"/>
      <c r="CZ23" s="43">
        <f>if($F23=$G23,if(and($F23=$G23,AU23&lt;&gt;AV23),'Thể lệ'!$E$6,if($F23=AU23,0,0.5*'Thể lệ'!$E$6)),if(and($F23=AU23,$G23=AV23),"0",if(($F23-$G23)*(AU23-AV23)&gt;0,0.5*'Thể lệ'!$E$6,'Thể lệ'!$E$6)))</f>
        <v>0</v>
      </c>
      <c r="DA23" s="45"/>
      <c r="DB23" s="43">
        <f>if($F23=$G23,if(and($F23=$G23,AW23&lt;&gt;AX23),'Thể lệ'!$E$6,if($F23=AW23,0,0.5*'Thể lệ'!$E$6)),if(and($F23=AW23,$G23=AX23),"0",if(($F23-$G23)*(AW23-AX23)&gt;0,0.5*'Thể lệ'!$E$6,'Thể lệ'!$E$6)))</f>
        <v>0</v>
      </c>
      <c r="DC23" s="45"/>
      <c r="DD23" s="43">
        <f>if($F23=$G23,if(and($F23=$G23,AY23&lt;&gt;AZ23),'Thể lệ'!$E$6,if($F23=AY23,0,0.5*'Thể lệ'!$E$6)),if(and($F23=AY23,$G23=AZ23),"0",if(($F23-$G23)*(AY23-AZ23)&gt;0,0.5*'Thể lệ'!$E$6,'Thể lệ'!$E$6)))</f>
        <v>0</v>
      </c>
      <c r="DE23" s="45"/>
      <c r="DF23" s="44">
        <f>if($F23=$G23,if(and($F23=$G23,BA23&lt;&gt;BB23),'Thể lệ'!$E$6,if($F23=BA23,0,0.5*'Thể lệ'!$E$6)),if(and($F23=BA23,$G23=BB23),"0",if(($F23-$G23)*(BA23-BB23)&gt;0,0.5*'Thể lệ'!$E$6,'Thể lệ'!$E$6)))</f>
        <v>10000</v>
      </c>
      <c r="DG23" s="45"/>
      <c r="DH23" s="44">
        <f>if($F23=$G23,if(and($F23=$G23,BC23&lt;&gt;BD23),'Thể lệ'!$E$6,if($F23=BC23,0,0.5*'Thể lệ'!$E$6)),if(and($F23=BC23,$G23=BD23),"0",if(($F23-$G23)*(BC23-BD23)&gt;0,0.5*'Thể lệ'!$E$6,'Thể lệ'!$E$6)))</f>
        <v>10000</v>
      </c>
      <c r="DI23" s="45"/>
      <c r="DJ23" s="44">
        <f>if($F23=$G23,if(and($F23=$G23,BE23&lt;&gt;BF23),'Thể lệ'!$E$6,if($F23=BE23,0,0.5*'Thể lệ'!$E$6)),if(and($F23=BE23,$G23=BF23),"0",if(($F23-$G23)*(BE23-BF23)&gt;0,0.5*'Thể lệ'!$E$6,'Thể lệ'!$E$6)))</f>
        <v>10000</v>
      </c>
      <c r="DK23" s="45"/>
      <c r="DL23" s="43">
        <f>if($F23=$G23,if(and($F23=$G23,BG23&lt;&gt;BH23),'Thể lệ'!$E$6,if($F23=BG23,0,0.5*'Thể lệ'!$E$6)),if(and($F23=BG23,$G23=BH23),"0",if(($F23-$G23)*(BG23-BH23)&gt;0,0.5*'Thể lệ'!$E$6,'Thể lệ'!$E$6)))</f>
        <v>0</v>
      </c>
      <c r="DM23" s="45"/>
      <c r="DN23" s="44">
        <f>if($F23=$G23,if(and($F23=$G23,BI23&lt;&gt;BJ23),'Thể lệ'!$E$6,if($F23=BI23,0,0.5*'Thể lệ'!$E$6)),if(and($F23=BI23,$G23=BJ23),"0",if(($F23-$G23)*(BI23-BJ23)&gt;0,0.5*'Thể lệ'!$E$6,'Thể lệ'!$E$6)))</f>
        <v>10000</v>
      </c>
      <c r="DO23" s="45"/>
      <c r="DP23" s="8"/>
    </row>
    <row r="24">
      <c r="B24" s="22">
        <v>18.0</v>
      </c>
      <c r="C24" s="34">
        <v>46190.20833333333</v>
      </c>
      <c r="D24" s="49">
        <v>46190.20833333333</v>
      </c>
      <c r="E24" s="36" t="s">
        <v>66</v>
      </c>
      <c r="F24" s="23"/>
      <c r="G24" s="23"/>
      <c r="H24" s="36" t="s">
        <v>67</v>
      </c>
      <c r="I24" s="37"/>
      <c r="J24" s="37"/>
      <c r="K24" s="37"/>
      <c r="L24" s="37"/>
      <c r="M24" s="37"/>
      <c r="N24" s="37"/>
      <c r="O24" s="37"/>
      <c r="P24" s="37"/>
      <c r="Q24" s="37">
        <f t="shared" si="4"/>
        <v>1</v>
      </c>
      <c r="R24" s="37">
        <f t="shared" si="6"/>
        <v>0</v>
      </c>
      <c r="S24" s="37">
        <v>1.0</v>
      </c>
      <c r="T24" s="37">
        <v>2.0</v>
      </c>
      <c r="U24" s="37">
        <v>1.0</v>
      </c>
      <c r="V24" s="37">
        <v>1.0</v>
      </c>
      <c r="W24" s="37">
        <v>1.0</v>
      </c>
      <c r="X24" s="37">
        <v>1.0</v>
      </c>
      <c r="Y24" s="37">
        <v>2.0</v>
      </c>
      <c r="Z24" s="37">
        <v>1.0</v>
      </c>
      <c r="AA24" s="37"/>
      <c r="AB24" s="37"/>
      <c r="AC24" s="37"/>
      <c r="AD24" s="37"/>
      <c r="AE24" s="37">
        <v>1.0</v>
      </c>
      <c r="AF24" s="37">
        <v>0.0</v>
      </c>
      <c r="AG24" s="37"/>
      <c r="AH24" s="37"/>
      <c r="AI24" s="37"/>
      <c r="AJ24" s="37"/>
      <c r="AK24" s="37">
        <v>1.0</v>
      </c>
      <c r="AL24" s="37">
        <v>1.0</v>
      </c>
      <c r="AM24" s="50"/>
      <c r="AN24" s="50"/>
      <c r="AO24" s="37">
        <v>3.0</v>
      </c>
      <c r="AP24" s="37">
        <v>3.0</v>
      </c>
      <c r="AQ24" s="39">
        <f t="shared" ref="AQ24:AR24" si="18">BE24</f>
        <v>1</v>
      </c>
      <c r="AR24" s="39">
        <f t="shared" si="18"/>
        <v>0</v>
      </c>
      <c r="AS24" s="40">
        <v>0.0</v>
      </c>
      <c r="AT24" s="40">
        <v>2.0</v>
      </c>
      <c r="AU24" s="37"/>
      <c r="AV24" s="37"/>
      <c r="AW24" s="37"/>
      <c r="AX24" s="37"/>
      <c r="AY24" s="37"/>
      <c r="AZ24" s="37"/>
      <c r="BA24" s="37">
        <v>1.0</v>
      </c>
      <c r="BB24" s="37">
        <v>0.0</v>
      </c>
      <c r="BC24" s="37">
        <v>0.0</v>
      </c>
      <c r="BD24" s="37">
        <v>3.0</v>
      </c>
      <c r="BE24" s="42">
        <v>1.0</v>
      </c>
      <c r="BF24" s="37">
        <v>0.0</v>
      </c>
      <c r="BG24" s="37"/>
      <c r="BH24" s="37"/>
      <c r="BI24" s="37">
        <f>H.Son!H24</f>
        <v>0</v>
      </c>
      <c r="BJ24" s="37">
        <f>H.Son!I24</f>
        <v>2</v>
      </c>
      <c r="BK24" s="37"/>
      <c r="BL24" s="37"/>
      <c r="BM24" s="9"/>
      <c r="BN24" s="43">
        <f>if($F24=$G24,if(and($F24=$G24,I24&lt;&gt;J24),'Thể lệ'!$E$6,if($F24=I24,0,0.5*'Thể lệ'!$E$6)),if(and($F24=I24,$G24=J24),"0",if(($F24-$G24)*(I24-J24)&gt;0,0.5*'Thể lệ'!$E$6,'Thể lệ'!$E$6)))</f>
        <v>0</v>
      </c>
      <c r="BO24" s="43"/>
      <c r="BP24" s="43">
        <f>if($F24=$G24,if(and($F24=$G24,K24&lt;&gt;L24),'Thể lệ'!$E$6,if($F24=K24,0,0.5*'Thể lệ'!$E$6)),if(and($F24=K24,$G24=L24),"0",if(($F24-$G24)*(K24-L24)&gt;0,0.5*'Thể lệ'!$E$6,'Thể lệ'!$E$6)))</f>
        <v>0</v>
      </c>
      <c r="BQ24" s="43"/>
      <c r="BR24" s="43">
        <f>if($F24=$G24,if(and($F24=$G24,M24&lt;&gt;N24),'Thể lệ'!$E$6,if($F24=M24,0,0.5*'Thể lệ'!$E$6)),if(and($F24=M24,$G24=N24),"0",if(($F24-$G24)*(M24-N24)&gt;0,0.5*'Thể lệ'!$E$6,'Thể lệ'!$E$6)))</f>
        <v>0</v>
      </c>
      <c r="BS24" s="43"/>
      <c r="BT24" s="43">
        <f>if($F24=$G24,if(and($F24=$G24,O24&lt;&gt;P24),'Thể lệ'!$E$6,if($F24=O24,0,0.5*'Thể lệ'!$E$6)),if(and($F24=O24,$G24=P24),"0",if(($F24-$G24)*(O24-P24)&gt;0,0.5*'Thể lệ'!$E$6,'Thể lệ'!$E$6)))</f>
        <v>0</v>
      </c>
      <c r="BU24" s="43"/>
      <c r="BV24" s="44">
        <f>if($F24=$G24,if(and($F24=$G24,Q24&lt;&gt;R24),'Thể lệ'!$E$6,if($F24=Q24,0,0.5*'Thể lệ'!$E$6)),if(and($F24=Q24,$G24=R24),"0",if(($F24-$G24)*(Q24-R24)&gt;0,0.5*'Thể lệ'!$E$6,'Thể lệ'!$E$6)))</f>
        <v>10000</v>
      </c>
      <c r="BW24" s="43"/>
      <c r="BX24" s="44">
        <f>if($F24=$G24,if(and($F24=$G24,S24&lt;&gt;T24),'Thể lệ'!$E$6,if($F24=S24,0,0.5*'Thể lệ'!$E$6)),if(and($F24=S24,$G24=T24),"0",if(($F24-$G24)*(S24-T24)&gt;0,0.5*'Thể lệ'!$E$6,'Thể lệ'!$E$6)))</f>
        <v>10000</v>
      </c>
      <c r="BY24" s="43"/>
      <c r="BZ24" s="44">
        <f>if($F24=$G24,if(and($F24=$G24,U24&lt;&gt;V24),'Thể lệ'!$E$6,if($F24=U24,0,0.5*'Thể lệ'!$E$6)),if(and($F24=U24,$G24=V24),"0",if(($F24-$G24)*(U24-V24)&gt;0,0.5*'Thể lệ'!$E$6,'Thể lệ'!$E$6)))</f>
        <v>5000</v>
      </c>
      <c r="CA24" s="43"/>
      <c r="CB24" s="44">
        <f>if($F24=$G24,if(and($F24=$G24,W24&lt;&gt;X24),'Thể lệ'!$E$6,if($F24=W24,0,0.5*'Thể lệ'!$E$6)),if(and($F24=W24,$G24=X24),"0",if(($F24-$G24)*(W24-X24)&gt;0,0.5*'Thể lệ'!$E$6,'Thể lệ'!$E$6)))</f>
        <v>5000</v>
      </c>
      <c r="CC24" s="43"/>
      <c r="CD24" s="44">
        <f>if($F24=$G24,if(and($F24=$G24,Y24&lt;&gt;Z24),'Thể lệ'!$E$6,if($F24=Y24,0,0.5*'Thể lệ'!$E$6)),if(and($F24=Y24,$G24=Z24),"0",if(($F24-$G24)*(Y24-Z24)&gt;0,0.5*'Thể lệ'!$E$6,'Thể lệ'!$E$6)))</f>
        <v>10000</v>
      </c>
      <c r="CE24" s="43"/>
      <c r="CF24" s="43">
        <f>if($F24=$G24,if(and($F24=$G24,AA24&lt;&gt;AB24),'Thể lệ'!$E$6,if($F24=AA24,0,0.5*'Thể lệ'!$E$6)),if(and($F24=AA24,$G24=AB24),"0",if(($F24-$G24)*(AA24-AB24)&gt;0,0.5*'Thể lệ'!$E$6,'Thể lệ'!$E$6)))</f>
        <v>0</v>
      </c>
      <c r="CG24" s="43"/>
      <c r="CH24" s="43">
        <f>if($F24=$G24,if(and($F24=$G24,AC24&lt;&gt;AD24),'Thể lệ'!$E$6,if($F24=AC24,0,0.5*'Thể lệ'!$E$6)),if(and($F24=AC24,$G24=AD24),"0",if(($F24-$G24)*(AC24-AD24)&gt;0,0.5*'Thể lệ'!$E$6,'Thể lệ'!$E$6)))</f>
        <v>0</v>
      </c>
      <c r="CI24" s="43"/>
      <c r="CJ24" s="44">
        <f>if($F24=$G24,if(and($F24=$G24,AE24&lt;&gt;AF24),'Thể lệ'!$E$6,if($F24=AE24,0,0.5*'Thể lệ'!$E$6)),if(and($F24=AE24,$G24=AF24),"0",if(($F24-$G24)*(AE24-AF24)&gt;0,0.5*'Thể lệ'!$E$6,'Thể lệ'!$E$6)))</f>
        <v>10000</v>
      </c>
      <c r="CK24" s="43"/>
      <c r="CL24" s="43">
        <f>if($F24=$G24,if(and($F24=$G24,AG24&lt;&gt;AH24),'Thể lệ'!$E$6,if($F24=AG24,0,0.5*'Thể lệ'!$E$6)),if(and($F24=AG24,$G24=AH24),"0",if(($F24-$G24)*(AG24-AH24)&gt;0,0.5*'Thể lệ'!$E$6,'Thể lệ'!$E$6)))</f>
        <v>0</v>
      </c>
      <c r="CM24" s="43"/>
      <c r="CN24" s="43">
        <f>if($F24=$G24,if(and($F24=$G24,AI24&lt;&gt;AJ24),'Thể lệ'!$E$6,if($F24=AI24,0,0.5*'Thể lệ'!$E$6)),if(and($F24=AI24,$G24=AJ24),"0",if(($F24-$G24)*(AI24-AJ24)&gt;0,0.5*'Thể lệ'!$E$6,'Thể lệ'!$E$6)))</f>
        <v>0</v>
      </c>
      <c r="CO24" s="43"/>
      <c r="CP24" s="44">
        <f>if($F24=$G24,if(and($F24=$G24,AK24&lt;&gt;AL24),'Thể lệ'!$E$6,if($F24=AK24,0,0.5*'Thể lệ'!$E$6)),if(and($F24=AK24,$G24=AL24),"0",if(($F24-$G24)*(AK24-AL24)&gt;0,0.5*'Thể lệ'!$E$6,'Thể lệ'!$E$6)))</f>
        <v>5000</v>
      </c>
      <c r="CQ24" s="43"/>
      <c r="CR24" s="43">
        <f>if($F24=$G24,if(and($F24=$G24,AM24&lt;&gt;AN24),'Thể lệ'!$E$6,if($F24=AM24,0,0.5*'Thể lệ'!$E$6)),if(and($F24=AM24,$G24=AN24),"0",if(($F24-$G24)*(AM24-AN24)&gt;0,0.5*'Thể lệ'!$E$6,'Thể lệ'!$E$6)))</f>
        <v>0</v>
      </c>
      <c r="CS24" s="43"/>
      <c r="CT24" s="44">
        <f>if($F24=$G24,if(and($F24=$G24,AO24&lt;&gt;AP24),'Thể lệ'!$E$6,if($F24=AO24,0,0.5*'Thể lệ'!$E$6)),if(and($F24=AO24,$G24=AP24),"0",if(($F24-$G24)*(AO24-AP24)&gt;0,0.5*'Thể lệ'!$E$6,'Thể lệ'!$E$6)))</f>
        <v>5000</v>
      </c>
      <c r="CU24" s="43"/>
      <c r="CV24" s="44">
        <f>if($F24=$G24,if(and($F24=$G24,AQ24&lt;&gt;AR24),'Thể lệ'!$E$6,if($F24=AQ24,0,0.5*'Thể lệ'!$E$6)),if(and($F24=AQ24,$G24=AR24),"0",if(($F24-$G24)*(AQ24-AR24)&gt;0,0.5*'Thể lệ'!$E$6,'Thể lệ'!$E$6)))</f>
        <v>10000</v>
      </c>
      <c r="CW24" s="43"/>
      <c r="CX24" s="44">
        <f>if($F24=$G24,if(and($F24=$G24,AS24&lt;&gt;AT24),'Thể lệ'!$E$6,if($F24=AS24,0,0.5*'Thể lệ'!$E$6)),if(and($F24=AS24,$G24=AT24),"0",if(($F24-$G24)*(AS24-AT24)&gt;0,0.5*'Thể lệ'!$E$6,'Thể lệ'!$E$6)))</f>
        <v>10000</v>
      </c>
      <c r="CY24" s="45"/>
      <c r="CZ24" s="43">
        <f>if($F24=$G24,if(and($F24=$G24,AU24&lt;&gt;AV24),'Thể lệ'!$E$6,if($F24=AU24,0,0.5*'Thể lệ'!$E$6)),if(and($F24=AU24,$G24=AV24),"0",if(($F24-$G24)*(AU24-AV24)&gt;0,0.5*'Thể lệ'!$E$6,'Thể lệ'!$E$6)))</f>
        <v>0</v>
      </c>
      <c r="DA24" s="45"/>
      <c r="DB24" s="43">
        <f>if($F24=$G24,if(and($F24=$G24,AW24&lt;&gt;AX24),'Thể lệ'!$E$6,if($F24=AW24,0,0.5*'Thể lệ'!$E$6)),if(and($F24=AW24,$G24=AX24),"0",if(($F24-$G24)*(AW24-AX24)&gt;0,0.5*'Thể lệ'!$E$6,'Thể lệ'!$E$6)))</f>
        <v>0</v>
      </c>
      <c r="DC24" s="45"/>
      <c r="DD24" s="43">
        <f>if($F24=$G24,if(and($F24=$G24,AY24&lt;&gt;AZ24),'Thể lệ'!$E$6,if($F24=AY24,0,0.5*'Thể lệ'!$E$6)),if(and($F24=AY24,$G24=AZ24),"0",if(($F24-$G24)*(AY24-AZ24)&gt;0,0.5*'Thể lệ'!$E$6,'Thể lệ'!$E$6)))</f>
        <v>0</v>
      </c>
      <c r="DE24" s="45"/>
      <c r="DF24" s="44">
        <f>if($F24=$G24,if(and($F24=$G24,BA24&lt;&gt;BB24),'Thể lệ'!$E$6,if($F24=BA24,0,0.5*'Thể lệ'!$E$6)),if(and($F24=BA24,$G24=BB24),"0",if(($F24-$G24)*(BA24-BB24)&gt;0,0.5*'Thể lệ'!$E$6,'Thể lệ'!$E$6)))</f>
        <v>10000</v>
      </c>
      <c r="DG24" s="45"/>
      <c r="DH24" s="44">
        <f>if($F24=$G24,if(and($F24=$G24,BC24&lt;&gt;BD24),'Thể lệ'!$E$6,if($F24=BC24,0,0.5*'Thể lệ'!$E$6)),if(and($F24=BC24,$G24=BD24),"0",if(($F24-$G24)*(BC24-BD24)&gt;0,0.5*'Thể lệ'!$E$6,'Thể lệ'!$E$6)))</f>
        <v>10000</v>
      </c>
      <c r="DI24" s="45"/>
      <c r="DJ24" s="44">
        <f>if($F24=$G24,if(and($F24=$G24,BE24&lt;&gt;BF24),'Thể lệ'!$E$6,if($F24=BE24,0,0.5*'Thể lệ'!$E$6)),if(and($F24=BE24,$G24=BF24),"0",if(($F24-$G24)*(BE24-BF24)&gt;0,0.5*'Thể lệ'!$E$6,'Thể lệ'!$E$6)))</f>
        <v>10000</v>
      </c>
      <c r="DK24" s="45"/>
      <c r="DL24" s="43">
        <f>if($F24=$G24,if(and($F24=$G24,BG24&lt;&gt;BH24),'Thể lệ'!$E$6,if($F24=BG24,0,0.5*'Thể lệ'!$E$6)),if(and($F24=BG24,$G24=BH24),"0",if(($F24-$G24)*(BG24-BH24)&gt;0,0.5*'Thể lệ'!$E$6,'Thể lệ'!$E$6)))</f>
        <v>0</v>
      </c>
      <c r="DM24" s="45"/>
      <c r="DN24" s="44">
        <f>if($F24=$G24,if(and($F24=$G24,BI24&lt;&gt;BJ24),'Thể lệ'!$E$6,if($F24=BI24,0,0.5*'Thể lệ'!$E$6)),if(and($F24=BI24,$G24=BJ24),"0",if(($F24-$G24)*(BI24-BJ24)&gt;0,0.5*'Thể lệ'!$E$6,'Thể lệ'!$E$6)))</f>
        <v>10000</v>
      </c>
      <c r="DO24" s="45"/>
      <c r="DP24" s="8"/>
    </row>
    <row r="25">
      <c r="B25" s="22">
        <v>19.0</v>
      </c>
      <c r="C25" s="34">
        <v>46190.33333333333</v>
      </c>
      <c r="D25" s="49">
        <v>46190.33333333333</v>
      </c>
      <c r="E25" s="36" t="s">
        <v>68</v>
      </c>
      <c r="F25" s="23"/>
      <c r="G25" s="23"/>
      <c r="H25" s="36" t="s">
        <v>69</v>
      </c>
      <c r="I25" s="37"/>
      <c r="J25" s="37"/>
      <c r="K25" s="37"/>
      <c r="L25" s="37"/>
      <c r="M25" s="37"/>
      <c r="N25" s="37"/>
      <c r="O25" s="37"/>
      <c r="P25" s="37"/>
      <c r="Q25" s="37">
        <f t="shared" si="4"/>
        <v>1</v>
      </c>
      <c r="R25" s="37">
        <f t="shared" si="6"/>
        <v>0</v>
      </c>
      <c r="S25" s="37">
        <v>3.0</v>
      </c>
      <c r="T25" s="37">
        <v>0.0</v>
      </c>
      <c r="U25" s="37">
        <v>2.0</v>
      </c>
      <c r="V25" s="37">
        <v>0.0</v>
      </c>
      <c r="W25" s="37">
        <v>2.0</v>
      </c>
      <c r="X25" s="37">
        <v>0.0</v>
      </c>
      <c r="Y25" s="37">
        <v>2.0</v>
      </c>
      <c r="Z25" s="37">
        <v>0.0</v>
      </c>
      <c r="AA25" s="37"/>
      <c r="AB25" s="37"/>
      <c r="AC25" s="37"/>
      <c r="AD25" s="37"/>
      <c r="AE25" s="37">
        <v>1.0</v>
      </c>
      <c r="AF25" s="37">
        <v>0.0</v>
      </c>
      <c r="AG25" s="37"/>
      <c r="AH25" s="37"/>
      <c r="AI25" s="37"/>
      <c r="AJ25" s="37"/>
      <c r="AK25" s="37">
        <v>2.0</v>
      </c>
      <c r="AL25" s="37">
        <v>1.0</v>
      </c>
      <c r="AM25" s="50"/>
      <c r="AN25" s="50"/>
      <c r="AO25" s="37">
        <v>2.0</v>
      </c>
      <c r="AP25" s="37">
        <v>1.0</v>
      </c>
      <c r="AQ25" s="39">
        <f t="shared" ref="AQ25:AR25" si="19">BE25</f>
        <v>1</v>
      </c>
      <c r="AR25" s="39">
        <f t="shared" si="19"/>
        <v>0</v>
      </c>
      <c r="AS25" s="40">
        <v>3.0</v>
      </c>
      <c r="AT25" s="40">
        <v>0.0</v>
      </c>
      <c r="AU25" s="37"/>
      <c r="AV25" s="37"/>
      <c r="AW25" s="37"/>
      <c r="AX25" s="37"/>
      <c r="AY25" s="37"/>
      <c r="AZ25" s="37"/>
      <c r="BA25" s="37">
        <v>2.0</v>
      </c>
      <c r="BB25" s="37">
        <v>1.0</v>
      </c>
      <c r="BC25" s="37">
        <v>3.0</v>
      </c>
      <c r="BD25" s="37">
        <v>0.0</v>
      </c>
      <c r="BE25" s="42">
        <v>1.0</v>
      </c>
      <c r="BF25" s="37">
        <v>0.0</v>
      </c>
      <c r="BG25" s="37"/>
      <c r="BH25" s="37"/>
      <c r="BI25" s="37">
        <f>H.Son!H25</f>
        <v>3</v>
      </c>
      <c r="BJ25" s="37">
        <f>H.Son!I25</f>
        <v>0</v>
      </c>
      <c r="BK25" s="37"/>
      <c r="BL25" s="37"/>
      <c r="BM25" s="9"/>
      <c r="BN25" s="43">
        <f>if($F25=$G25,if(and($F25=$G25,I25&lt;&gt;J25),'Thể lệ'!$E$6,if($F25=I25,0,0.5*'Thể lệ'!$E$6)),if(and($F25=I25,$G25=J25),"0",if(($F25-$G25)*(I25-J25)&gt;0,0.5*'Thể lệ'!$E$6,'Thể lệ'!$E$6)))</f>
        <v>0</v>
      </c>
      <c r="BO25" s="43"/>
      <c r="BP25" s="43">
        <f>if($F25=$G25,if(and($F25=$G25,K25&lt;&gt;L25),'Thể lệ'!$E$6,if($F25=K25,0,0.5*'Thể lệ'!$E$6)),if(and($F25=K25,$G25=L25),"0",if(($F25-$G25)*(K25-L25)&gt;0,0.5*'Thể lệ'!$E$6,'Thể lệ'!$E$6)))</f>
        <v>0</v>
      </c>
      <c r="BQ25" s="43"/>
      <c r="BR25" s="43">
        <f>if($F25=$G25,if(and($F25=$G25,M25&lt;&gt;N25),'Thể lệ'!$E$6,if($F25=M25,0,0.5*'Thể lệ'!$E$6)),if(and($F25=M25,$G25=N25),"0",if(($F25-$G25)*(M25-N25)&gt;0,0.5*'Thể lệ'!$E$6,'Thể lệ'!$E$6)))</f>
        <v>0</v>
      </c>
      <c r="BS25" s="43"/>
      <c r="BT25" s="43">
        <f>if($F25=$G25,if(and($F25=$G25,O25&lt;&gt;P25),'Thể lệ'!$E$6,if($F25=O25,0,0.5*'Thể lệ'!$E$6)),if(and($F25=O25,$G25=P25),"0",if(($F25-$G25)*(O25-P25)&gt;0,0.5*'Thể lệ'!$E$6,'Thể lệ'!$E$6)))</f>
        <v>0</v>
      </c>
      <c r="BU25" s="43"/>
      <c r="BV25" s="44">
        <f>if($F25=$G25,if(and($F25=$G25,Q25&lt;&gt;R25),'Thể lệ'!$E$6,if($F25=Q25,0,0.5*'Thể lệ'!$E$6)),if(and($F25=Q25,$G25=R25),"0",if(($F25-$G25)*(Q25-R25)&gt;0,0.5*'Thể lệ'!$E$6,'Thể lệ'!$E$6)))</f>
        <v>10000</v>
      </c>
      <c r="BW25" s="43"/>
      <c r="BX25" s="44">
        <f>if($F25=$G25,if(and($F25=$G25,S25&lt;&gt;T25),'Thể lệ'!$E$6,if($F25=S25,0,0.5*'Thể lệ'!$E$6)),if(and($F25=S25,$G25=T25),"0",if(($F25-$G25)*(S25-T25)&gt;0,0.5*'Thể lệ'!$E$6,'Thể lệ'!$E$6)))</f>
        <v>10000</v>
      </c>
      <c r="BY25" s="43"/>
      <c r="BZ25" s="44">
        <f>if($F25=$G25,if(and($F25=$G25,U25&lt;&gt;V25),'Thể lệ'!$E$6,if($F25=U25,0,0.5*'Thể lệ'!$E$6)),if(and($F25=U25,$G25=V25),"0",if(($F25-$G25)*(U25-V25)&gt;0,0.5*'Thể lệ'!$E$6,'Thể lệ'!$E$6)))</f>
        <v>10000</v>
      </c>
      <c r="CA25" s="43"/>
      <c r="CB25" s="44">
        <f>if($F25=$G25,if(and($F25=$G25,W25&lt;&gt;X25),'Thể lệ'!$E$6,if($F25=W25,0,0.5*'Thể lệ'!$E$6)),if(and($F25=W25,$G25=X25),"0",if(($F25-$G25)*(W25-X25)&gt;0,0.5*'Thể lệ'!$E$6,'Thể lệ'!$E$6)))</f>
        <v>10000</v>
      </c>
      <c r="CC25" s="43"/>
      <c r="CD25" s="44">
        <f>if($F25=$G25,if(and($F25=$G25,Y25&lt;&gt;Z25),'Thể lệ'!$E$6,if($F25=Y25,0,0.5*'Thể lệ'!$E$6)),if(and($F25=Y25,$G25=Z25),"0",if(($F25-$G25)*(Y25-Z25)&gt;0,0.5*'Thể lệ'!$E$6,'Thể lệ'!$E$6)))</f>
        <v>10000</v>
      </c>
      <c r="CE25" s="43"/>
      <c r="CF25" s="43">
        <f>if($F25=$G25,if(and($F25=$G25,AA25&lt;&gt;AB25),'Thể lệ'!$E$6,if($F25=AA25,0,0.5*'Thể lệ'!$E$6)),if(and($F25=AA25,$G25=AB25),"0",if(($F25-$G25)*(AA25-AB25)&gt;0,0.5*'Thể lệ'!$E$6,'Thể lệ'!$E$6)))</f>
        <v>0</v>
      </c>
      <c r="CG25" s="43"/>
      <c r="CH25" s="43">
        <f>if($F25=$G25,if(and($F25=$G25,AC25&lt;&gt;AD25),'Thể lệ'!$E$6,if($F25=AC25,0,0.5*'Thể lệ'!$E$6)),if(and($F25=AC25,$G25=AD25),"0",if(($F25-$G25)*(AC25-AD25)&gt;0,0.5*'Thể lệ'!$E$6,'Thể lệ'!$E$6)))</f>
        <v>0</v>
      </c>
      <c r="CI25" s="43"/>
      <c r="CJ25" s="44">
        <f>if($F25=$G25,if(and($F25=$G25,AE25&lt;&gt;AF25),'Thể lệ'!$E$6,if($F25=AE25,0,0.5*'Thể lệ'!$E$6)),if(and($F25=AE25,$G25=AF25),"0",if(($F25-$G25)*(AE25-AF25)&gt;0,0.5*'Thể lệ'!$E$6,'Thể lệ'!$E$6)))</f>
        <v>10000</v>
      </c>
      <c r="CK25" s="43"/>
      <c r="CL25" s="43">
        <f>if($F25=$G25,if(and($F25=$G25,AG25&lt;&gt;AH25),'Thể lệ'!$E$6,if($F25=AG25,0,0.5*'Thể lệ'!$E$6)),if(and($F25=AG25,$G25=AH25),"0",if(($F25-$G25)*(AG25-AH25)&gt;0,0.5*'Thể lệ'!$E$6,'Thể lệ'!$E$6)))</f>
        <v>0</v>
      </c>
      <c r="CM25" s="43"/>
      <c r="CN25" s="43">
        <f>if($F25=$G25,if(and($F25=$G25,AI25&lt;&gt;AJ25),'Thể lệ'!$E$6,if($F25=AI25,0,0.5*'Thể lệ'!$E$6)),if(and($F25=AI25,$G25=AJ25),"0",if(($F25-$G25)*(AI25-AJ25)&gt;0,0.5*'Thể lệ'!$E$6,'Thể lệ'!$E$6)))</f>
        <v>0</v>
      </c>
      <c r="CO25" s="43"/>
      <c r="CP25" s="44">
        <f>if($F25=$G25,if(and($F25=$G25,AK25&lt;&gt;AL25),'Thể lệ'!$E$6,if($F25=AK25,0,0.5*'Thể lệ'!$E$6)),if(and($F25=AK25,$G25=AL25),"0",if(($F25-$G25)*(AK25-AL25)&gt;0,0.5*'Thể lệ'!$E$6,'Thể lệ'!$E$6)))</f>
        <v>10000</v>
      </c>
      <c r="CQ25" s="43"/>
      <c r="CR25" s="43">
        <f>if($F25=$G25,if(and($F25=$G25,AM25&lt;&gt;AN25),'Thể lệ'!$E$6,if($F25=AM25,0,0.5*'Thể lệ'!$E$6)),if(and($F25=AM25,$G25=AN25),"0",if(($F25-$G25)*(AM25-AN25)&gt;0,0.5*'Thể lệ'!$E$6,'Thể lệ'!$E$6)))</f>
        <v>0</v>
      </c>
      <c r="CS25" s="43"/>
      <c r="CT25" s="44">
        <f>if($F25=$G25,if(and($F25=$G25,AO25&lt;&gt;AP25),'Thể lệ'!$E$6,if($F25=AO25,0,0.5*'Thể lệ'!$E$6)),if(and($F25=AO25,$G25=AP25),"0",if(($F25-$G25)*(AO25-AP25)&gt;0,0.5*'Thể lệ'!$E$6,'Thể lệ'!$E$6)))</f>
        <v>10000</v>
      </c>
      <c r="CU25" s="43"/>
      <c r="CV25" s="44">
        <f>if($F25=$G25,if(and($F25=$G25,AQ25&lt;&gt;AR25),'Thể lệ'!$E$6,if($F25=AQ25,0,0.5*'Thể lệ'!$E$6)),if(and($F25=AQ25,$G25=AR25),"0",if(($F25-$G25)*(AQ25-AR25)&gt;0,0.5*'Thể lệ'!$E$6,'Thể lệ'!$E$6)))</f>
        <v>10000</v>
      </c>
      <c r="CW25" s="43"/>
      <c r="CX25" s="44">
        <f>if($F25=$G25,if(and($F25=$G25,AS25&lt;&gt;AT25),'Thể lệ'!$E$6,if($F25=AS25,0,0.5*'Thể lệ'!$E$6)),if(and($F25=AS25,$G25=AT25),"0",if(($F25-$G25)*(AS25-AT25)&gt;0,0.5*'Thể lệ'!$E$6,'Thể lệ'!$E$6)))</f>
        <v>10000</v>
      </c>
      <c r="CY25" s="45"/>
      <c r="CZ25" s="43">
        <f>if($F25=$G25,if(and($F25=$G25,AU25&lt;&gt;AV25),'Thể lệ'!$E$6,if($F25=AU25,0,0.5*'Thể lệ'!$E$6)),if(and($F25=AU25,$G25=AV25),"0",if(($F25-$G25)*(AU25-AV25)&gt;0,0.5*'Thể lệ'!$E$6,'Thể lệ'!$E$6)))</f>
        <v>0</v>
      </c>
      <c r="DA25" s="45"/>
      <c r="DB25" s="43">
        <f>if($F25=$G25,if(and($F25=$G25,AW25&lt;&gt;AX25),'Thể lệ'!$E$6,if($F25=AW25,0,0.5*'Thể lệ'!$E$6)),if(and($F25=AW25,$G25=AX25),"0",if(($F25-$G25)*(AW25-AX25)&gt;0,0.5*'Thể lệ'!$E$6,'Thể lệ'!$E$6)))</f>
        <v>0</v>
      </c>
      <c r="DC25" s="45"/>
      <c r="DD25" s="43">
        <f>if($F25=$G25,if(and($F25=$G25,AY25&lt;&gt;AZ25),'Thể lệ'!$E$6,if($F25=AY25,0,0.5*'Thể lệ'!$E$6)),if(and($F25=AY25,$G25=AZ25),"0",if(($F25-$G25)*(AY25-AZ25)&gt;0,0.5*'Thể lệ'!$E$6,'Thể lệ'!$E$6)))</f>
        <v>0</v>
      </c>
      <c r="DE25" s="45"/>
      <c r="DF25" s="44">
        <f>if($F25=$G25,if(and($F25=$G25,BA25&lt;&gt;BB25),'Thể lệ'!$E$6,if($F25=BA25,0,0.5*'Thể lệ'!$E$6)),if(and($F25=BA25,$G25=BB25),"0",if(($F25-$G25)*(BA25-BB25)&gt;0,0.5*'Thể lệ'!$E$6,'Thể lệ'!$E$6)))</f>
        <v>10000</v>
      </c>
      <c r="DG25" s="45"/>
      <c r="DH25" s="44">
        <f>if($F25=$G25,if(and($F25=$G25,BC25&lt;&gt;BD25),'Thể lệ'!$E$6,if($F25=BC25,0,0.5*'Thể lệ'!$E$6)),if(and($F25=BC25,$G25=BD25),"0",if(($F25-$G25)*(BC25-BD25)&gt;0,0.5*'Thể lệ'!$E$6,'Thể lệ'!$E$6)))</f>
        <v>10000</v>
      </c>
      <c r="DI25" s="45"/>
      <c r="DJ25" s="44">
        <f>if($F25=$G25,if(and($F25=$G25,BE25&lt;&gt;BF25),'Thể lệ'!$E$6,if($F25=BE25,0,0.5*'Thể lệ'!$E$6)),if(and($F25=BE25,$G25=BF25),"0",if(($F25-$G25)*(BE25-BF25)&gt;0,0.5*'Thể lệ'!$E$6,'Thể lệ'!$E$6)))</f>
        <v>10000</v>
      </c>
      <c r="DK25" s="45"/>
      <c r="DL25" s="43">
        <f>if($F25=$G25,if(and($F25=$G25,BG25&lt;&gt;BH25),'Thể lệ'!$E$6,if($F25=BG25,0,0.5*'Thể lệ'!$E$6)),if(and($F25=BG25,$G25=BH25),"0",if(($F25-$G25)*(BG25-BH25)&gt;0,0.5*'Thể lệ'!$E$6,'Thể lệ'!$E$6)))</f>
        <v>0</v>
      </c>
      <c r="DM25" s="45"/>
      <c r="DN25" s="44">
        <f>if($F25=$G25,if(and($F25=$G25,BI25&lt;&gt;BJ25),'Thể lệ'!$E$6,if($F25=BI25,0,0.5*'Thể lệ'!$E$6)),if(and($F25=BI25,$G25=BJ25),"0",if(($F25-$G25)*(BI25-BJ25)&gt;0,0.5*'Thể lệ'!$E$6,'Thể lệ'!$E$6)))</f>
        <v>10000</v>
      </c>
      <c r="DO25" s="45"/>
      <c r="DP25" s="8"/>
    </row>
    <row r="26">
      <c r="B26" s="22">
        <v>20.0</v>
      </c>
      <c r="C26" s="34">
        <v>46190.45833333333</v>
      </c>
      <c r="D26" s="49">
        <v>46190.45833333333</v>
      </c>
      <c r="E26" s="36" t="s">
        <v>70</v>
      </c>
      <c r="F26" s="23"/>
      <c r="G26" s="23"/>
      <c r="H26" s="36" t="s">
        <v>71</v>
      </c>
      <c r="I26" s="37"/>
      <c r="J26" s="37"/>
      <c r="K26" s="37"/>
      <c r="L26" s="37"/>
      <c r="M26" s="37"/>
      <c r="N26" s="37"/>
      <c r="O26" s="37"/>
      <c r="P26" s="37"/>
      <c r="Q26" s="37" t="str">
        <f t="shared" si="4"/>
        <v/>
      </c>
      <c r="R26" s="37" t="str">
        <f t="shared" si="6"/>
        <v/>
      </c>
      <c r="S26" s="37">
        <v>2.0</v>
      </c>
      <c r="T26" s="37">
        <v>0.0</v>
      </c>
      <c r="U26" s="37"/>
      <c r="V26" s="37"/>
      <c r="W26" s="37"/>
      <c r="X26" s="37"/>
      <c r="Y26" s="37">
        <v>2.0</v>
      </c>
      <c r="Z26" s="37">
        <v>0.0</v>
      </c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>
        <v>1.0</v>
      </c>
      <c r="AL26" s="37">
        <v>0.0</v>
      </c>
      <c r="AM26" s="50"/>
      <c r="AN26" s="50"/>
      <c r="AO26" s="37">
        <v>2.0</v>
      </c>
      <c r="AP26" s="37">
        <v>2.0</v>
      </c>
      <c r="AQ26" s="37"/>
      <c r="AR26" s="37"/>
      <c r="AS26" s="40">
        <v>2.0</v>
      </c>
      <c r="AT26" s="40">
        <v>0.0</v>
      </c>
      <c r="AU26" s="37"/>
      <c r="AV26" s="37"/>
      <c r="AW26" s="37"/>
      <c r="AX26" s="37"/>
      <c r="AY26" s="37"/>
      <c r="AZ26" s="37"/>
      <c r="BA26" s="37">
        <v>2.0</v>
      </c>
      <c r="BB26" s="37">
        <v>0.0</v>
      </c>
      <c r="BC26" s="37">
        <v>3.0</v>
      </c>
      <c r="BD26" s="37">
        <v>0.0</v>
      </c>
      <c r="BE26" s="42">
        <v>2.0</v>
      </c>
      <c r="BF26" s="37">
        <v>0.0</v>
      </c>
      <c r="BG26" s="37"/>
      <c r="BH26" s="37"/>
      <c r="BI26" s="37">
        <f>H.Son!H26</f>
        <v>1</v>
      </c>
      <c r="BJ26" s="37">
        <f>H.Son!I26</f>
        <v>0</v>
      </c>
      <c r="BK26" s="37"/>
      <c r="BL26" s="37"/>
      <c r="BM26" s="9"/>
      <c r="BN26" s="43">
        <f>if($F26=$G26,if(and($F26=$G26,I26&lt;&gt;J26),'Thể lệ'!$E$6,if($F26=I26,0,0.5*'Thể lệ'!$E$6)),if(and($F26=I26,$G26=J26),"0",if(($F26-$G26)*(I26-J26)&gt;0,0.5*'Thể lệ'!$E$6,'Thể lệ'!$E$6)))</f>
        <v>0</v>
      </c>
      <c r="BO26" s="43"/>
      <c r="BP26" s="43">
        <f>if($F26=$G26,if(and($F26=$G26,K26&lt;&gt;L26),'Thể lệ'!$E$6,if($F26=K26,0,0.5*'Thể lệ'!$E$6)),if(and($F26=K26,$G26=L26),"0",if(($F26-$G26)*(K26-L26)&gt;0,0.5*'Thể lệ'!$E$6,'Thể lệ'!$E$6)))</f>
        <v>0</v>
      </c>
      <c r="BQ26" s="43"/>
      <c r="BR26" s="43">
        <f>if($F26=$G26,if(and($F26=$G26,M26&lt;&gt;N26),'Thể lệ'!$E$6,if($F26=M26,0,0.5*'Thể lệ'!$E$6)),if(and($F26=M26,$G26=N26),"0",if(($F26-$G26)*(M26-N26)&gt;0,0.5*'Thể lệ'!$E$6,'Thể lệ'!$E$6)))</f>
        <v>0</v>
      </c>
      <c r="BS26" s="43"/>
      <c r="BT26" s="43">
        <f>if($F26=$G26,if(and($F26=$G26,O26&lt;&gt;P26),'Thể lệ'!$E$6,if($F26=O26,0,0.5*'Thể lệ'!$E$6)),if(and($F26=O26,$G26=P26),"0",if(($F26-$G26)*(O26-P26)&gt;0,0.5*'Thể lệ'!$E$6,'Thể lệ'!$E$6)))</f>
        <v>0</v>
      </c>
      <c r="BU26" s="43"/>
      <c r="BV26" s="43">
        <f>if($F26=$G26,if(and($F26=$G26,Q26&lt;&gt;R26),'Thể lệ'!$E$6,if($F26=Q26,0,0.5*'Thể lệ'!$E$6)),if(and($F26=Q26,$G26=R26),"0",if(($F26-$G26)*(Q26-R26)&gt;0,0.5*'Thể lệ'!$E$6,'Thể lệ'!$E$6)))</f>
        <v>0</v>
      </c>
      <c r="BW26" s="43"/>
      <c r="BX26" s="44">
        <f>if($F26=$G26,if(and($F26=$G26,S26&lt;&gt;T26),'Thể lệ'!$E$6,if($F26=S26,0,0.5*'Thể lệ'!$E$6)),if(and($F26=S26,$G26=T26),"0",if(($F26-$G26)*(S26-T26)&gt;0,0.5*'Thể lệ'!$E$6,'Thể lệ'!$E$6)))</f>
        <v>10000</v>
      </c>
      <c r="BY26" s="43"/>
      <c r="BZ26" s="43">
        <f>if($F26=$G26,if(and($F26=$G26,U26&lt;&gt;V26),'Thể lệ'!$E$6,if($F26=U26,0,0.5*'Thể lệ'!$E$6)),if(and($F26=U26,$G26=V26),"0",if(($F26-$G26)*(U26-V26)&gt;0,0.5*'Thể lệ'!$E$6,'Thể lệ'!$E$6)))</f>
        <v>0</v>
      </c>
      <c r="CA26" s="43"/>
      <c r="CB26" s="43">
        <f>if($F26=$G26,if(and($F26=$G26,W26&lt;&gt;X26),'Thể lệ'!$E$6,if($F26=W26,0,0.5*'Thể lệ'!$E$6)),if(and($F26=W26,$G26=X26),"0",if(($F26-$G26)*(W26-X26)&gt;0,0.5*'Thể lệ'!$E$6,'Thể lệ'!$E$6)))</f>
        <v>0</v>
      </c>
      <c r="CC26" s="43"/>
      <c r="CD26" s="44">
        <f>if($F26=$G26,if(and($F26=$G26,Y26&lt;&gt;Z26),'Thể lệ'!$E$6,if($F26=Y26,0,0.5*'Thể lệ'!$E$6)),if(and($F26=Y26,$G26=Z26),"0",if(($F26-$G26)*(Y26-Z26)&gt;0,0.5*'Thể lệ'!$E$6,'Thể lệ'!$E$6)))</f>
        <v>10000</v>
      </c>
      <c r="CE26" s="43"/>
      <c r="CF26" s="43">
        <f>if($F26=$G26,if(and($F26=$G26,AA26&lt;&gt;AB26),'Thể lệ'!$E$6,if($F26=AA26,0,0.5*'Thể lệ'!$E$6)),if(and($F26=AA26,$G26=AB26),"0",if(($F26-$G26)*(AA26-AB26)&gt;0,0.5*'Thể lệ'!$E$6,'Thể lệ'!$E$6)))</f>
        <v>0</v>
      </c>
      <c r="CG26" s="43"/>
      <c r="CH26" s="43">
        <f>if($F26=$G26,if(and($F26=$G26,AC26&lt;&gt;AD26),'Thể lệ'!$E$6,if($F26=AC26,0,0.5*'Thể lệ'!$E$6)),if(and($F26=AC26,$G26=AD26),"0",if(($F26-$G26)*(AC26-AD26)&gt;0,0.5*'Thể lệ'!$E$6,'Thể lệ'!$E$6)))</f>
        <v>0</v>
      </c>
      <c r="CI26" s="43"/>
      <c r="CJ26" s="43">
        <f>if($F26=$G26,if(and($F26=$G26,AE26&lt;&gt;AF26),'Thể lệ'!$E$6,if($F26=AE26,0,0.5*'Thể lệ'!$E$6)),if(and($F26=AE26,$G26=AF26),"0",if(($F26-$G26)*(AE26-AF26)&gt;0,0.5*'Thể lệ'!$E$6,'Thể lệ'!$E$6)))</f>
        <v>0</v>
      </c>
      <c r="CK26" s="43"/>
      <c r="CL26" s="43">
        <f>if($F26=$G26,if(and($F26=$G26,AG26&lt;&gt;AH26),'Thể lệ'!$E$6,if($F26=AG26,0,0.5*'Thể lệ'!$E$6)),if(and($F26=AG26,$G26=AH26),"0",if(($F26-$G26)*(AG26-AH26)&gt;0,0.5*'Thể lệ'!$E$6,'Thể lệ'!$E$6)))</f>
        <v>0</v>
      </c>
      <c r="CM26" s="43"/>
      <c r="CN26" s="43">
        <f>if($F26=$G26,if(and($F26=$G26,AI26&lt;&gt;AJ26),'Thể lệ'!$E$6,if($F26=AI26,0,0.5*'Thể lệ'!$E$6)),if(and($F26=AI26,$G26=AJ26),"0",if(($F26-$G26)*(AI26-AJ26)&gt;0,0.5*'Thể lệ'!$E$6,'Thể lệ'!$E$6)))</f>
        <v>0</v>
      </c>
      <c r="CO26" s="43"/>
      <c r="CP26" s="44">
        <f>if($F26=$G26,if(and($F26=$G26,AK26&lt;&gt;AL26),'Thể lệ'!$E$6,if($F26=AK26,0,0.5*'Thể lệ'!$E$6)),if(and($F26=AK26,$G26=AL26),"0",if(($F26-$G26)*(AK26-AL26)&gt;0,0.5*'Thể lệ'!$E$6,'Thể lệ'!$E$6)))</f>
        <v>10000</v>
      </c>
      <c r="CQ26" s="43"/>
      <c r="CR26" s="43">
        <f>if($F26=$G26,if(and($F26=$G26,AM26&lt;&gt;AN26),'Thể lệ'!$E$6,if($F26=AM26,0,0.5*'Thể lệ'!$E$6)),if(and($F26=AM26,$G26=AN26),"0",if(($F26-$G26)*(AM26-AN26)&gt;0,0.5*'Thể lệ'!$E$6,'Thể lệ'!$E$6)))</f>
        <v>0</v>
      </c>
      <c r="CS26" s="43"/>
      <c r="CT26" s="44">
        <f>if($F26=$G26,if(and($F26=$G26,AO26&lt;&gt;AP26),'Thể lệ'!$E$6,if($F26=AO26,0,0.5*'Thể lệ'!$E$6)),if(and($F26=AO26,$G26=AP26),"0",if(($F26-$G26)*(AO26-AP26)&gt;0,0.5*'Thể lệ'!$E$6,'Thể lệ'!$E$6)))</f>
        <v>5000</v>
      </c>
      <c r="CU26" s="43"/>
      <c r="CV26" s="43">
        <f>if($F26=$G26,if(and($F26=$G26,AQ26&lt;&gt;AR26),'Thể lệ'!$E$6,if($F26=AQ26,0,0.5*'Thể lệ'!$E$6)),if(and($F26=AQ26,$G26=AR26),"0",if(($F26-$G26)*(AQ26-AR26)&gt;0,0.5*'Thể lệ'!$E$6,'Thể lệ'!$E$6)))</f>
        <v>0</v>
      </c>
      <c r="CW26" s="43"/>
      <c r="CX26" s="44">
        <f>if($F26=$G26,if(and($F26=$G26,AS26&lt;&gt;AT26),'Thể lệ'!$E$6,if($F26=AS26,0,0.5*'Thể lệ'!$E$6)),if(and($F26=AS26,$G26=AT26),"0",if(($F26-$G26)*(AS26-AT26)&gt;0,0.5*'Thể lệ'!$E$6,'Thể lệ'!$E$6)))</f>
        <v>10000</v>
      </c>
      <c r="CY26" s="45"/>
      <c r="CZ26" s="43">
        <f>if($F26=$G26,if(and($F26=$G26,AU26&lt;&gt;AV26),'Thể lệ'!$E$6,if($F26=AU26,0,0.5*'Thể lệ'!$E$6)),if(and($F26=AU26,$G26=AV26),"0",if(($F26-$G26)*(AU26-AV26)&gt;0,0.5*'Thể lệ'!$E$6,'Thể lệ'!$E$6)))</f>
        <v>0</v>
      </c>
      <c r="DA26" s="45"/>
      <c r="DB26" s="43">
        <f>if($F26=$G26,if(and($F26=$G26,AW26&lt;&gt;AX26),'Thể lệ'!$E$6,if($F26=AW26,0,0.5*'Thể lệ'!$E$6)),if(and($F26=AW26,$G26=AX26),"0",if(($F26-$G26)*(AW26-AX26)&gt;0,0.5*'Thể lệ'!$E$6,'Thể lệ'!$E$6)))</f>
        <v>0</v>
      </c>
      <c r="DC26" s="45"/>
      <c r="DD26" s="43">
        <f>if($F26=$G26,if(and($F26=$G26,AY26&lt;&gt;AZ26),'Thể lệ'!$E$6,if($F26=AY26,0,0.5*'Thể lệ'!$E$6)),if(and($F26=AY26,$G26=AZ26),"0",if(($F26-$G26)*(AY26-AZ26)&gt;0,0.5*'Thể lệ'!$E$6,'Thể lệ'!$E$6)))</f>
        <v>0</v>
      </c>
      <c r="DE26" s="45"/>
      <c r="DF26" s="44">
        <f>if($F26=$G26,if(and($F26=$G26,BA26&lt;&gt;BB26),'Thể lệ'!$E$6,if($F26=BA26,0,0.5*'Thể lệ'!$E$6)),if(and($F26=BA26,$G26=BB26),"0",if(($F26-$G26)*(BA26-BB26)&gt;0,0.5*'Thể lệ'!$E$6,'Thể lệ'!$E$6)))</f>
        <v>10000</v>
      </c>
      <c r="DG26" s="45"/>
      <c r="DH26" s="44">
        <f>if($F26=$G26,if(and($F26=$G26,BC26&lt;&gt;BD26),'Thể lệ'!$E$6,if($F26=BC26,0,0.5*'Thể lệ'!$E$6)),if(and($F26=BC26,$G26=BD26),"0",if(($F26-$G26)*(BC26-BD26)&gt;0,0.5*'Thể lệ'!$E$6,'Thể lệ'!$E$6)))</f>
        <v>10000</v>
      </c>
      <c r="DI26" s="45"/>
      <c r="DJ26" s="44">
        <f>if($F26=$G26,if(and($F26=$G26,BE26&lt;&gt;BF26),'Thể lệ'!$E$6,if($F26=BE26,0,0.5*'Thể lệ'!$E$6)),if(and($F26=BE26,$G26=BF26),"0",if(($F26-$G26)*(BE26-BF26)&gt;0,0.5*'Thể lệ'!$E$6,'Thể lệ'!$E$6)))</f>
        <v>10000</v>
      </c>
      <c r="DK26" s="45"/>
      <c r="DL26" s="43">
        <f>if($F26=$G26,if(and($F26=$G26,BG26&lt;&gt;BH26),'Thể lệ'!$E$6,if($F26=BG26,0,0.5*'Thể lệ'!$E$6)),if(and($F26=BG26,$G26=BH26),"0",if(($F26-$G26)*(BG26-BH26)&gt;0,0.5*'Thể lệ'!$E$6,'Thể lệ'!$E$6)))</f>
        <v>0</v>
      </c>
      <c r="DM26" s="45"/>
      <c r="DN26" s="44">
        <f>if($F26=$G26,if(and($F26=$G26,BI26&lt;&gt;BJ26),'Thể lệ'!$E$6,if($F26=BI26,0,0.5*'Thể lệ'!$E$6)),if(and($F26=BI26,$G26=BJ26),"0",if(($F26-$G26)*(BI26-BJ26)&gt;0,0.5*'Thể lệ'!$E$6,'Thể lệ'!$E$6)))</f>
        <v>10000</v>
      </c>
      <c r="DO26" s="45"/>
      <c r="DP26" s="8"/>
    </row>
    <row r="27">
      <c r="B27" s="22">
        <v>21.0</v>
      </c>
      <c r="C27" s="34">
        <v>46190.99999999999</v>
      </c>
      <c r="D27" s="49">
        <v>46190.99999999999</v>
      </c>
      <c r="E27" s="36" t="s">
        <v>72</v>
      </c>
      <c r="F27" s="23"/>
      <c r="G27" s="23"/>
      <c r="H27" s="36" t="s">
        <v>73</v>
      </c>
      <c r="I27" s="37"/>
      <c r="J27" s="37"/>
      <c r="K27" s="37"/>
      <c r="L27" s="37"/>
      <c r="M27" s="37"/>
      <c r="N27" s="37"/>
      <c r="O27" s="37"/>
      <c r="P27" s="37"/>
      <c r="Q27" s="37" t="str">
        <f t="shared" si="4"/>
        <v/>
      </c>
      <c r="R27" s="37" t="str">
        <f t="shared" si="6"/>
        <v/>
      </c>
      <c r="S27" s="37">
        <v>3.0</v>
      </c>
      <c r="T27" s="37">
        <v>0.0</v>
      </c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50"/>
      <c r="AN27" s="50"/>
      <c r="AO27" s="37">
        <v>2.0</v>
      </c>
      <c r="AP27" s="37">
        <v>0.0</v>
      </c>
      <c r="AQ27" s="37"/>
      <c r="AR27" s="37"/>
      <c r="AS27" s="40">
        <v>3.0</v>
      </c>
      <c r="AT27" s="40">
        <v>0.0</v>
      </c>
      <c r="AU27" s="37"/>
      <c r="AV27" s="37"/>
      <c r="AW27" s="37"/>
      <c r="AX27" s="37"/>
      <c r="AY27" s="37"/>
      <c r="AZ27" s="37"/>
      <c r="BA27" s="37"/>
      <c r="BB27" s="37"/>
      <c r="BC27" s="37">
        <v>3.0</v>
      </c>
      <c r="BD27" s="37">
        <v>0.0</v>
      </c>
      <c r="BE27" s="42"/>
      <c r="BF27" s="37"/>
      <c r="BG27" s="37"/>
      <c r="BH27" s="37"/>
      <c r="BI27" s="37">
        <f>H.Son!H27</f>
        <v>2</v>
      </c>
      <c r="BJ27" s="37">
        <f>H.Son!I27</f>
        <v>0</v>
      </c>
      <c r="BK27" s="37"/>
      <c r="BL27" s="37"/>
      <c r="BM27" s="9"/>
      <c r="BN27" s="43">
        <f>if($F27=$G27,if(and($F27=$G27,I27&lt;&gt;J27),'Thể lệ'!$E$6,if($F27=I27,0,0.5*'Thể lệ'!$E$6)),if(and($F27=I27,$G27=J27),"0",if(($F27-$G27)*(I27-J27)&gt;0,0.5*'Thể lệ'!$E$6,'Thể lệ'!$E$6)))</f>
        <v>0</v>
      </c>
      <c r="BO27" s="43"/>
      <c r="BP27" s="43">
        <f>if($F27=$G27,if(and($F27=$G27,K27&lt;&gt;L27),'Thể lệ'!$E$6,if($F27=K27,0,0.5*'Thể lệ'!$E$6)),if(and($F27=K27,$G27=L27),"0",if(($F27-$G27)*(K27-L27)&gt;0,0.5*'Thể lệ'!$E$6,'Thể lệ'!$E$6)))</f>
        <v>0</v>
      </c>
      <c r="BQ27" s="43"/>
      <c r="BR27" s="43">
        <f>if($F27=$G27,if(and($F27=$G27,M27&lt;&gt;N27),'Thể lệ'!$E$6,if($F27=M27,0,0.5*'Thể lệ'!$E$6)),if(and($F27=M27,$G27=N27),"0",if(($F27-$G27)*(M27-N27)&gt;0,0.5*'Thể lệ'!$E$6,'Thể lệ'!$E$6)))</f>
        <v>0</v>
      </c>
      <c r="BS27" s="43"/>
      <c r="BT27" s="43">
        <f>if($F27=$G27,if(and($F27=$G27,O27&lt;&gt;P27),'Thể lệ'!$E$6,if($F27=O27,0,0.5*'Thể lệ'!$E$6)),if(and($F27=O27,$G27=P27),"0",if(($F27-$G27)*(O27-P27)&gt;0,0.5*'Thể lệ'!$E$6,'Thể lệ'!$E$6)))</f>
        <v>0</v>
      </c>
      <c r="BU27" s="43"/>
      <c r="BV27" s="43">
        <f>if($F27=$G27,if(and($F27=$G27,Q27&lt;&gt;R27),'Thể lệ'!$E$6,if($F27=Q27,0,0.5*'Thể lệ'!$E$6)),if(and($F27=Q27,$G27=R27),"0",if(($F27-$G27)*(Q27-R27)&gt;0,0.5*'Thể lệ'!$E$6,'Thể lệ'!$E$6)))</f>
        <v>0</v>
      </c>
      <c r="BW27" s="43"/>
      <c r="BX27" s="44">
        <f>if($F27=$G27,if(and($F27=$G27,S27&lt;&gt;T27),'Thể lệ'!$E$6,if($F27=S27,0,0.5*'Thể lệ'!$E$6)),if(and($F27=S27,$G27=T27),"0",if(($F27-$G27)*(S27-T27)&gt;0,0.5*'Thể lệ'!$E$6,'Thể lệ'!$E$6)))</f>
        <v>10000</v>
      </c>
      <c r="BY27" s="43"/>
      <c r="BZ27" s="43">
        <f>if($F27=$G27,if(and($F27=$G27,U27&lt;&gt;V27),'Thể lệ'!$E$6,if($F27=U27,0,0.5*'Thể lệ'!$E$6)),if(and($F27=U27,$G27=V27),"0",if(($F27-$G27)*(U27-V27)&gt;0,0.5*'Thể lệ'!$E$6,'Thể lệ'!$E$6)))</f>
        <v>0</v>
      </c>
      <c r="CA27" s="43"/>
      <c r="CB27" s="43">
        <f>if($F27=$G27,if(and($F27=$G27,W27&lt;&gt;X27),'Thể lệ'!$E$6,if($F27=W27,0,0.5*'Thể lệ'!$E$6)),if(and($F27=W27,$G27=X27),"0",if(($F27-$G27)*(W27-X27)&gt;0,0.5*'Thể lệ'!$E$6,'Thể lệ'!$E$6)))</f>
        <v>0</v>
      </c>
      <c r="CC27" s="43"/>
      <c r="CD27" s="43">
        <f>if($F27=$G27,if(and($F27=$G27,Y27&lt;&gt;Z27),'Thể lệ'!$E$6,if($F27=Y27,0,0.5*'Thể lệ'!$E$6)),if(and($F27=Y27,$G27=Z27),"0",if(($F27-$G27)*(Y27-Z27)&gt;0,0.5*'Thể lệ'!$E$6,'Thể lệ'!$E$6)))</f>
        <v>0</v>
      </c>
      <c r="CE27" s="43"/>
      <c r="CF27" s="43">
        <f>if($F27=$G27,if(and($F27=$G27,AA27&lt;&gt;AB27),'Thể lệ'!$E$6,if($F27=AA27,0,0.5*'Thể lệ'!$E$6)),if(and($F27=AA27,$G27=AB27),"0",if(($F27-$G27)*(AA27-AB27)&gt;0,0.5*'Thể lệ'!$E$6,'Thể lệ'!$E$6)))</f>
        <v>0</v>
      </c>
      <c r="CG27" s="43"/>
      <c r="CH27" s="43">
        <f>if($F27=$G27,if(and($F27=$G27,AC27&lt;&gt;AD27),'Thể lệ'!$E$6,if($F27=AC27,0,0.5*'Thể lệ'!$E$6)),if(and($F27=AC27,$G27=AD27),"0",if(($F27-$G27)*(AC27-AD27)&gt;0,0.5*'Thể lệ'!$E$6,'Thể lệ'!$E$6)))</f>
        <v>0</v>
      </c>
      <c r="CI27" s="43"/>
      <c r="CJ27" s="43">
        <f>if($F27=$G27,if(and($F27=$G27,AE27&lt;&gt;AF27),'Thể lệ'!$E$6,if($F27=AE27,0,0.5*'Thể lệ'!$E$6)),if(and($F27=AE27,$G27=AF27),"0",if(($F27-$G27)*(AE27-AF27)&gt;0,0.5*'Thể lệ'!$E$6,'Thể lệ'!$E$6)))</f>
        <v>0</v>
      </c>
      <c r="CK27" s="43"/>
      <c r="CL27" s="43">
        <f>if($F27=$G27,if(and($F27=$G27,AG27&lt;&gt;AH27),'Thể lệ'!$E$6,if($F27=AG27,0,0.5*'Thể lệ'!$E$6)),if(and($F27=AG27,$G27=AH27),"0",if(($F27-$G27)*(AG27-AH27)&gt;0,0.5*'Thể lệ'!$E$6,'Thể lệ'!$E$6)))</f>
        <v>0</v>
      </c>
      <c r="CM27" s="43"/>
      <c r="CN27" s="43">
        <f>if($F27=$G27,if(and($F27=$G27,AI27&lt;&gt;AJ27),'Thể lệ'!$E$6,if($F27=AI27,0,0.5*'Thể lệ'!$E$6)),if(and($F27=AI27,$G27=AJ27),"0",if(($F27-$G27)*(AI27-AJ27)&gt;0,0.5*'Thể lệ'!$E$6,'Thể lệ'!$E$6)))</f>
        <v>0</v>
      </c>
      <c r="CO27" s="43"/>
      <c r="CP27" s="43">
        <f>if($F27=$G27,if(and($F27=$G27,AK27&lt;&gt;AL27),'Thể lệ'!$E$6,if($F27=AK27,0,0.5*'Thể lệ'!$E$6)),if(and($F27=AK27,$G27=AL27),"0",if(($F27-$G27)*(AK27-AL27)&gt;0,0.5*'Thể lệ'!$E$6,'Thể lệ'!$E$6)))</f>
        <v>0</v>
      </c>
      <c r="CQ27" s="43"/>
      <c r="CR27" s="43">
        <f>if($F27=$G27,if(and($F27=$G27,AM27&lt;&gt;AN27),'Thể lệ'!$E$6,if($F27=AM27,0,0.5*'Thể lệ'!$E$6)),if(and($F27=AM27,$G27=AN27),"0",if(($F27-$G27)*(AM27-AN27)&gt;0,0.5*'Thể lệ'!$E$6,'Thể lệ'!$E$6)))</f>
        <v>0</v>
      </c>
      <c r="CS27" s="43"/>
      <c r="CT27" s="44">
        <f>if($F27=$G27,if(and($F27=$G27,AO27&lt;&gt;AP27),'Thể lệ'!$E$6,if($F27=AO27,0,0.5*'Thể lệ'!$E$6)),if(and($F27=AO27,$G27=AP27),"0",if(($F27-$G27)*(AO27-AP27)&gt;0,0.5*'Thể lệ'!$E$6,'Thể lệ'!$E$6)))</f>
        <v>10000</v>
      </c>
      <c r="CU27" s="43"/>
      <c r="CV27" s="43">
        <f>if($F27=$G27,if(and($F27=$G27,AQ27&lt;&gt;AR27),'Thể lệ'!$E$6,if($F27=AQ27,0,0.5*'Thể lệ'!$E$6)),if(and($F27=AQ27,$G27=AR27),"0",if(($F27-$G27)*(AQ27-AR27)&gt;0,0.5*'Thể lệ'!$E$6,'Thể lệ'!$E$6)))</f>
        <v>0</v>
      </c>
      <c r="CW27" s="43"/>
      <c r="CX27" s="44">
        <f>if($F27=$G27,if(and($F27=$G27,AS27&lt;&gt;AT27),'Thể lệ'!$E$6,if($F27=AS27,0,0.5*'Thể lệ'!$E$6)),if(and($F27=AS27,$G27=AT27),"0",if(($F27-$G27)*(AS27-AT27)&gt;0,0.5*'Thể lệ'!$E$6,'Thể lệ'!$E$6)))</f>
        <v>10000</v>
      </c>
      <c r="CY27" s="45"/>
      <c r="CZ27" s="43">
        <f>if($F27=$G27,if(and($F27=$G27,AU27&lt;&gt;AV27),'Thể lệ'!$E$6,if($F27=AU27,0,0.5*'Thể lệ'!$E$6)),if(and($F27=AU27,$G27=AV27),"0",if(($F27-$G27)*(AU27-AV27)&gt;0,0.5*'Thể lệ'!$E$6,'Thể lệ'!$E$6)))</f>
        <v>0</v>
      </c>
      <c r="DA27" s="45"/>
      <c r="DB27" s="43">
        <f>if($F27=$G27,if(and($F27=$G27,AW27&lt;&gt;AX27),'Thể lệ'!$E$6,if($F27=AW27,0,0.5*'Thể lệ'!$E$6)),if(and($F27=AW27,$G27=AX27),"0",if(($F27-$G27)*(AW27-AX27)&gt;0,0.5*'Thể lệ'!$E$6,'Thể lệ'!$E$6)))</f>
        <v>0</v>
      </c>
      <c r="DC27" s="45"/>
      <c r="DD27" s="43">
        <f>if($F27=$G27,if(and($F27=$G27,AY27&lt;&gt;AZ27),'Thể lệ'!$E$6,if($F27=AY27,0,0.5*'Thể lệ'!$E$6)),if(and($F27=AY27,$G27=AZ27),"0",if(($F27-$G27)*(AY27-AZ27)&gt;0,0.5*'Thể lệ'!$E$6,'Thể lệ'!$E$6)))</f>
        <v>0</v>
      </c>
      <c r="DE27" s="45"/>
      <c r="DF27" s="43">
        <f>if($F27=$G27,if(and($F27=$G27,BA27&lt;&gt;BB27),'Thể lệ'!$E$6,if($F27=BA27,0,0.5*'Thể lệ'!$E$6)),if(and($F27=BA27,$G27=BB27),"0",if(($F27-$G27)*(BA27-BB27)&gt;0,0.5*'Thể lệ'!$E$6,'Thể lệ'!$E$6)))</f>
        <v>0</v>
      </c>
      <c r="DG27" s="45"/>
      <c r="DH27" s="44">
        <f>if($F27=$G27,if(and($F27=$G27,BC27&lt;&gt;BD27),'Thể lệ'!$E$6,if($F27=BC27,0,0.5*'Thể lệ'!$E$6)),if(and($F27=BC27,$G27=BD27),"0",if(($F27-$G27)*(BC27-BD27)&gt;0,0.5*'Thể lệ'!$E$6,'Thể lệ'!$E$6)))</f>
        <v>10000</v>
      </c>
      <c r="DI27" s="45"/>
      <c r="DJ27" s="43">
        <f>if($F27=$G27,if(and($F27=$G27,BE27&lt;&gt;BF27),'Thể lệ'!$E$6,if($F27=BE27,0,0.5*'Thể lệ'!$E$6)),if(and($F27=BE27,$G27=BF27),"0",if(($F27-$G27)*(BE27-BF27)&gt;0,0.5*'Thể lệ'!$E$6,'Thể lệ'!$E$6)))</f>
        <v>0</v>
      </c>
      <c r="DK27" s="45"/>
      <c r="DL27" s="43">
        <f>if($F27=$G27,if(and($F27=$G27,BG27&lt;&gt;BH27),'Thể lệ'!$E$6,if($F27=BG27,0,0.5*'Thể lệ'!$E$6)),if(and($F27=BG27,$G27=BH27),"0",if(($F27-$G27)*(BG27-BH27)&gt;0,0.5*'Thể lệ'!$E$6,'Thể lệ'!$E$6)))</f>
        <v>0</v>
      </c>
      <c r="DM27" s="45"/>
      <c r="DN27" s="44">
        <f>if($F27=$G27,if(and($F27=$G27,BI27&lt;&gt;BJ27),'Thể lệ'!$E$6,if($F27=BI27,0,0.5*'Thể lệ'!$E$6)),if(and($F27=BI27,$G27=BJ27),"0",if(($F27-$G27)*(BI27-BJ27)&gt;0,0.5*'Thể lệ'!$E$6,'Thể lệ'!$E$6)))</f>
        <v>10000</v>
      </c>
      <c r="DO27" s="45"/>
      <c r="DP27" s="8"/>
    </row>
    <row r="28">
      <c r="B28" s="22">
        <v>22.0</v>
      </c>
      <c r="C28" s="34">
        <v>46191.12499999999</v>
      </c>
      <c r="D28" s="49">
        <v>46191.12499999999</v>
      </c>
      <c r="E28" s="36" t="s">
        <v>74</v>
      </c>
      <c r="F28" s="23"/>
      <c r="G28" s="23"/>
      <c r="H28" s="36" t="s">
        <v>75</v>
      </c>
      <c r="I28" s="37"/>
      <c r="J28" s="37"/>
      <c r="K28" s="37"/>
      <c r="L28" s="37"/>
      <c r="M28" s="37"/>
      <c r="N28" s="37"/>
      <c r="O28" s="37"/>
      <c r="P28" s="37"/>
      <c r="Q28" s="37" t="str">
        <f t="shared" si="4"/>
        <v/>
      </c>
      <c r="R28" s="37" t="str">
        <f t="shared" si="6"/>
        <v/>
      </c>
      <c r="S28" s="37">
        <v>2.0</v>
      </c>
      <c r="T28" s="37">
        <v>1.0</v>
      </c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50"/>
      <c r="AN28" s="50"/>
      <c r="AO28" s="37">
        <v>1.0</v>
      </c>
      <c r="AP28" s="37">
        <v>1.0</v>
      </c>
      <c r="AQ28" s="37"/>
      <c r="AR28" s="37"/>
      <c r="AS28" s="40">
        <v>2.0</v>
      </c>
      <c r="AT28" s="40">
        <v>0.0</v>
      </c>
      <c r="AU28" s="37"/>
      <c r="AV28" s="37"/>
      <c r="AW28" s="37"/>
      <c r="AX28" s="37"/>
      <c r="AY28" s="37"/>
      <c r="AZ28" s="37"/>
      <c r="BA28" s="37"/>
      <c r="BB28" s="37"/>
      <c r="BC28" s="37">
        <v>2.0</v>
      </c>
      <c r="BD28" s="37">
        <v>0.0</v>
      </c>
      <c r="BE28" s="42"/>
      <c r="BF28" s="37"/>
      <c r="BG28" s="37"/>
      <c r="BH28" s="37"/>
      <c r="BI28" s="37">
        <f>H.Son!H28</f>
        <v>2</v>
      </c>
      <c r="BJ28" s="37">
        <f>H.Son!I28</f>
        <v>1</v>
      </c>
      <c r="BK28" s="37"/>
      <c r="BL28" s="37"/>
      <c r="BM28" s="9"/>
      <c r="BN28" s="43">
        <f>if($F28=$G28,if(and($F28=$G28,I28&lt;&gt;J28),'Thể lệ'!$E$6,if($F28=I28,0,0.5*'Thể lệ'!$E$6)),if(and($F28=I28,$G28=J28),"0",if(($F28-$G28)*(I28-J28)&gt;0,0.5*'Thể lệ'!$E$6,'Thể lệ'!$E$6)))</f>
        <v>0</v>
      </c>
      <c r="BO28" s="43"/>
      <c r="BP28" s="43">
        <f>if($F28=$G28,if(and($F28=$G28,K28&lt;&gt;L28),'Thể lệ'!$E$6,if($F28=K28,0,0.5*'Thể lệ'!$E$6)),if(and($F28=K28,$G28=L28),"0",if(($F28-$G28)*(K28-L28)&gt;0,0.5*'Thể lệ'!$E$6,'Thể lệ'!$E$6)))</f>
        <v>0</v>
      </c>
      <c r="BQ28" s="43"/>
      <c r="BR28" s="43">
        <f>if($F28=$G28,if(and($F28=$G28,M28&lt;&gt;N28),'Thể lệ'!$E$6,if($F28=M28,0,0.5*'Thể lệ'!$E$6)),if(and($F28=M28,$G28=N28),"0",if(($F28-$G28)*(M28-N28)&gt;0,0.5*'Thể lệ'!$E$6,'Thể lệ'!$E$6)))</f>
        <v>0</v>
      </c>
      <c r="BS28" s="43"/>
      <c r="BT28" s="43">
        <f>if($F28=$G28,if(and($F28=$G28,O28&lt;&gt;P28),'Thể lệ'!$E$6,if($F28=O28,0,0.5*'Thể lệ'!$E$6)),if(and($F28=O28,$G28=P28),"0",if(($F28-$G28)*(O28-P28)&gt;0,0.5*'Thể lệ'!$E$6,'Thể lệ'!$E$6)))</f>
        <v>0</v>
      </c>
      <c r="BU28" s="43"/>
      <c r="BV28" s="43">
        <f>if($F28=$G28,if(and($F28=$G28,Q28&lt;&gt;R28),'Thể lệ'!$E$6,if($F28=Q28,0,0.5*'Thể lệ'!$E$6)),if(and($F28=Q28,$G28=R28),"0",if(($F28-$G28)*(Q28-R28)&gt;0,0.5*'Thể lệ'!$E$6,'Thể lệ'!$E$6)))</f>
        <v>0</v>
      </c>
      <c r="BW28" s="43"/>
      <c r="BX28" s="44">
        <f>if($F28=$G28,if(and($F28=$G28,S28&lt;&gt;T28),'Thể lệ'!$E$6,if($F28=S28,0,0.5*'Thể lệ'!$E$6)),if(and($F28=S28,$G28=T28),"0",if(($F28-$G28)*(S28-T28)&gt;0,0.5*'Thể lệ'!$E$6,'Thể lệ'!$E$6)))</f>
        <v>10000</v>
      </c>
      <c r="BY28" s="43"/>
      <c r="BZ28" s="43">
        <f>if($F28=$G28,if(and($F28=$G28,U28&lt;&gt;V28),'Thể lệ'!$E$6,if($F28=U28,0,0.5*'Thể lệ'!$E$6)),if(and($F28=U28,$G28=V28),"0",if(($F28-$G28)*(U28-V28)&gt;0,0.5*'Thể lệ'!$E$6,'Thể lệ'!$E$6)))</f>
        <v>0</v>
      </c>
      <c r="CA28" s="43"/>
      <c r="CB28" s="43">
        <f>if($F28=$G28,if(and($F28=$G28,W28&lt;&gt;X28),'Thể lệ'!$E$6,if($F28=W28,0,0.5*'Thể lệ'!$E$6)),if(and($F28=W28,$G28=X28),"0",if(($F28-$G28)*(W28-X28)&gt;0,0.5*'Thể lệ'!$E$6,'Thể lệ'!$E$6)))</f>
        <v>0</v>
      </c>
      <c r="CC28" s="43"/>
      <c r="CD28" s="43">
        <f>if($F28=$G28,if(and($F28=$G28,Y28&lt;&gt;Z28),'Thể lệ'!$E$6,if($F28=Y28,0,0.5*'Thể lệ'!$E$6)),if(and($F28=Y28,$G28=Z28),"0",if(($F28-$G28)*(Y28-Z28)&gt;0,0.5*'Thể lệ'!$E$6,'Thể lệ'!$E$6)))</f>
        <v>0</v>
      </c>
      <c r="CE28" s="43"/>
      <c r="CF28" s="43">
        <f>if($F28=$G28,if(and($F28=$G28,AA28&lt;&gt;AB28),'Thể lệ'!$E$6,if($F28=AA28,0,0.5*'Thể lệ'!$E$6)),if(and($F28=AA28,$G28=AB28),"0",if(($F28-$G28)*(AA28-AB28)&gt;0,0.5*'Thể lệ'!$E$6,'Thể lệ'!$E$6)))</f>
        <v>0</v>
      </c>
      <c r="CG28" s="43"/>
      <c r="CH28" s="43">
        <f>if($F28=$G28,if(and($F28=$G28,AC28&lt;&gt;AD28),'Thể lệ'!$E$6,if($F28=AC28,0,0.5*'Thể lệ'!$E$6)),if(and($F28=AC28,$G28=AD28),"0",if(($F28-$G28)*(AC28-AD28)&gt;0,0.5*'Thể lệ'!$E$6,'Thể lệ'!$E$6)))</f>
        <v>0</v>
      </c>
      <c r="CI28" s="43"/>
      <c r="CJ28" s="43">
        <f>if($F28=$G28,if(and($F28=$G28,AE28&lt;&gt;AF28),'Thể lệ'!$E$6,if($F28=AE28,0,0.5*'Thể lệ'!$E$6)),if(and($F28=AE28,$G28=AF28),"0",if(($F28-$G28)*(AE28-AF28)&gt;0,0.5*'Thể lệ'!$E$6,'Thể lệ'!$E$6)))</f>
        <v>0</v>
      </c>
      <c r="CK28" s="43"/>
      <c r="CL28" s="43">
        <f>if($F28=$G28,if(and($F28=$G28,AG28&lt;&gt;AH28),'Thể lệ'!$E$6,if($F28=AG28,0,0.5*'Thể lệ'!$E$6)),if(and($F28=AG28,$G28=AH28),"0",if(($F28-$G28)*(AG28-AH28)&gt;0,0.5*'Thể lệ'!$E$6,'Thể lệ'!$E$6)))</f>
        <v>0</v>
      </c>
      <c r="CM28" s="43"/>
      <c r="CN28" s="43">
        <f>if($F28=$G28,if(and($F28=$G28,AI28&lt;&gt;AJ28),'Thể lệ'!$E$6,if($F28=AI28,0,0.5*'Thể lệ'!$E$6)),if(and($F28=AI28,$G28=AJ28),"0",if(($F28-$G28)*(AI28-AJ28)&gt;0,0.5*'Thể lệ'!$E$6,'Thể lệ'!$E$6)))</f>
        <v>0</v>
      </c>
      <c r="CO28" s="43"/>
      <c r="CP28" s="43">
        <f>if($F28=$G28,if(and($F28=$G28,AK28&lt;&gt;AL28),'Thể lệ'!$E$6,if($F28=AK28,0,0.5*'Thể lệ'!$E$6)),if(and($F28=AK28,$G28=AL28),"0",if(($F28-$G28)*(AK28-AL28)&gt;0,0.5*'Thể lệ'!$E$6,'Thể lệ'!$E$6)))</f>
        <v>0</v>
      </c>
      <c r="CQ28" s="43"/>
      <c r="CR28" s="43">
        <f>if($F28=$G28,if(and($F28=$G28,AM28&lt;&gt;AN28),'Thể lệ'!$E$6,if($F28=AM28,0,0.5*'Thể lệ'!$E$6)),if(and($F28=AM28,$G28=AN28),"0",if(($F28-$G28)*(AM28-AN28)&gt;0,0.5*'Thể lệ'!$E$6,'Thể lệ'!$E$6)))</f>
        <v>0</v>
      </c>
      <c r="CS28" s="43"/>
      <c r="CT28" s="44">
        <f>if($F28=$G28,if(and($F28=$G28,AO28&lt;&gt;AP28),'Thể lệ'!$E$6,if($F28=AO28,0,0.5*'Thể lệ'!$E$6)),if(and($F28=AO28,$G28=AP28),"0",if(($F28-$G28)*(AO28-AP28)&gt;0,0.5*'Thể lệ'!$E$6,'Thể lệ'!$E$6)))</f>
        <v>5000</v>
      </c>
      <c r="CU28" s="43"/>
      <c r="CV28" s="43">
        <f>if($F28=$G28,if(and($F28=$G28,AQ28&lt;&gt;AR28),'Thể lệ'!$E$6,if($F28=AQ28,0,0.5*'Thể lệ'!$E$6)),if(and($F28=AQ28,$G28=AR28),"0",if(($F28-$G28)*(AQ28-AR28)&gt;0,0.5*'Thể lệ'!$E$6,'Thể lệ'!$E$6)))</f>
        <v>0</v>
      </c>
      <c r="CW28" s="43"/>
      <c r="CX28" s="44">
        <f>if($F28=$G28,if(and($F28=$G28,AS28&lt;&gt;AT28),'Thể lệ'!$E$6,if($F28=AS28,0,0.5*'Thể lệ'!$E$6)),if(and($F28=AS28,$G28=AT28),"0",if(($F28-$G28)*(AS28-AT28)&gt;0,0.5*'Thể lệ'!$E$6,'Thể lệ'!$E$6)))</f>
        <v>10000</v>
      </c>
      <c r="CY28" s="45"/>
      <c r="CZ28" s="43">
        <f>if($F28=$G28,if(and($F28=$G28,AU28&lt;&gt;AV28),'Thể lệ'!$E$6,if($F28=AU28,0,0.5*'Thể lệ'!$E$6)),if(and($F28=AU28,$G28=AV28),"0",if(($F28-$G28)*(AU28-AV28)&gt;0,0.5*'Thể lệ'!$E$6,'Thể lệ'!$E$6)))</f>
        <v>0</v>
      </c>
      <c r="DA28" s="45"/>
      <c r="DB28" s="43">
        <f>if($F28=$G28,if(and($F28=$G28,AW28&lt;&gt;AX28),'Thể lệ'!$E$6,if($F28=AW28,0,0.5*'Thể lệ'!$E$6)),if(and($F28=AW28,$G28=AX28),"0",if(($F28-$G28)*(AW28-AX28)&gt;0,0.5*'Thể lệ'!$E$6,'Thể lệ'!$E$6)))</f>
        <v>0</v>
      </c>
      <c r="DC28" s="45"/>
      <c r="DD28" s="43">
        <f>if($F28=$G28,if(and($F28=$G28,AY28&lt;&gt;AZ28),'Thể lệ'!$E$6,if($F28=AY28,0,0.5*'Thể lệ'!$E$6)),if(and($F28=AY28,$G28=AZ28),"0",if(($F28-$G28)*(AY28-AZ28)&gt;0,0.5*'Thể lệ'!$E$6,'Thể lệ'!$E$6)))</f>
        <v>0</v>
      </c>
      <c r="DE28" s="45"/>
      <c r="DF28" s="43">
        <f>if($F28=$G28,if(and($F28=$G28,BA28&lt;&gt;BB28),'Thể lệ'!$E$6,if($F28=BA28,0,0.5*'Thể lệ'!$E$6)),if(and($F28=BA28,$G28=BB28),"0",if(($F28-$G28)*(BA28-BB28)&gt;0,0.5*'Thể lệ'!$E$6,'Thể lệ'!$E$6)))</f>
        <v>0</v>
      </c>
      <c r="DG28" s="45"/>
      <c r="DH28" s="44">
        <f>if($F28=$G28,if(and($F28=$G28,BC28&lt;&gt;BD28),'Thể lệ'!$E$6,if($F28=BC28,0,0.5*'Thể lệ'!$E$6)),if(and($F28=BC28,$G28=BD28),"0",if(($F28-$G28)*(BC28-BD28)&gt;0,0.5*'Thể lệ'!$E$6,'Thể lệ'!$E$6)))</f>
        <v>10000</v>
      </c>
      <c r="DI28" s="45"/>
      <c r="DJ28" s="43">
        <f>if($F28=$G28,if(and($F28=$G28,BE28&lt;&gt;BF28),'Thể lệ'!$E$6,if($F28=BE28,0,0.5*'Thể lệ'!$E$6)),if(and($F28=BE28,$G28=BF28),"0",if(($F28-$G28)*(BE28-BF28)&gt;0,0.5*'Thể lệ'!$E$6,'Thể lệ'!$E$6)))</f>
        <v>0</v>
      </c>
      <c r="DK28" s="45"/>
      <c r="DL28" s="43">
        <f>if($F28=$G28,if(and($F28=$G28,BG28&lt;&gt;BH28),'Thể lệ'!$E$6,if($F28=BG28,0,0.5*'Thể lệ'!$E$6)),if(and($F28=BG28,$G28=BH28),"0",if(($F28-$G28)*(BG28-BH28)&gt;0,0.5*'Thể lệ'!$E$6,'Thể lệ'!$E$6)))</f>
        <v>0</v>
      </c>
      <c r="DM28" s="45"/>
      <c r="DN28" s="44">
        <f>if($F28=$G28,if(and($F28=$G28,BI28&lt;&gt;BJ28),'Thể lệ'!$E$6,if($F28=BI28,0,0.5*'Thể lệ'!$E$6)),if(and($F28=BI28,$G28=BJ28),"0",if(($F28-$G28)*(BI28-BJ28)&gt;0,0.5*'Thể lệ'!$E$6,'Thể lệ'!$E$6)))</f>
        <v>10000</v>
      </c>
      <c r="DO28" s="45"/>
      <c r="DP28" s="8"/>
    </row>
    <row r="29">
      <c r="B29" s="22">
        <v>23.0</v>
      </c>
      <c r="C29" s="34">
        <v>46191.24999999999</v>
      </c>
      <c r="D29" s="49">
        <v>46191.24999999999</v>
      </c>
      <c r="E29" s="36" t="s">
        <v>76</v>
      </c>
      <c r="F29" s="23"/>
      <c r="G29" s="23"/>
      <c r="H29" s="36" t="s">
        <v>77</v>
      </c>
      <c r="I29" s="37"/>
      <c r="J29" s="37"/>
      <c r="K29" s="37"/>
      <c r="L29" s="37"/>
      <c r="M29" s="37"/>
      <c r="N29" s="37"/>
      <c r="O29" s="37"/>
      <c r="P29" s="37"/>
      <c r="Q29" s="37" t="str">
        <f t="shared" si="4"/>
        <v/>
      </c>
      <c r="R29" s="37" t="str">
        <f t="shared" si="6"/>
        <v/>
      </c>
      <c r="S29" s="37">
        <v>2.0</v>
      </c>
      <c r="T29" s="37">
        <v>1.0</v>
      </c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50"/>
      <c r="AN29" s="50"/>
      <c r="AO29" s="37">
        <v>2.0</v>
      </c>
      <c r="AP29" s="37">
        <v>2.0</v>
      </c>
      <c r="AQ29" s="37"/>
      <c r="AR29" s="37"/>
      <c r="AS29" s="40">
        <v>1.0</v>
      </c>
      <c r="AT29" s="40">
        <v>1.0</v>
      </c>
      <c r="AU29" s="37"/>
      <c r="AV29" s="37"/>
      <c r="AW29" s="37"/>
      <c r="AX29" s="37"/>
      <c r="AY29" s="37"/>
      <c r="AZ29" s="37"/>
      <c r="BA29" s="37"/>
      <c r="BB29" s="37"/>
      <c r="BC29" s="37">
        <v>2.0</v>
      </c>
      <c r="BD29" s="37">
        <v>0.0</v>
      </c>
      <c r="BE29" s="42"/>
      <c r="BF29" s="37"/>
      <c r="BG29" s="37"/>
      <c r="BH29" s="37"/>
      <c r="BI29" s="37">
        <f>H.Son!H29</f>
        <v>1</v>
      </c>
      <c r="BJ29" s="37">
        <f>H.Son!I29</f>
        <v>0</v>
      </c>
      <c r="BK29" s="37"/>
      <c r="BL29" s="37"/>
      <c r="BM29" s="9"/>
      <c r="BN29" s="43">
        <f>if($F29=$G29,if(and($F29=$G29,I29&lt;&gt;J29),'Thể lệ'!$E$6,if($F29=I29,0,0.5*'Thể lệ'!$E$6)),if(and($F29=I29,$G29=J29),"0",if(($F29-$G29)*(I29-J29)&gt;0,0.5*'Thể lệ'!$E$6,'Thể lệ'!$E$6)))</f>
        <v>0</v>
      </c>
      <c r="BO29" s="43"/>
      <c r="BP29" s="43">
        <f>if($F29=$G29,if(and($F29=$G29,K29&lt;&gt;L29),'Thể lệ'!$E$6,if($F29=K29,0,0.5*'Thể lệ'!$E$6)),if(and($F29=K29,$G29=L29),"0",if(($F29-$G29)*(K29-L29)&gt;0,0.5*'Thể lệ'!$E$6,'Thể lệ'!$E$6)))</f>
        <v>0</v>
      </c>
      <c r="BQ29" s="43"/>
      <c r="BR29" s="43">
        <f>if($F29=$G29,if(and($F29=$G29,M29&lt;&gt;N29),'Thể lệ'!$E$6,if($F29=M29,0,0.5*'Thể lệ'!$E$6)),if(and($F29=M29,$G29=N29),"0",if(($F29-$G29)*(M29-N29)&gt;0,0.5*'Thể lệ'!$E$6,'Thể lệ'!$E$6)))</f>
        <v>0</v>
      </c>
      <c r="BS29" s="43"/>
      <c r="BT29" s="43">
        <f>if($F29=$G29,if(and($F29=$G29,O29&lt;&gt;P29),'Thể lệ'!$E$6,if($F29=O29,0,0.5*'Thể lệ'!$E$6)),if(and($F29=O29,$G29=P29),"0",if(($F29-$G29)*(O29-P29)&gt;0,0.5*'Thể lệ'!$E$6,'Thể lệ'!$E$6)))</f>
        <v>0</v>
      </c>
      <c r="BU29" s="43"/>
      <c r="BV29" s="43">
        <f>if($F29=$G29,if(and($F29=$G29,Q29&lt;&gt;R29),'Thể lệ'!$E$6,if($F29=Q29,0,0.5*'Thể lệ'!$E$6)),if(and($F29=Q29,$G29=R29),"0",if(($F29-$G29)*(Q29-R29)&gt;0,0.5*'Thể lệ'!$E$6,'Thể lệ'!$E$6)))</f>
        <v>0</v>
      </c>
      <c r="BW29" s="43"/>
      <c r="BX29" s="44">
        <f>if($F29=$G29,if(and($F29=$G29,S29&lt;&gt;T29),'Thể lệ'!$E$6,if($F29=S29,0,0.5*'Thể lệ'!$E$6)),if(and($F29=S29,$G29=T29),"0",if(($F29-$G29)*(S29-T29)&gt;0,0.5*'Thể lệ'!$E$6,'Thể lệ'!$E$6)))</f>
        <v>10000</v>
      </c>
      <c r="BY29" s="43"/>
      <c r="BZ29" s="43">
        <f>if($F29=$G29,if(and($F29=$G29,U29&lt;&gt;V29),'Thể lệ'!$E$6,if($F29=U29,0,0.5*'Thể lệ'!$E$6)),if(and($F29=U29,$G29=V29),"0",if(($F29-$G29)*(U29-V29)&gt;0,0.5*'Thể lệ'!$E$6,'Thể lệ'!$E$6)))</f>
        <v>0</v>
      </c>
      <c r="CA29" s="43"/>
      <c r="CB29" s="43">
        <f>if($F29=$G29,if(and($F29=$G29,W29&lt;&gt;X29),'Thể lệ'!$E$6,if($F29=W29,0,0.5*'Thể lệ'!$E$6)),if(and($F29=W29,$G29=X29),"0",if(($F29-$G29)*(W29-X29)&gt;0,0.5*'Thể lệ'!$E$6,'Thể lệ'!$E$6)))</f>
        <v>0</v>
      </c>
      <c r="CC29" s="43"/>
      <c r="CD29" s="43">
        <f>if($F29=$G29,if(and($F29=$G29,Y29&lt;&gt;Z29),'Thể lệ'!$E$6,if($F29=Y29,0,0.5*'Thể lệ'!$E$6)),if(and($F29=Y29,$G29=Z29),"0",if(($F29-$G29)*(Y29-Z29)&gt;0,0.5*'Thể lệ'!$E$6,'Thể lệ'!$E$6)))</f>
        <v>0</v>
      </c>
      <c r="CE29" s="43"/>
      <c r="CF29" s="43">
        <f>if($F29=$G29,if(and($F29=$G29,AA29&lt;&gt;AB29),'Thể lệ'!$E$6,if($F29=AA29,0,0.5*'Thể lệ'!$E$6)),if(and($F29=AA29,$G29=AB29),"0",if(($F29-$G29)*(AA29-AB29)&gt;0,0.5*'Thể lệ'!$E$6,'Thể lệ'!$E$6)))</f>
        <v>0</v>
      </c>
      <c r="CG29" s="43"/>
      <c r="CH29" s="43">
        <f>if($F29=$G29,if(and($F29=$G29,AC29&lt;&gt;AD29),'Thể lệ'!$E$6,if($F29=AC29,0,0.5*'Thể lệ'!$E$6)),if(and($F29=AC29,$G29=AD29),"0",if(($F29-$G29)*(AC29-AD29)&gt;0,0.5*'Thể lệ'!$E$6,'Thể lệ'!$E$6)))</f>
        <v>0</v>
      </c>
      <c r="CI29" s="43"/>
      <c r="CJ29" s="43">
        <f>if($F29=$G29,if(and($F29=$G29,AE29&lt;&gt;AF29),'Thể lệ'!$E$6,if($F29=AE29,0,0.5*'Thể lệ'!$E$6)),if(and($F29=AE29,$G29=AF29),"0",if(($F29-$G29)*(AE29-AF29)&gt;0,0.5*'Thể lệ'!$E$6,'Thể lệ'!$E$6)))</f>
        <v>0</v>
      </c>
      <c r="CK29" s="43"/>
      <c r="CL29" s="43">
        <f>if($F29=$G29,if(and($F29=$G29,AG29&lt;&gt;AH29),'Thể lệ'!$E$6,if($F29=AG29,0,0.5*'Thể lệ'!$E$6)),if(and($F29=AG29,$G29=AH29),"0",if(($F29-$G29)*(AG29-AH29)&gt;0,0.5*'Thể lệ'!$E$6,'Thể lệ'!$E$6)))</f>
        <v>0</v>
      </c>
      <c r="CM29" s="43"/>
      <c r="CN29" s="43">
        <f>if($F29=$G29,if(and($F29=$G29,AI29&lt;&gt;AJ29),'Thể lệ'!$E$6,if($F29=AI29,0,0.5*'Thể lệ'!$E$6)),if(and($F29=AI29,$G29=AJ29),"0",if(($F29-$G29)*(AI29-AJ29)&gt;0,0.5*'Thể lệ'!$E$6,'Thể lệ'!$E$6)))</f>
        <v>0</v>
      </c>
      <c r="CO29" s="43"/>
      <c r="CP29" s="43">
        <f>if($F29=$G29,if(and($F29=$G29,AK29&lt;&gt;AL29),'Thể lệ'!$E$6,if($F29=AK29,0,0.5*'Thể lệ'!$E$6)),if(and($F29=AK29,$G29=AL29),"0",if(($F29-$G29)*(AK29-AL29)&gt;0,0.5*'Thể lệ'!$E$6,'Thể lệ'!$E$6)))</f>
        <v>0</v>
      </c>
      <c r="CQ29" s="43"/>
      <c r="CR29" s="43">
        <f>if($F29=$G29,if(and($F29=$G29,AM29&lt;&gt;AN29),'Thể lệ'!$E$6,if($F29=AM29,0,0.5*'Thể lệ'!$E$6)),if(and($F29=AM29,$G29=AN29),"0",if(($F29-$G29)*(AM29-AN29)&gt;0,0.5*'Thể lệ'!$E$6,'Thể lệ'!$E$6)))</f>
        <v>0</v>
      </c>
      <c r="CS29" s="43"/>
      <c r="CT29" s="44">
        <f>if($F29=$G29,if(and($F29=$G29,AO29&lt;&gt;AP29),'Thể lệ'!$E$6,if($F29=AO29,0,0.5*'Thể lệ'!$E$6)),if(and($F29=AO29,$G29=AP29),"0",if(($F29-$G29)*(AO29-AP29)&gt;0,0.5*'Thể lệ'!$E$6,'Thể lệ'!$E$6)))</f>
        <v>5000</v>
      </c>
      <c r="CU29" s="43"/>
      <c r="CV29" s="43">
        <f>if($F29=$G29,if(and($F29=$G29,AQ29&lt;&gt;AR29),'Thể lệ'!$E$6,if($F29=AQ29,0,0.5*'Thể lệ'!$E$6)),if(and($F29=AQ29,$G29=AR29),"0",if(($F29-$G29)*(AQ29-AR29)&gt;0,0.5*'Thể lệ'!$E$6,'Thể lệ'!$E$6)))</f>
        <v>0</v>
      </c>
      <c r="CW29" s="43"/>
      <c r="CX29" s="44">
        <f>if($F29=$G29,if(and($F29=$G29,AS29&lt;&gt;AT29),'Thể lệ'!$E$6,if($F29=AS29,0,0.5*'Thể lệ'!$E$6)),if(and($F29=AS29,$G29=AT29),"0",if(($F29-$G29)*(AS29-AT29)&gt;0,0.5*'Thể lệ'!$E$6,'Thể lệ'!$E$6)))</f>
        <v>5000</v>
      </c>
      <c r="CY29" s="45"/>
      <c r="CZ29" s="43">
        <f>if($F29=$G29,if(and($F29=$G29,AU29&lt;&gt;AV29),'Thể lệ'!$E$6,if($F29=AU29,0,0.5*'Thể lệ'!$E$6)),if(and($F29=AU29,$G29=AV29),"0",if(($F29-$G29)*(AU29-AV29)&gt;0,0.5*'Thể lệ'!$E$6,'Thể lệ'!$E$6)))</f>
        <v>0</v>
      </c>
      <c r="DA29" s="45"/>
      <c r="DB29" s="43">
        <f>if($F29=$G29,if(and($F29=$G29,AW29&lt;&gt;AX29),'Thể lệ'!$E$6,if($F29=AW29,0,0.5*'Thể lệ'!$E$6)),if(and($F29=AW29,$G29=AX29),"0",if(($F29-$G29)*(AW29-AX29)&gt;0,0.5*'Thể lệ'!$E$6,'Thể lệ'!$E$6)))</f>
        <v>0</v>
      </c>
      <c r="DC29" s="45"/>
      <c r="DD29" s="43">
        <f>if($F29=$G29,if(and($F29=$G29,AY29&lt;&gt;AZ29),'Thể lệ'!$E$6,if($F29=AY29,0,0.5*'Thể lệ'!$E$6)),if(and($F29=AY29,$G29=AZ29),"0",if(($F29-$G29)*(AY29-AZ29)&gt;0,0.5*'Thể lệ'!$E$6,'Thể lệ'!$E$6)))</f>
        <v>0</v>
      </c>
      <c r="DE29" s="45"/>
      <c r="DF29" s="43">
        <f>if($F29=$G29,if(and($F29=$G29,BA29&lt;&gt;BB29),'Thể lệ'!$E$6,if($F29=BA29,0,0.5*'Thể lệ'!$E$6)),if(and($F29=BA29,$G29=BB29),"0",if(($F29-$G29)*(BA29-BB29)&gt;0,0.5*'Thể lệ'!$E$6,'Thể lệ'!$E$6)))</f>
        <v>0</v>
      </c>
      <c r="DG29" s="45"/>
      <c r="DH29" s="44">
        <f>if($F29=$G29,if(and($F29=$G29,BC29&lt;&gt;BD29),'Thể lệ'!$E$6,if($F29=BC29,0,0.5*'Thể lệ'!$E$6)),if(and($F29=BC29,$G29=BD29),"0",if(($F29-$G29)*(BC29-BD29)&gt;0,0.5*'Thể lệ'!$E$6,'Thể lệ'!$E$6)))</f>
        <v>10000</v>
      </c>
      <c r="DI29" s="45"/>
      <c r="DJ29" s="43">
        <f>if($F29=$G29,if(and($F29=$G29,BE29&lt;&gt;BF29),'Thể lệ'!$E$6,if($F29=BE29,0,0.5*'Thể lệ'!$E$6)),if(and($F29=BE29,$G29=BF29),"0",if(($F29-$G29)*(BE29-BF29)&gt;0,0.5*'Thể lệ'!$E$6,'Thể lệ'!$E$6)))</f>
        <v>0</v>
      </c>
      <c r="DK29" s="45"/>
      <c r="DL29" s="43">
        <f>if($F29=$G29,if(and($F29=$G29,BG29&lt;&gt;BH29),'Thể lệ'!$E$6,if($F29=BG29,0,0.5*'Thể lệ'!$E$6)),if(and($F29=BG29,$G29=BH29),"0",if(($F29-$G29)*(BG29-BH29)&gt;0,0.5*'Thể lệ'!$E$6,'Thể lệ'!$E$6)))</f>
        <v>0</v>
      </c>
      <c r="DM29" s="45"/>
      <c r="DN29" s="44">
        <f>if($F29=$G29,if(and($F29=$G29,BI29&lt;&gt;BJ29),'Thể lệ'!$E$6,if($F29=BI29,0,0.5*'Thể lệ'!$E$6)),if(and($F29=BI29,$G29=BJ29),"0",if(($F29-$G29)*(BI29-BJ29)&gt;0,0.5*'Thể lệ'!$E$6,'Thể lệ'!$E$6)))</f>
        <v>10000</v>
      </c>
      <c r="DO29" s="45"/>
      <c r="DP29" s="8"/>
    </row>
    <row r="30">
      <c r="B30" s="22">
        <v>24.0</v>
      </c>
      <c r="C30" s="34">
        <v>46191.37499999999</v>
      </c>
      <c r="D30" s="49">
        <v>46191.37499999999</v>
      </c>
      <c r="E30" s="36" t="s">
        <v>78</v>
      </c>
      <c r="F30" s="23"/>
      <c r="G30" s="23"/>
      <c r="H30" s="36" t="s">
        <v>79</v>
      </c>
      <c r="I30" s="37"/>
      <c r="J30" s="37"/>
      <c r="K30" s="37"/>
      <c r="L30" s="37"/>
      <c r="M30" s="37"/>
      <c r="N30" s="37"/>
      <c r="O30" s="37"/>
      <c r="P30" s="37"/>
      <c r="Q30" s="37" t="str">
        <f t="shared" si="4"/>
        <v/>
      </c>
      <c r="R30" s="37" t="str">
        <f t="shared" si="6"/>
        <v/>
      </c>
      <c r="S30" s="37">
        <v>0.0</v>
      </c>
      <c r="T30" s="37">
        <v>2.0</v>
      </c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50"/>
      <c r="AN30" s="50"/>
      <c r="AO30" s="37">
        <v>1.0</v>
      </c>
      <c r="AP30" s="37">
        <v>1.0</v>
      </c>
      <c r="AQ30" s="37"/>
      <c r="AR30" s="37"/>
      <c r="AS30" s="40">
        <v>0.0</v>
      </c>
      <c r="AT30" s="40">
        <v>3.0</v>
      </c>
      <c r="AU30" s="37"/>
      <c r="AV30" s="37"/>
      <c r="AW30" s="37"/>
      <c r="AX30" s="37"/>
      <c r="AY30" s="37"/>
      <c r="AZ30" s="37"/>
      <c r="BA30" s="37"/>
      <c r="BB30" s="37"/>
      <c r="BC30" s="37">
        <v>0.0</v>
      </c>
      <c r="BD30" s="37">
        <v>3.0</v>
      </c>
      <c r="BE30" s="42"/>
      <c r="BF30" s="37"/>
      <c r="BG30" s="37"/>
      <c r="BH30" s="37"/>
      <c r="BI30" s="37">
        <f>H.Son!H30</f>
        <v>0</v>
      </c>
      <c r="BJ30" s="37">
        <f>H.Son!I30</f>
        <v>2</v>
      </c>
      <c r="BK30" s="37"/>
      <c r="BL30" s="37"/>
      <c r="BM30" s="9"/>
      <c r="BN30" s="43">
        <f>if($F30=$G30,if(and($F30=$G30,I30&lt;&gt;J30),'Thể lệ'!$E$6,if($F30=I30,0,0.5*'Thể lệ'!$E$6)),if(and($F30=I30,$G30=J30),"0",if(($F30-$G30)*(I30-J30)&gt;0,0.5*'Thể lệ'!$E$6,'Thể lệ'!$E$6)))</f>
        <v>0</v>
      </c>
      <c r="BO30" s="43"/>
      <c r="BP30" s="43">
        <f>if($F30=$G30,if(and($F30=$G30,K30&lt;&gt;L30),'Thể lệ'!$E$6,if($F30=K30,0,0.5*'Thể lệ'!$E$6)),if(and($F30=K30,$G30=L30),"0",if(($F30-$G30)*(K30-L30)&gt;0,0.5*'Thể lệ'!$E$6,'Thể lệ'!$E$6)))</f>
        <v>0</v>
      </c>
      <c r="BQ30" s="43"/>
      <c r="BR30" s="43">
        <f>if($F30=$G30,if(and($F30=$G30,M30&lt;&gt;N30),'Thể lệ'!$E$6,if($F30=M30,0,0.5*'Thể lệ'!$E$6)),if(and($F30=M30,$G30=N30),"0",if(($F30-$G30)*(M30-N30)&gt;0,0.5*'Thể lệ'!$E$6,'Thể lệ'!$E$6)))</f>
        <v>0</v>
      </c>
      <c r="BS30" s="43"/>
      <c r="BT30" s="43">
        <f>if($F30=$G30,if(and($F30=$G30,O30&lt;&gt;P30),'Thể lệ'!$E$6,if($F30=O30,0,0.5*'Thể lệ'!$E$6)),if(and($F30=O30,$G30=P30),"0",if(($F30-$G30)*(O30-P30)&gt;0,0.5*'Thể lệ'!$E$6,'Thể lệ'!$E$6)))</f>
        <v>0</v>
      </c>
      <c r="BU30" s="43"/>
      <c r="BV30" s="43">
        <f>if($F30=$G30,if(and($F30=$G30,Q30&lt;&gt;R30),'Thể lệ'!$E$6,if($F30=Q30,0,0.5*'Thể lệ'!$E$6)),if(and($F30=Q30,$G30=R30),"0",if(($F30-$G30)*(Q30-R30)&gt;0,0.5*'Thể lệ'!$E$6,'Thể lệ'!$E$6)))</f>
        <v>0</v>
      </c>
      <c r="BW30" s="43"/>
      <c r="BX30" s="44">
        <f>if($F30=$G30,if(and($F30=$G30,S30&lt;&gt;T30),'Thể lệ'!$E$6,if($F30=S30,0,0.5*'Thể lệ'!$E$6)),if(and($F30=S30,$G30=T30),"0",if(($F30-$G30)*(S30-T30)&gt;0,0.5*'Thể lệ'!$E$6,'Thể lệ'!$E$6)))</f>
        <v>10000</v>
      </c>
      <c r="BY30" s="43"/>
      <c r="BZ30" s="43">
        <f>if($F30=$G30,if(and($F30=$G30,U30&lt;&gt;V30),'Thể lệ'!$E$6,if($F30=U30,0,0.5*'Thể lệ'!$E$6)),if(and($F30=U30,$G30=V30),"0",if(($F30-$G30)*(U30-V30)&gt;0,0.5*'Thể lệ'!$E$6,'Thể lệ'!$E$6)))</f>
        <v>0</v>
      </c>
      <c r="CA30" s="43"/>
      <c r="CB30" s="43">
        <f>if($F30=$G30,if(and($F30=$G30,W30&lt;&gt;X30),'Thể lệ'!$E$6,if($F30=W30,0,0.5*'Thể lệ'!$E$6)),if(and($F30=W30,$G30=X30),"0",if(($F30-$G30)*(W30-X30)&gt;0,0.5*'Thể lệ'!$E$6,'Thể lệ'!$E$6)))</f>
        <v>0</v>
      </c>
      <c r="CC30" s="43"/>
      <c r="CD30" s="43">
        <f>if($F30=$G30,if(and($F30=$G30,Y30&lt;&gt;Z30),'Thể lệ'!$E$6,if($F30=Y30,0,0.5*'Thể lệ'!$E$6)),if(and($F30=Y30,$G30=Z30),"0",if(($F30-$G30)*(Y30-Z30)&gt;0,0.5*'Thể lệ'!$E$6,'Thể lệ'!$E$6)))</f>
        <v>0</v>
      </c>
      <c r="CE30" s="43"/>
      <c r="CF30" s="43">
        <f>if($F30=$G30,if(and($F30=$G30,AA30&lt;&gt;AB30),'Thể lệ'!$E$6,if($F30=AA30,0,0.5*'Thể lệ'!$E$6)),if(and($F30=AA30,$G30=AB30),"0",if(($F30-$G30)*(AA30-AB30)&gt;0,0.5*'Thể lệ'!$E$6,'Thể lệ'!$E$6)))</f>
        <v>0</v>
      </c>
      <c r="CG30" s="43"/>
      <c r="CH30" s="43">
        <f>if($F30=$G30,if(and($F30=$G30,AC30&lt;&gt;AD30),'Thể lệ'!$E$6,if($F30=AC30,0,0.5*'Thể lệ'!$E$6)),if(and($F30=AC30,$G30=AD30),"0",if(($F30-$G30)*(AC30-AD30)&gt;0,0.5*'Thể lệ'!$E$6,'Thể lệ'!$E$6)))</f>
        <v>0</v>
      </c>
      <c r="CI30" s="43"/>
      <c r="CJ30" s="43">
        <f>if($F30=$G30,if(and($F30=$G30,AE30&lt;&gt;AF30),'Thể lệ'!$E$6,if($F30=AE30,0,0.5*'Thể lệ'!$E$6)),if(and($F30=AE30,$G30=AF30),"0",if(($F30-$G30)*(AE30-AF30)&gt;0,0.5*'Thể lệ'!$E$6,'Thể lệ'!$E$6)))</f>
        <v>0</v>
      </c>
      <c r="CK30" s="43"/>
      <c r="CL30" s="43">
        <f>if($F30=$G30,if(and($F30=$G30,AG30&lt;&gt;AH30),'Thể lệ'!$E$6,if($F30=AG30,0,0.5*'Thể lệ'!$E$6)),if(and($F30=AG30,$G30=AH30),"0",if(($F30-$G30)*(AG30-AH30)&gt;0,0.5*'Thể lệ'!$E$6,'Thể lệ'!$E$6)))</f>
        <v>0</v>
      </c>
      <c r="CM30" s="43"/>
      <c r="CN30" s="43">
        <f>if($F30=$G30,if(and($F30=$G30,AI30&lt;&gt;AJ30),'Thể lệ'!$E$6,if($F30=AI30,0,0.5*'Thể lệ'!$E$6)),if(and($F30=AI30,$G30=AJ30),"0",if(($F30-$G30)*(AI30-AJ30)&gt;0,0.5*'Thể lệ'!$E$6,'Thể lệ'!$E$6)))</f>
        <v>0</v>
      </c>
      <c r="CO30" s="43"/>
      <c r="CP30" s="43">
        <f>if($F30=$G30,if(and($F30=$G30,AK30&lt;&gt;AL30),'Thể lệ'!$E$6,if($F30=AK30,0,0.5*'Thể lệ'!$E$6)),if(and($F30=AK30,$G30=AL30),"0",if(($F30-$G30)*(AK30-AL30)&gt;0,0.5*'Thể lệ'!$E$6,'Thể lệ'!$E$6)))</f>
        <v>0</v>
      </c>
      <c r="CQ30" s="43"/>
      <c r="CR30" s="43">
        <f>if($F30=$G30,if(and($F30=$G30,AM30&lt;&gt;AN30),'Thể lệ'!$E$6,if($F30=AM30,0,0.5*'Thể lệ'!$E$6)),if(and($F30=AM30,$G30=AN30),"0",if(($F30-$G30)*(AM30-AN30)&gt;0,0.5*'Thể lệ'!$E$6,'Thể lệ'!$E$6)))</f>
        <v>0</v>
      </c>
      <c r="CS30" s="43"/>
      <c r="CT30" s="44">
        <f>if($F30=$G30,if(and($F30=$G30,AO30&lt;&gt;AP30),'Thể lệ'!$E$6,if($F30=AO30,0,0.5*'Thể lệ'!$E$6)),if(and($F30=AO30,$G30=AP30),"0",if(($F30-$G30)*(AO30-AP30)&gt;0,0.5*'Thể lệ'!$E$6,'Thể lệ'!$E$6)))</f>
        <v>5000</v>
      </c>
      <c r="CU30" s="43"/>
      <c r="CV30" s="43">
        <f>if($F30=$G30,if(and($F30=$G30,AQ30&lt;&gt;AR30),'Thể lệ'!$E$6,if($F30=AQ30,0,0.5*'Thể lệ'!$E$6)),if(and($F30=AQ30,$G30=AR30),"0",if(($F30-$G30)*(AQ30-AR30)&gt;0,0.5*'Thể lệ'!$E$6,'Thể lệ'!$E$6)))</f>
        <v>0</v>
      </c>
      <c r="CW30" s="43"/>
      <c r="CX30" s="44">
        <f>if($F30=$G30,if(and($F30=$G30,AS30&lt;&gt;AT30),'Thể lệ'!$E$6,if($F30=AS30,0,0.5*'Thể lệ'!$E$6)),if(and($F30=AS30,$G30=AT30),"0",if(($F30-$G30)*(AS30-AT30)&gt;0,0.5*'Thể lệ'!$E$6,'Thể lệ'!$E$6)))</f>
        <v>10000</v>
      </c>
      <c r="CY30" s="45"/>
      <c r="CZ30" s="43">
        <f>if($F30=$G30,if(and($F30=$G30,AU30&lt;&gt;AV30),'Thể lệ'!$E$6,if($F30=AU30,0,0.5*'Thể lệ'!$E$6)),if(and($F30=AU30,$G30=AV30),"0",if(($F30-$G30)*(AU30-AV30)&gt;0,0.5*'Thể lệ'!$E$6,'Thể lệ'!$E$6)))</f>
        <v>0</v>
      </c>
      <c r="DA30" s="45"/>
      <c r="DB30" s="43">
        <f>if($F30=$G30,if(and($F30=$G30,AW30&lt;&gt;AX30),'Thể lệ'!$E$6,if($F30=AW30,0,0.5*'Thể lệ'!$E$6)),if(and($F30=AW30,$G30=AX30),"0",if(($F30-$G30)*(AW30-AX30)&gt;0,0.5*'Thể lệ'!$E$6,'Thể lệ'!$E$6)))</f>
        <v>0</v>
      </c>
      <c r="DC30" s="45"/>
      <c r="DD30" s="43">
        <f>if($F30=$G30,if(and($F30=$G30,AY30&lt;&gt;AZ30),'Thể lệ'!$E$6,if($F30=AY30,0,0.5*'Thể lệ'!$E$6)),if(and($F30=AY30,$G30=AZ30),"0",if(($F30-$G30)*(AY30-AZ30)&gt;0,0.5*'Thể lệ'!$E$6,'Thể lệ'!$E$6)))</f>
        <v>0</v>
      </c>
      <c r="DE30" s="45"/>
      <c r="DF30" s="43">
        <f>if($F30=$G30,if(and($F30=$G30,BA30&lt;&gt;BB30),'Thể lệ'!$E$6,if($F30=BA30,0,0.5*'Thể lệ'!$E$6)),if(and($F30=BA30,$G30=BB30),"0",if(($F30-$G30)*(BA30-BB30)&gt;0,0.5*'Thể lệ'!$E$6,'Thể lệ'!$E$6)))</f>
        <v>0</v>
      </c>
      <c r="DG30" s="45"/>
      <c r="DH30" s="44">
        <f>if($F30=$G30,if(and($F30=$G30,BC30&lt;&gt;BD30),'Thể lệ'!$E$6,if($F30=BC30,0,0.5*'Thể lệ'!$E$6)),if(and($F30=BC30,$G30=BD30),"0",if(($F30-$G30)*(BC30-BD30)&gt;0,0.5*'Thể lệ'!$E$6,'Thể lệ'!$E$6)))</f>
        <v>10000</v>
      </c>
      <c r="DI30" s="45"/>
      <c r="DJ30" s="43">
        <f>if($F30=$G30,if(and($F30=$G30,BE30&lt;&gt;BF30),'Thể lệ'!$E$6,if($F30=BE30,0,0.5*'Thể lệ'!$E$6)),if(and($F30=BE30,$G30=BF30),"0",if(($F30-$G30)*(BE30-BF30)&gt;0,0.5*'Thể lệ'!$E$6,'Thể lệ'!$E$6)))</f>
        <v>0</v>
      </c>
      <c r="DK30" s="45"/>
      <c r="DL30" s="43">
        <f>if($F30=$G30,if(and($F30=$G30,BG30&lt;&gt;BH30),'Thể lệ'!$E$6,if($F30=BG30,0,0.5*'Thể lệ'!$E$6)),if(and($F30=BG30,$G30=BH30),"0",if(($F30-$G30)*(BG30-BH30)&gt;0,0.5*'Thể lệ'!$E$6,'Thể lệ'!$E$6)))</f>
        <v>0</v>
      </c>
      <c r="DM30" s="45"/>
      <c r="DN30" s="44">
        <f>if($F30=$G30,if(and($F30=$G30,BI30&lt;&gt;BJ30),'Thể lệ'!$E$6,if($F30=BI30,0,0.5*'Thể lệ'!$E$6)),if(and($F30=BI30,$G30=BJ30),"0",if(($F30-$G30)*(BI30-BJ30)&gt;0,0.5*'Thể lệ'!$E$6,'Thể lệ'!$E$6)))</f>
        <v>10000</v>
      </c>
      <c r="DO30" s="45"/>
      <c r="DP30" s="8"/>
    </row>
    <row r="31">
      <c r="A31" s="33"/>
      <c r="B31" s="22">
        <v>25.0</v>
      </c>
      <c r="C31" s="34">
        <v>46191.95833333333</v>
      </c>
      <c r="D31" s="49">
        <v>46191.95833333333</v>
      </c>
      <c r="E31" s="36" t="s">
        <v>35</v>
      </c>
      <c r="F31" s="23"/>
      <c r="G31" s="23"/>
      <c r="H31" s="36" t="s">
        <v>33</v>
      </c>
      <c r="I31" s="37"/>
      <c r="J31" s="37"/>
      <c r="K31" s="37"/>
      <c r="L31" s="37"/>
      <c r="M31" s="37"/>
      <c r="N31" s="37"/>
      <c r="O31" s="37"/>
      <c r="P31" s="37"/>
      <c r="Q31" s="37" t="str">
        <f t="shared" si="4"/>
        <v/>
      </c>
      <c r="R31" s="37" t="str">
        <f t="shared" si="6"/>
        <v/>
      </c>
      <c r="S31" s="37">
        <v>2.0</v>
      </c>
      <c r="T31" s="37">
        <v>1.0</v>
      </c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>
        <v>1.0</v>
      </c>
      <c r="AP31" s="37">
        <v>2.0</v>
      </c>
      <c r="AQ31" s="37"/>
      <c r="AR31" s="37"/>
      <c r="AS31" s="40">
        <v>2.0</v>
      </c>
      <c r="AT31" s="40">
        <v>1.0</v>
      </c>
      <c r="AU31" s="37"/>
      <c r="AV31" s="37"/>
      <c r="AW31" s="37"/>
      <c r="AX31" s="37"/>
      <c r="AY31" s="37"/>
      <c r="AZ31" s="37"/>
      <c r="BA31" s="37"/>
      <c r="BB31" s="37"/>
      <c r="BC31" s="37">
        <v>2.0</v>
      </c>
      <c r="BD31" s="37">
        <v>0.0</v>
      </c>
      <c r="BE31" s="42"/>
      <c r="BF31" s="37"/>
      <c r="BG31" s="37"/>
      <c r="BH31" s="37"/>
      <c r="BI31" s="37">
        <f>H.Son!H31</f>
        <v>1</v>
      </c>
      <c r="BJ31" s="37">
        <f>H.Son!I31</f>
        <v>0</v>
      </c>
      <c r="BK31" s="37"/>
      <c r="BL31" s="37"/>
      <c r="BM31" s="9"/>
      <c r="BN31" s="43">
        <f>if($F31=$G31,if(and($F31=$G31,I31&lt;&gt;J31),'Thể lệ'!$E$6,if($F31=I31,0,0.5*'Thể lệ'!$E$6)),if(and($F31=I31,$G31=J31),"0",if(($F31-$G31)*(I31-J31)&gt;0,0.5*'Thể lệ'!$E$6,'Thể lệ'!$E$6)))</f>
        <v>0</v>
      </c>
      <c r="BO31" s="43"/>
      <c r="BP31" s="43">
        <f>if($F31=$G31,if(and($F31=$G31,K31&lt;&gt;L31),'Thể lệ'!$E$6,if($F31=K31,0,0.5*'Thể lệ'!$E$6)),if(and($F31=K31,$G31=L31),"0",if(($F31-$G31)*(K31-L31)&gt;0,0.5*'Thể lệ'!$E$6,'Thể lệ'!$E$6)))</f>
        <v>0</v>
      </c>
      <c r="BQ31" s="43"/>
      <c r="BR31" s="43">
        <f>if($F31=$G31,if(and($F31=$G31,M31&lt;&gt;N31),'Thể lệ'!$E$6,if($F31=M31,0,0.5*'Thể lệ'!$E$6)),if(and($F31=M31,$G31=N31),"0",if(($F31-$G31)*(M31-N31)&gt;0,0.5*'Thể lệ'!$E$6,'Thể lệ'!$E$6)))</f>
        <v>0</v>
      </c>
      <c r="BS31" s="43"/>
      <c r="BT31" s="43">
        <f>if($F31=$G31,if(and($F31=$G31,O31&lt;&gt;P31),'Thể lệ'!$E$6,if($F31=O31,0,0.5*'Thể lệ'!$E$6)),if(and($F31=O31,$G31=P31),"0",if(($F31-$G31)*(O31-P31)&gt;0,0.5*'Thể lệ'!$E$6,'Thể lệ'!$E$6)))</f>
        <v>0</v>
      </c>
      <c r="BU31" s="43"/>
      <c r="BV31" s="43">
        <f>if($F31=$G31,if(and($F31=$G31,Q31&lt;&gt;R31),'Thể lệ'!$E$6,if($F31=Q31,0,0.5*'Thể lệ'!$E$6)),if(and($F31=Q31,$G31=R31),"0",if(($F31-$G31)*(Q31-R31)&gt;0,0.5*'Thể lệ'!$E$6,'Thể lệ'!$E$6)))</f>
        <v>0</v>
      </c>
      <c r="BW31" s="43"/>
      <c r="BX31" s="44">
        <f>if($F31=$G31,if(and($F31=$G31,S31&lt;&gt;T31),'Thể lệ'!$E$6,if($F31=S31,0,0.5*'Thể lệ'!$E$6)),if(and($F31=S31,$G31=T31),"0",if(($F31-$G31)*(S31-T31)&gt;0,0.5*'Thể lệ'!$E$6,'Thể lệ'!$E$6)))</f>
        <v>10000</v>
      </c>
      <c r="BY31" s="43"/>
      <c r="BZ31" s="43">
        <f>if($F31=$G31,if(and($F31=$G31,U31&lt;&gt;V31),'Thể lệ'!$E$6,if($F31=U31,0,0.5*'Thể lệ'!$E$6)),if(and($F31=U31,$G31=V31),"0",if(($F31-$G31)*(U31-V31)&gt;0,0.5*'Thể lệ'!$E$6,'Thể lệ'!$E$6)))</f>
        <v>0</v>
      </c>
      <c r="CA31" s="43"/>
      <c r="CB31" s="43">
        <f>if($F31=$G31,if(and($F31=$G31,W31&lt;&gt;X31),'Thể lệ'!$E$6,if($F31=W31,0,0.5*'Thể lệ'!$E$6)),if(and($F31=W31,$G31=X31),"0",if(($F31-$G31)*(W31-X31)&gt;0,0.5*'Thể lệ'!$E$6,'Thể lệ'!$E$6)))</f>
        <v>0</v>
      </c>
      <c r="CC31" s="43"/>
      <c r="CD31" s="43">
        <f>if($F31=$G31,if(and($F31=$G31,Y31&lt;&gt;Z31),'Thể lệ'!$E$6,if($F31=Y31,0,0.5*'Thể lệ'!$E$6)),if(and($F31=Y31,$G31=Z31),"0",if(($F31-$G31)*(Y31-Z31)&gt;0,0.5*'Thể lệ'!$E$6,'Thể lệ'!$E$6)))</f>
        <v>0</v>
      </c>
      <c r="CE31" s="43"/>
      <c r="CF31" s="43">
        <f>if($F31=$G31,if(and($F31=$G31,AA31&lt;&gt;AB31),'Thể lệ'!$E$6,if($F31=AA31,0,0.5*'Thể lệ'!$E$6)),if(and($F31=AA31,$G31=AB31),"0",if(($F31-$G31)*(AA31-AB31)&gt;0,0.5*'Thể lệ'!$E$6,'Thể lệ'!$E$6)))</f>
        <v>0</v>
      </c>
      <c r="CG31" s="43"/>
      <c r="CH31" s="43">
        <f>if($F31=$G31,if(and($F31=$G31,AC31&lt;&gt;AD31),'Thể lệ'!$E$6,if($F31=AC31,0,0.5*'Thể lệ'!$E$6)),if(and($F31=AC31,$G31=AD31),"0",if(($F31-$G31)*(AC31-AD31)&gt;0,0.5*'Thể lệ'!$E$6,'Thể lệ'!$E$6)))</f>
        <v>0</v>
      </c>
      <c r="CI31" s="43"/>
      <c r="CJ31" s="43">
        <f>if($F31=$G31,if(and($F31=$G31,AE31&lt;&gt;AF31),'Thể lệ'!$E$6,if($F31=AE31,0,0.5*'Thể lệ'!$E$6)),if(and($F31=AE31,$G31=AF31),"0",if(($F31-$G31)*(AE31-AF31)&gt;0,0.5*'Thể lệ'!$E$6,'Thể lệ'!$E$6)))</f>
        <v>0</v>
      </c>
      <c r="CK31" s="43"/>
      <c r="CL31" s="43">
        <f>if($F31=$G31,if(and($F31=$G31,AG31&lt;&gt;AH31),'Thể lệ'!$E$6,if($F31=AG31,0,0.5*'Thể lệ'!$E$6)),if(and($F31=AG31,$G31=AH31),"0",if(($F31-$G31)*(AG31-AH31)&gt;0,0.5*'Thể lệ'!$E$6,'Thể lệ'!$E$6)))</f>
        <v>0</v>
      </c>
      <c r="CM31" s="43"/>
      <c r="CN31" s="43">
        <f>if($F31=$G31,if(and($F31=$G31,AI31&lt;&gt;AJ31),'Thể lệ'!$E$6,if($F31=AI31,0,0.5*'Thể lệ'!$E$6)),if(and($F31=AI31,$G31=AJ31),"0",if(($F31-$G31)*(AI31-AJ31)&gt;0,0.5*'Thể lệ'!$E$6,'Thể lệ'!$E$6)))</f>
        <v>0</v>
      </c>
      <c r="CO31" s="43"/>
      <c r="CP31" s="43">
        <f>if($F31=$G31,if(and($F31=$G31,AK31&lt;&gt;AL31),'Thể lệ'!$E$6,if($F31=AK31,0,0.5*'Thể lệ'!$E$6)),if(and($F31=AK31,$G31=AL31),"0",if(($F31-$G31)*(AK31-AL31)&gt;0,0.5*'Thể lệ'!$E$6,'Thể lệ'!$E$6)))</f>
        <v>0</v>
      </c>
      <c r="CQ31" s="43"/>
      <c r="CR31" s="43">
        <f>if($F31=$G31,if(and($F31=$G31,AM31&lt;&gt;AN31),'Thể lệ'!$E$6,if($F31=AM31,0,0.5*'Thể lệ'!$E$6)),if(and($F31=AM31,$G31=AN31),"0",if(($F31-$G31)*(AM31-AN31)&gt;0,0.5*'Thể lệ'!$E$6,'Thể lệ'!$E$6)))</f>
        <v>0</v>
      </c>
      <c r="CS31" s="43"/>
      <c r="CT31" s="44">
        <f>if($F31=$G31,if(and($F31=$G31,AO31&lt;&gt;AP31),'Thể lệ'!$E$6,if($F31=AO31,0,0.5*'Thể lệ'!$E$6)),if(and($F31=AO31,$G31=AP31),"0",if(($F31-$G31)*(AO31-AP31)&gt;0,0.5*'Thể lệ'!$E$6,'Thể lệ'!$E$6)))</f>
        <v>10000</v>
      </c>
      <c r="CU31" s="43"/>
      <c r="CV31" s="43">
        <f>if($F31=$G31,if(and($F31=$G31,AQ31&lt;&gt;AR31),'Thể lệ'!$E$6,if($F31=AQ31,0,0.5*'Thể lệ'!$E$6)),if(and($F31=AQ31,$G31=AR31),"0",if(($F31-$G31)*(AQ31-AR31)&gt;0,0.5*'Thể lệ'!$E$6,'Thể lệ'!$E$6)))</f>
        <v>0</v>
      </c>
      <c r="CW31" s="43"/>
      <c r="CX31" s="44">
        <f>if($F31=$G31,if(and($F31=$G31,AS31&lt;&gt;AT31),'Thể lệ'!$E$6,if($F31=AS31,0,0.5*'Thể lệ'!$E$6)),if(and($F31=AS31,$G31=AT31),"0",if(($F31-$G31)*(AS31-AT31)&gt;0,0.5*'Thể lệ'!$E$6,'Thể lệ'!$E$6)))</f>
        <v>10000</v>
      </c>
      <c r="CY31" s="45"/>
      <c r="CZ31" s="43">
        <f>if($F31=$G31,if(and($F31=$G31,AU31&lt;&gt;AV31),'Thể lệ'!$E$6,if($F31=AU31,0,0.5*'Thể lệ'!$E$6)),if(and($F31=AU31,$G31=AV31),"0",if(($F31-$G31)*(AU31-AV31)&gt;0,0.5*'Thể lệ'!$E$6,'Thể lệ'!$E$6)))</f>
        <v>0</v>
      </c>
      <c r="DA31" s="45"/>
      <c r="DB31" s="43">
        <f>if($F31=$G31,if(and($F31=$G31,AW31&lt;&gt;AX31),'Thể lệ'!$E$6,if($F31=AW31,0,0.5*'Thể lệ'!$E$6)),if(and($F31=AW31,$G31=AX31),"0",if(($F31-$G31)*(AW31-AX31)&gt;0,0.5*'Thể lệ'!$E$6,'Thể lệ'!$E$6)))</f>
        <v>0</v>
      </c>
      <c r="DC31" s="45"/>
      <c r="DD31" s="43">
        <f>if($F31=$G31,if(and($F31=$G31,AY31&lt;&gt;AZ31),'Thể lệ'!$E$6,if($F31=AY31,0,0.5*'Thể lệ'!$E$6)),if(and($F31=AY31,$G31=AZ31),"0",if(($F31-$G31)*(AY31-AZ31)&gt;0,0.5*'Thể lệ'!$E$6,'Thể lệ'!$E$6)))</f>
        <v>0</v>
      </c>
      <c r="DE31" s="45"/>
      <c r="DF31" s="43">
        <f>if($F31=$G31,if(and($F31=$G31,BA31&lt;&gt;BB31),'Thể lệ'!$E$6,if($F31=BA31,0,0.5*'Thể lệ'!$E$6)),if(and($F31=BA31,$G31=BB31),"0",if(($F31-$G31)*(BA31-BB31)&gt;0,0.5*'Thể lệ'!$E$6,'Thể lệ'!$E$6)))</f>
        <v>0</v>
      </c>
      <c r="DG31" s="45"/>
      <c r="DH31" s="44">
        <f>if($F31=$G31,if(and($F31=$G31,BC31&lt;&gt;BD31),'Thể lệ'!$E$6,if($F31=BC31,0,0.5*'Thể lệ'!$E$6)),if(and($F31=BC31,$G31=BD31),"0",if(($F31-$G31)*(BC31-BD31)&gt;0,0.5*'Thể lệ'!$E$6,'Thể lệ'!$E$6)))</f>
        <v>10000</v>
      </c>
      <c r="DI31" s="45"/>
      <c r="DJ31" s="43">
        <f>if($F31=$G31,if(and($F31=$G31,BE31&lt;&gt;BF31),'Thể lệ'!$E$6,if($F31=BE31,0,0.5*'Thể lệ'!$E$6)),if(and($F31=BE31,$G31=BF31),"0",if(($F31-$G31)*(BE31-BF31)&gt;0,0.5*'Thể lệ'!$E$6,'Thể lệ'!$E$6)))</f>
        <v>0</v>
      </c>
      <c r="DK31" s="45"/>
      <c r="DL31" s="43">
        <f>if($F31=$G31,if(and($F31=$G31,BG31&lt;&gt;BH31),'Thể lệ'!$E$6,if($F31=BG31,0,0.5*'Thể lệ'!$E$6)),if(and($F31=BG31,$G31=BH31),"0",if(($F31-$G31)*(BG31-BH31)&gt;0,0.5*'Thể lệ'!$E$6,'Thể lệ'!$E$6)))</f>
        <v>0</v>
      </c>
      <c r="DM31" s="45"/>
      <c r="DN31" s="44">
        <f>if($F31=$G31,if(and($F31=$G31,BI31&lt;&gt;BJ31),'Thể lệ'!$E$6,if($F31=BI31,0,0.5*'Thể lệ'!$E$6)),if(and($F31=BI31,$G31=BJ31),"0",if(($F31-$G31)*(BI31-BJ31)&gt;0,0.5*'Thể lệ'!$E$6,'Thể lệ'!$E$6)))</f>
        <v>10000</v>
      </c>
      <c r="DO31" s="45"/>
      <c r="DP31" s="8"/>
    </row>
    <row r="32">
      <c r="B32" s="22">
        <v>26.0</v>
      </c>
      <c r="C32" s="34">
        <v>46192.08333333333</v>
      </c>
      <c r="D32" s="49">
        <v>46192.08333333333</v>
      </c>
      <c r="E32" s="36" t="s">
        <v>41</v>
      </c>
      <c r="F32" s="23"/>
      <c r="G32" s="23"/>
      <c r="H32" s="36" t="s">
        <v>37</v>
      </c>
      <c r="I32" s="37"/>
      <c r="J32" s="37"/>
      <c r="K32" s="37"/>
      <c r="L32" s="37"/>
      <c r="M32" s="37"/>
      <c r="N32" s="37"/>
      <c r="O32" s="37"/>
      <c r="P32" s="37"/>
      <c r="Q32" s="37" t="str">
        <f t="shared" si="4"/>
        <v/>
      </c>
      <c r="R32" s="37" t="str">
        <f t="shared" si="6"/>
        <v/>
      </c>
      <c r="S32" s="37">
        <v>2.0</v>
      </c>
      <c r="T32" s="37">
        <v>0.0</v>
      </c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>
        <v>2.0</v>
      </c>
      <c r="AP32" s="37">
        <v>2.0</v>
      </c>
      <c r="AQ32" s="37"/>
      <c r="AR32" s="37"/>
      <c r="AS32" s="40">
        <v>2.0</v>
      </c>
      <c r="AT32" s="40">
        <v>0.0</v>
      </c>
      <c r="AU32" s="37"/>
      <c r="AV32" s="37"/>
      <c r="AW32" s="37"/>
      <c r="AX32" s="37"/>
      <c r="AY32" s="37"/>
      <c r="AZ32" s="37"/>
      <c r="BA32" s="37"/>
      <c r="BB32" s="37"/>
      <c r="BC32" s="37">
        <v>2.0</v>
      </c>
      <c r="BD32" s="37">
        <v>1.0</v>
      </c>
      <c r="BE32" s="42"/>
      <c r="BF32" s="37"/>
      <c r="BG32" s="37"/>
      <c r="BH32" s="37"/>
      <c r="BI32" s="37">
        <f>H.Son!H32</f>
        <v>2</v>
      </c>
      <c r="BJ32" s="37">
        <f>H.Son!I32</f>
        <v>0</v>
      </c>
      <c r="BK32" s="37"/>
      <c r="BL32" s="37"/>
      <c r="BM32" s="9"/>
      <c r="BN32" s="43">
        <f>if($F32=$G32,if(and($F32=$G32,I32&lt;&gt;J32),'Thể lệ'!$E$6,if($F32=I32,0,0.5*'Thể lệ'!$E$6)),if(and($F32=I32,$G32=J32),"0",if(($F32-$G32)*(I32-J32)&gt;0,0.5*'Thể lệ'!$E$6,'Thể lệ'!$E$6)))</f>
        <v>0</v>
      </c>
      <c r="BO32" s="43"/>
      <c r="BP32" s="43">
        <f>if($F32=$G32,if(and($F32=$G32,K32&lt;&gt;L32),'Thể lệ'!$E$6,if($F32=K32,0,0.5*'Thể lệ'!$E$6)),if(and($F32=K32,$G32=L32),"0",if(($F32-$G32)*(K32-L32)&gt;0,0.5*'Thể lệ'!$E$6,'Thể lệ'!$E$6)))</f>
        <v>0</v>
      </c>
      <c r="BQ32" s="43"/>
      <c r="BR32" s="43">
        <f>if($F32=$G32,if(and($F32=$G32,M32&lt;&gt;N32),'Thể lệ'!$E$6,if($F32=M32,0,0.5*'Thể lệ'!$E$6)),if(and($F32=M32,$G32=N32),"0",if(($F32-$G32)*(M32-N32)&gt;0,0.5*'Thể lệ'!$E$6,'Thể lệ'!$E$6)))</f>
        <v>0</v>
      </c>
      <c r="BS32" s="43"/>
      <c r="BT32" s="43">
        <f>if($F32=$G32,if(and($F32=$G32,O32&lt;&gt;P32),'Thể lệ'!$E$6,if($F32=O32,0,0.5*'Thể lệ'!$E$6)),if(and($F32=O32,$G32=P32),"0",if(($F32-$G32)*(O32-P32)&gt;0,0.5*'Thể lệ'!$E$6,'Thể lệ'!$E$6)))</f>
        <v>0</v>
      </c>
      <c r="BU32" s="43"/>
      <c r="BV32" s="43">
        <f>if($F32=$G32,if(and($F32=$G32,Q32&lt;&gt;R32),'Thể lệ'!$E$6,if($F32=Q32,0,0.5*'Thể lệ'!$E$6)),if(and($F32=Q32,$G32=R32),"0",if(($F32-$G32)*(Q32-R32)&gt;0,0.5*'Thể lệ'!$E$6,'Thể lệ'!$E$6)))</f>
        <v>0</v>
      </c>
      <c r="BW32" s="43"/>
      <c r="BX32" s="44">
        <f>if($F32=$G32,if(and($F32=$G32,S32&lt;&gt;T32),'Thể lệ'!$E$6,if($F32=S32,0,0.5*'Thể lệ'!$E$6)),if(and($F32=S32,$G32=T32),"0",if(($F32-$G32)*(S32-T32)&gt;0,0.5*'Thể lệ'!$E$6,'Thể lệ'!$E$6)))</f>
        <v>10000</v>
      </c>
      <c r="BY32" s="43"/>
      <c r="BZ32" s="43">
        <f>if($F32=$G32,if(and($F32=$G32,U32&lt;&gt;V32),'Thể lệ'!$E$6,if($F32=U32,0,0.5*'Thể lệ'!$E$6)),if(and($F32=U32,$G32=V32),"0",if(($F32-$G32)*(U32-V32)&gt;0,0.5*'Thể lệ'!$E$6,'Thể lệ'!$E$6)))</f>
        <v>0</v>
      </c>
      <c r="CA32" s="43"/>
      <c r="CB32" s="43">
        <f>if($F32=$G32,if(and($F32=$G32,W32&lt;&gt;X32),'Thể lệ'!$E$6,if($F32=W32,0,0.5*'Thể lệ'!$E$6)),if(and($F32=W32,$G32=X32),"0",if(($F32-$G32)*(W32-X32)&gt;0,0.5*'Thể lệ'!$E$6,'Thể lệ'!$E$6)))</f>
        <v>0</v>
      </c>
      <c r="CC32" s="43"/>
      <c r="CD32" s="43">
        <f>if($F32=$G32,if(and($F32=$G32,Y32&lt;&gt;Z32),'Thể lệ'!$E$6,if($F32=Y32,0,0.5*'Thể lệ'!$E$6)),if(and($F32=Y32,$G32=Z32),"0",if(($F32-$G32)*(Y32-Z32)&gt;0,0.5*'Thể lệ'!$E$6,'Thể lệ'!$E$6)))</f>
        <v>0</v>
      </c>
      <c r="CE32" s="43"/>
      <c r="CF32" s="43">
        <f>if($F32=$G32,if(and($F32=$G32,AA32&lt;&gt;AB32),'Thể lệ'!$E$6,if($F32=AA32,0,0.5*'Thể lệ'!$E$6)),if(and($F32=AA32,$G32=AB32),"0",if(($F32-$G32)*(AA32-AB32)&gt;0,0.5*'Thể lệ'!$E$6,'Thể lệ'!$E$6)))</f>
        <v>0</v>
      </c>
      <c r="CG32" s="43"/>
      <c r="CH32" s="43">
        <f>if($F32=$G32,if(and($F32=$G32,AC32&lt;&gt;AD32),'Thể lệ'!$E$6,if($F32=AC32,0,0.5*'Thể lệ'!$E$6)),if(and($F32=AC32,$G32=AD32),"0",if(($F32-$G32)*(AC32-AD32)&gt;0,0.5*'Thể lệ'!$E$6,'Thể lệ'!$E$6)))</f>
        <v>0</v>
      </c>
      <c r="CI32" s="43"/>
      <c r="CJ32" s="43">
        <f>if($F32=$G32,if(and($F32=$G32,AE32&lt;&gt;AF32),'Thể lệ'!$E$6,if($F32=AE32,0,0.5*'Thể lệ'!$E$6)),if(and($F32=AE32,$G32=AF32),"0",if(($F32-$G32)*(AE32-AF32)&gt;0,0.5*'Thể lệ'!$E$6,'Thể lệ'!$E$6)))</f>
        <v>0</v>
      </c>
      <c r="CK32" s="43"/>
      <c r="CL32" s="43">
        <f>if($F32=$G32,if(and($F32=$G32,AG32&lt;&gt;AH32),'Thể lệ'!$E$6,if($F32=AG32,0,0.5*'Thể lệ'!$E$6)),if(and($F32=AG32,$G32=AH32),"0",if(($F32-$G32)*(AG32-AH32)&gt;0,0.5*'Thể lệ'!$E$6,'Thể lệ'!$E$6)))</f>
        <v>0</v>
      </c>
      <c r="CM32" s="43"/>
      <c r="CN32" s="43">
        <f>if($F32=$G32,if(and($F32=$G32,AI32&lt;&gt;AJ32),'Thể lệ'!$E$6,if($F32=AI32,0,0.5*'Thể lệ'!$E$6)),if(and($F32=AI32,$G32=AJ32),"0",if(($F32-$G32)*(AI32-AJ32)&gt;0,0.5*'Thể lệ'!$E$6,'Thể lệ'!$E$6)))</f>
        <v>0</v>
      </c>
      <c r="CO32" s="43"/>
      <c r="CP32" s="43">
        <f>if($F32=$G32,if(and($F32=$G32,AK32&lt;&gt;AL32),'Thể lệ'!$E$6,if($F32=AK32,0,0.5*'Thể lệ'!$E$6)),if(and($F32=AK32,$G32=AL32),"0",if(($F32-$G32)*(AK32-AL32)&gt;0,0.5*'Thể lệ'!$E$6,'Thể lệ'!$E$6)))</f>
        <v>0</v>
      </c>
      <c r="CQ32" s="43"/>
      <c r="CR32" s="43">
        <f>if($F32=$G32,if(and($F32=$G32,AM32&lt;&gt;AN32),'Thể lệ'!$E$6,if($F32=AM32,0,0.5*'Thể lệ'!$E$6)),if(and($F32=AM32,$G32=AN32),"0",if(($F32-$G32)*(AM32-AN32)&gt;0,0.5*'Thể lệ'!$E$6,'Thể lệ'!$E$6)))</f>
        <v>0</v>
      </c>
      <c r="CS32" s="43"/>
      <c r="CT32" s="44">
        <f>if($F32=$G32,if(and($F32=$G32,AO32&lt;&gt;AP32),'Thể lệ'!$E$6,if($F32=AO32,0,0.5*'Thể lệ'!$E$6)),if(and($F32=AO32,$G32=AP32),"0",if(($F32-$G32)*(AO32-AP32)&gt;0,0.5*'Thể lệ'!$E$6,'Thể lệ'!$E$6)))</f>
        <v>5000</v>
      </c>
      <c r="CU32" s="43"/>
      <c r="CV32" s="43">
        <f>if($F32=$G32,if(and($F32=$G32,AQ32&lt;&gt;AR32),'Thể lệ'!$E$6,if($F32=AQ32,0,0.5*'Thể lệ'!$E$6)),if(and($F32=AQ32,$G32=AR32),"0",if(($F32-$G32)*(AQ32-AR32)&gt;0,0.5*'Thể lệ'!$E$6,'Thể lệ'!$E$6)))</f>
        <v>0</v>
      </c>
      <c r="CW32" s="43"/>
      <c r="CX32" s="44">
        <f>if($F32=$G32,if(and($F32=$G32,AS32&lt;&gt;AT32),'Thể lệ'!$E$6,if($F32=AS32,0,0.5*'Thể lệ'!$E$6)),if(and($F32=AS32,$G32=AT32),"0",if(($F32-$G32)*(AS32-AT32)&gt;0,0.5*'Thể lệ'!$E$6,'Thể lệ'!$E$6)))</f>
        <v>10000</v>
      </c>
      <c r="CY32" s="45"/>
      <c r="CZ32" s="43">
        <f>if($F32=$G32,if(and($F32=$G32,AU32&lt;&gt;AV32),'Thể lệ'!$E$6,if($F32=AU32,0,0.5*'Thể lệ'!$E$6)),if(and($F32=AU32,$G32=AV32),"0",if(($F32-$G32)*(AU32-AV32)&gt;0,0.5*'Thể lệ'!$E$6,'Thể lệ'!$E$6)))</f>
        <v>0</v>
      </c>
      <c r="DA32" s="45"/>
      <c r="DB32" s="43">
        <f>if($F32=$G32,if(and($F32=$G32,AW32&lt;&gt;AX32),'Thể lệ'!$E$6,if($F32=AW32,0,0.5*'Thể lệ'!$E$6)),if(and($F32=AW32,$G32=AX32),"0",if(($F32-$G32)*(AW32-AX32)&gt;0,0.5*'Thể lệ'!$E$6,'Thể lệ'!$E$6)))</f>
        <v>0</v>
      </c>
      <c r="DC32" s="45"/>
      <c r="DD32" s="43">
        <f>if($F32=$G32,if(and($F32=$G32,AY32&lt;&gt;AZ32),'Thể lệ'!$E$6,if($F32=AY32,0,0.5*'Thể lệ'!$E$6)),if(and($F32=AY32,$G32=AZ32),"0",if(($F32-$G32)*(AY32-AZ32)&gt;0,0.5*'Thể lệ'!$E$6,'Thể lệ'!$E$6)))</f>
        <v>0</v>
      </c>
      <c r="DE32" s="45"/>
      <c r="DF32" s="43">
        <f>if($F32=$G32,if(and($F32=$G32,BA32&lt;&gt;BB32),'Thể lệ'!$E$6,if($F32=BA32,0,0.5*'Thể lệ'!$E$6)),if(and($F32=BA32,$G32=BB32),"0",if(($F32-$G32)*(BA32-BB32)&gt;0,0.5*'Thể lệ'!$E$6,'Thể lệ'!$E$6)))</f>
        <v>0</v>
      </c>
      <c r="DG32" s="45"/>
      <c r="DH32" s="44">
        <f>if($F32=$G32,if(and($F32=$G32,BC32&lt;&gt;BD32),'Thể lệ'!$E$6,if($F32=BC32,0,0.5*'Thể lệ'!$E$6)),if(and($F32=BC32,$G32=BD32),"0",if(($F32-$G32)*(BC32-BD32)&gt;0,0.5*'Thể lệ'!$E$6,'Thể lệ'!$E$6)))</f>
        <v>10000</v>
      </c>
      <c r="DI32" s="45"/>
      <c r="DJ32" s="43">
        <f>if($F32=$G32,if(and($F32=$G32,BE32&lt;&gt;BF32),'Thể lệ'!$E$6,if($F32=BE32,0,0.5*'Thể lệ'!$E$6)),if(and($F32=BE32,$G32=BF32),"0",if(($F32-$G32)*(BE32-BF32)&gt;0,0.5*'Thể lệ'!$E$6,'Thể lệ'!$E$6)))</f>
        <v>0</v>
      </c>
      <c r="DK32" s="45"/>
      <c r="DL32" s="43">
        <f>if($F32=$G32,if(and($F32=$G32,BG32&lt;&gt;BH32),'Thể lệ'!$E$6,if($F32=BG32,0,0.5*'Thể lệ'!$E$6)),if(and($F32=BG32,$G32=BH32),"0",if(($F32-$G32)*(BG32-BH32)&gt;0,0.5*'Thể lệ'!$E$6,'Thể lệ'!$E$6)))</f>
        <v>0</v>
      </c>
      <c r="DM32" s="45"/>
      <c r="DN32" s="44">
        <f>if($F32=$G32,if(and($F32=$G32,BI32&lt;&gt;BJ32),'Thể lệ'!$E$6,if($F32=BI32,0,0.5*'Thể lệ'!$E$6)),if(and($F32=BI32,$G32=BJ32),"0",if(($F32-$G32)*(BI32-BJ32)&gt;0,0.5*'Thể lệ'!$E$6,'Thể lệ'!$E$6)))</f>
        <v>10000</v>
      </c>
      <c r="DO32" s="45"/>
      <c r="DP32" s="8"/>
    </row>
    <row r="33">
      <c r="B33" s="22">
        <v>27.0</v>
      </c>
      <c r="C33" s="34">
        <v>46192.20833333333</v>
      </c>
      <c r="D33" s="49">
        <v>46192.20833333333</v>
      </c>
      <c r="E33" s="36" t="s">
        <v>36</v>
      </c>
      <c r="F33" s="23"/>
      <c r="G33" s="23"/>
      <c r="H33" s="36" t="s">
        <v>40</v>
      </c>
      <c r="I33" s="37"/>
      <c r="J33" s="37"/>
      <c r="K33" s="37"/>
      <c r="L33" s="37"/>
      <c r="M33" s="37"/>
      <c r="N33" s="37"/>
      <c r="O33" s="37"/>
      <c r="P33" s="37"/>
      <c r="Q33" s="37" t="str">
        <f t="shared" si="4"/>
        <v/>
      </c>
      <c r="R33" s="37" t="str">
        <f t="shared" si="6"/>
        <v/>
      </c>
      <c r="S33" s="37">
        <v>2.0</v>
      </c>
      <c r="T33" s="37">
        <v>0.0</v>
      </c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>
        <v>2.0</v>
      </c>
      <c r="AP33" s="37">
        <v>2.0</v>
      </c>
      <c r="AQ33" s="37"/>
      <c r="AR33" s="37"/>
      <c r="AS33" s="40">
        <v>1.0</v>
      </c>
      <c r="AT33" s="40">
        <v>1.0</v>
      </c>
      <c r="AU33" s="37"/>
      <c r="AV33" s="37"/>
      <c r="AW33" s="37"/>
      <c r="AX33" s="37"/>
      <c r="AY33" s="37"/>
      <c r="AZ33" s="37"/>
      <c r="BA33" s="37"/>
      <c r="BB33" s="37"/>
      <c r="BC33" s="37">
        <v>3.0</v>
      </c>
      <c r="BD33" s="37">
        <v>0.0</v>
      </c>
      <c r="BE33" s="42"/>
      <c r="BF33" s="37"/>
      <c r="BG33" s="37"/>
      <c r="BH33" s="37"/>
      <c r="BI33" s="37">
        <f>H.Son!H33</f>
        <v>1</v>
      </c>
      <c r="BJ33" s="37">
        <f>H.Son!I33</f>
        <v>0</v>
      </c>
      <c r="BK33" s="37"/>
      <c r="BL33" s="37"/>
      <c r="BM33" s="9"/>
      <c r="BN33" s="43">
        <f>if($F33=$G33,if(and($F33=$G33,I33&lt;&gt;J33),'Thể lệ'!$E$6,if($F33=I33,0,0.5*'Thể lệ'!$E$6)),if(and($F33=I33,$G33=J33),"0",if(($F33-$G33)*(I33-J33)&gt;0,0.5*'Thể lệ'!$E$6,'Thể lệ'!$E$6)))</f>
        <v>0</v>
      </c>
      <c r="BO33" s="43"/>
      <c r="BP33" s="43">
        <f>if($F33=$G33,if(and($F33=$G33,K33&lt;&gt;L33),'Thể lệ'!$E$6,if($F33=K33,0,0.5*'Thể lệ'!$E$6)),if(and($F33=K33,$G33=L33),"0",if(($F33-$G33)*(K33-L33)&gt;0,0.5*'Thể lệ'!$E$6,'Thể lệ'!$E$6)))</f>
        <v>0</v>
      </c>
      <c r="BQ33" s="43"/>
      <c r="BR33" s="43">
        <f>if($F33=$G33,if(and($F33=$G33,M33&lt;&gt;N33),'Thể lệ'!$E$6,if($F33=M33,0,0.5*'Thể lệ'!$E$6)),if(and($F33=M33,$G33=N33),"0",if(($F33-$G33)*(M33-N33)&gt;0,0.5*'Thể lệ'!$E$6,'Thể lệ'!$E$6)))</f>
        <v>0</v>
      </c>
      <c r="BS33" s="43"/>
      <c r="BT33" s="43">
        <f>if($F33=$G33,if(and($F33=$G33,O33&lt;&gt;P33),'Thể lệ'!$E$6,if($F33=O33,0,0.5*'Thể lệ'!$E$6)),if(and($F33=O33,$G33=P33),"0",if(($F33-$G33)*(O33-P33)&gt;0,0.5*'Thể lệ'!$E$6,'Thể lệ'!$E$6)))</f>
        <v>0</v>
      </c>
      <c r="BU33" s="43"/>
      <c r="BV33" s="43">
        <f>if($F33=$G33,if(and($F33=$G33,Q33&lt;&gt;R33),'Thể lệ'!$E$6,if($F33=Q33,0,0.5*'Thể lệ'!$E$6)),if(and($F33=Q33,$G33=R33),"0",if(($F33-$G33)*(Q33-R33)&gt;0,0.5*'Thể lệ'!$E$6,'Thể lệ'!$E$6)))</f>
        <v>0</v>
      </c>
      <c r="BW33" s="43"/>
      <c r="BX33" s="44">
        <f>if($F33=$G33,if(and($F33=$G33,S33&lt;&gt;T33),'Thể lệ'!$E$6,if($F33=S33,0,0.5*'Thể lệ'!$E$6)),if(and($F33=S33,$G33=T33),"0",if(($F33-$G33)*(S33-T33)&gt;0,0.5*'Thể lệ'!$E$6,'Thể lệ'!$E$6)))</f>
        <v>10000</v>
      </c>
      <c r="BY33" s="43"/>
      <c r="BZ33" s="43">
        <f>if($F33=$G33,if(and($F33=$G33,U33&lt;&gt;V33),'Thể lệ'!$E$6,if($F33=U33,0,0.5*'Thể lệ'!$E$6)),if(and($F33=U33,$G33=V33),"0",if(($F33-$G33)*(U33-V33)&gt;0,0.5*'Thể lệ'!$E$6,'Thể lệ'!$E$6)))</f>
        <v>0</v>
      </c>
      <c r="CA33" s="43"/>
      <c r="CB33" s="43">
        <f>if($F33=$G33,if(and($F33=$G33,W33&lt;&gt;X33),'Thể lệ'!$E$6,if($F33=W33,0,0.5*'Thể lệ'!$E$6)),if(and($F33=W33,$G33=X33),"0",if(($F33-$G33)*(W33-X33)&gt;0,0.5*'Thể lệ'!$E$6,'Thể lệ'!$E$6)))</f>
        <v>0</v>
      </c>
      <c r="CC33" s="43"/>
      <c r="CD33" s="43">
        <f>if($F33=$G33,if(and($F33=$G33,Y33&lt;&gt;Z33),'Thể lệ'!$E$6,if($F33=Y33,0,0.5*'Thể lệ'!$E$6)),if(and($F33=Y33,$G33=Z33),"0",if(($F33-$G33)*(Y33-Z33)&gt;0,0.5*'Thể lệ'!$E$6,'Thể lệ'!$E$6)))</f>
        <v>0</v>
      </c>
      <c r="CE33" s="43"/>
      <c r="CF33" s="43">
        <f>if($F33=$G33,if(and($F33=$G33,AA33&lt;&gt;AB33),'Thể lệ'!$E$6,if($F33=AA33,0,0.5*'Thể lệ'!$E$6)),if(and($F33=AA33,$G33=AB33),"0",if(($F33-$G33)*(AA33-AB33)&gt;0,0.5*'Thể lệ'!$E$6,'Thể lệ'!$E$6)))</f>
        <v>0</v>
      </c>
      <c r="CG33" s="43"/>
      <c r="CH33" s="43">
        <f>if($F33=$G33,if(and($F33=$G33,AC33&lt;&gt;AD33),'Thể lệ'!$E$6,if($F33=AC33,0,0.5*'Thể lệ'!$E$6)),if(and($F33=AC33,$G33=AD33),"0",if(($F33-$G33)*(AC33-AD33)&gt;0,0.5*'Thể lệ'!$E$6,'Thể lệ'!$E$6)))</f>
        <v>0</v>
      </c>
      <c r="CI33" s="43"/>
      <c r="CJ33" s="43">
        <f>if($F33=$G33,if(and($F33=$G33,AE33&lt;&gt;AF33),'Thể lệ'!$E$6,if($F33=AE33,0,0.5*'Thể lệ'!$E$6)),if(and($F33=AE33,$G33=AF33),"0",if(($F33-$G33)*(AE33-AF33)&gt;0,0.5*'Thể lệ'!$E$6,'Thể lệ'!$E$6)))</f>
        <v>0</v>
      </c>
      <c r="CK33" s="43"/>
      <c r="CL33" s="43">
        <f>if($F33=$G33,if(and($F33=$G33,AG33&lt;&gt;AH33),'Thể lệ'!$E$6,if($F33=AG33,0,0.5*'Thể lệ'!$E$6)),if(and($F33=AG33,$G33=AH33),"0",if(($F33-$G33)*(AG33-AH33)&gt;0,0.5*'Thể lệ'!$E$6,'Thể lệ'!$E$6)))</f>
        <v>0</v>
      </c>
      <c r="CM33" s="43"/>
      <c r="CN33" s="43">
        <f>if($F33=$G33,if(and($F33=$G33,AI33&lt;&gt;AJ33),'Thể lệ'!$E$6,if($F33=AI33,0,0.5*'Thể lệ'!$E$6)),if(and($F33=AI33,$G33=AJ33),"0",if(($F33-$G33)*(AI33-AJ33)&gt;0,0.5*'Thể lệ'!$E$6,'Thể lệ'!$E$6)))</f>
        <v>0</v>
      </c>
      <c r="CO33" s="43"/>
      <c r="CP33" s="43">
        <f>if($F33=$G33,if(and($F33=$G33,AK33&lt;&gt;AL33),'Thể lệ'!$E$6,if($F33=AK33,0,0.5*'Thể lệ'!$E$6)),if(and($F33=AK33,$G33=AL33),"0",if(($F33-$G33)*(AK33-AL33)&gt;0,0.5*'Thể lệ'!$E$6,'Thể lệ'!$E$6)))</f>
        <v>0</v>
      </c>
      <c r="CQ33" s="43"/>
      <c r="CR33" s="43">
        <f>if($F33=$G33,if(and($F33=$G33,AM33&lt;&gt;AN33),'Thể lệ'!$E$6,if($F33=AM33,0,0.5*'Thể lệ'!$E$6)),if(and($F33=AM33,$G33=AN33),"0",if(($F33-$G33)*(AM33-AN33)&gt;0,0.5*'Thể lệ'!$E$6,'Thể lệ'!$E$6)))</f>
        <v>0</v>
      </c>
      <c r="CS33" s="43"/>
      <c r="CT33" s="44">
        <f>if($F33=$G33,if(and($F33=$G33,AO33&lt;&gt;AP33),'Thể lệ'!$E$6,if($F33=AO33,0,0.5*'Thể lệ'!$E$6)),if(and($F33=AO33,$G33=AP33),"0",if(($F33-$G33)*(AO33-AP33)&gt;0,0.5*'Thể lệ'!$E$6,'Thể lệ'!$E$6)))</f>
        <v>5000</v>
      </c>
      <c r="CU33" s="43"/>
      <c r="CV33" s="43">
        <f>if($F33=$G33,if(and($F33=$G33,AQ33&lt;&gt;AR33),'Thể lệ'!$E$6,if($F33=AQ33,0,0.5*'Thể lệ'!$E$6)),if(and($F33=AQ33,$G33=AR33),"0",if(($F33-$G33)*(AQ33-AR33)&gt;0,0.5*'Thể lệ'!$E$6,'Thể lệ'!$E$6)))</f>
        <v>0</v>
      </c>
      <c r="CW33" s="43"/>
      <c r="CX33" s="44">
        <f>if($F33=$G33,if(and($F33=$G33,AS33&lt;&gt;AT33),'Thể lệ'!$E$6,if($F33=AS33,0,0.5*'Thể lệ'!$E$6)),if(and($F33=AS33,$G33=AT33),"0",if(($F33-$G33)*(AS33-AT33)&gt;0,0.5*'Thể lệ'!$E$6,'Thể lệ'!$E$6)))</f>
        <v>5000</v>
      </c>
      <c r="CY33" s="45"/>
      <c r="CZ33" s="43">
        <f>if($F33=$G33,if(and($F33=$G33,AU33&lt;&gt;AV33),'Thể lệ'!$E$6,if($F33=AU33,0,0.5*'Thể lệ'!$E$6)),if(and($F33=AU33,$G33=AV33),"0",if(($F33-$G33)*(AU33-AV33)&gt;0,0.5*'Thể lệ'!$E$6,'Thể lệ'!$E$6)))</f>
        <v>0</v>
      </c>
      <c r="DA33" s="45"/>
      <c r="DB33" s="43">
        <f>if($F33=$G33,if(and($F33=$G33,AW33&lt;&gt;AX33),'Thể lệ'!$E$6,if($F33=AW33,0,0.5*'Thể lệ'!$E$6)),if(and($F33=AW33,$G33=AX33),"0",if(($F33-$G33)*(AW33-AX33)&gt;0,0.5*'Thể lệ'!$E$6,'Thể lệ'!$E$6)))</f>
        <v>0</v>
      </c>
      <c r="DC33" s="45"/>
      <c r="DD33" s="43">
        <f>if($F33=$G33,if(and($F33=$G33,AY33&lt;&gt;AZ33),'Thể lệ'!$E$6,if($F33=AY33,0,0.5*'Thể lệ'!$E$6)),if(and($F33=AY33,$G33=AZ33),"0",if(($F33-$G33)*(AY33-AZ33)&gt;0,0.5*'Thể lệ'!$E$6,'Thể lệ'!$E$6)))</f>
        <v>0</v>
      </c>
      <c r="DE33" s="45"/>
      <c r="DF33" s="43">
        <f>if($F33=$G33,if(and($F33=$G33,BA33&lt;&gt;BB33),'Thể lệ'!$E$6,if($F33=BA33,0,0.5*'Thể lệ'!$E$6)),if(and($F33=BA33,$G33=BB33),"0",if(($F33-$G33)*(BA33-BB33)&gt;0,0.5*'Thể lệ'!$E$6,'Thể lệ'!$E$6)))</f>
        <v>0</v>
      </c>
      <c r="DG33" s="45"/>
      <c r="DH33" s="44">
        <f>if($F33=$G33,if(and($F33=$G33,BC33&lt;&gt;BD33),'Thể lệ'!$E$6,if($F33=BC33,0,0.5*'Thể lệ'!$E$6)),if(and($F33=BC33,$G33=BD33),"0",if(($F33-$G33)*(BC33-BD33)&gt;0,0.5*'Thể lệ'!$E$6,'Thể lệ'!$E$6)))</f>
        <v>10000</v>
      </c>
      <c r="DI33" s="45"/>
      <c r="DJ33" s="43">
        <f>if($F33=$G33,if(and($F33=$G33,BE33&lt;&gt;BF33),'Thể lệ'!$E$6,if($F33=BE33,0,0.5*'Thể lệ'!$E$6)),if(and($F33=BE33,$G33=BF33),"0",if(($F33-$G33)*(BE33-BF33)&gt;0,0.5*'Thể lệ'!$E$6,'Thể lệ'!$E$6)))</f>
        <v>0</v>
      </c>
      <c r="DK33" s="45"/>
      <c r="DL33" s="43">
        <f>if($F33=$G33,if(and($F33=$G33,BG33&lt;&gt;BH33),'Thể lệ'!$E$6,if($F33=BG33,0,0.5*'Thể lệ'!$E$6)),if(and($F33=BG33,$G33=BH33),"0",if(($F33-$G33)*(BG33-BH33)&gt;0,0.5*'Thể lệ'!$E$6,'Thể lệ'!$E$6)))</f>
        <v>0</v>
      </c>
      <c r="DM33" s="45"/>
      <c r="DN33" s="44">
        <f>if($F33=$G33,if(and($F33=$G33,BI33&lt;&gt;BJ33),'Thể lệ'!$E$6,if($F33=BI33,0,0.5*'Thể lệ'!$E$6)),if(and($F33=BI33,$G33=BJ33),"0",if(($F33-$G33)*(BI33-BJ33)&gt;0,0.5*'Thể lệ'!$E$6,'Thể lệ'!$E$6)))</f>
        <v>10000</v>
      </c>
      <c r="DO33" s="45"/>
      <c r="DP33" s="8"/>
    </row>
    <row r="34">
      <c r="B34" s="22">
        <v>28.0</v>
      </c>
      <c r="C34" s="34">
        <v>46192.33333333333</v>
      </c>
      <c r="D34" s="49">
        <v>46192.33333333333</v>
      </c>
      <c r="E34" s="36" t="s">
        <v>32</v>
      </c>
      <c r="F34" s="23"/>
      <c r="G34" s="23"/>
      <c r="H34" s="36" t="s">
        <v>34</v>
      </c>
      <c r="I34" s="37"/>
      <c r="J34" s="37"/>
      <c r="K34" s="37"/>
      <c r="L34" s="37"/>
      <c r="M34" s="37"/>
      <c r="N34" s="37"/>
      <c r="O34" s="37"/>
      <c r="P34" s="37"/>
      <c r="Q34" s="37" t="str">
        <f t="shared" si="4"/>
        <v/>
      </c>
      <c r="R34" s="37" t="str">
        <f t="shared" si="6"/>
        <v/>
      </c>
      <c r="S34" s="37">
        <v>2.0</v>
      </c>
      <c r="T34" s="37">
        <v>1.0</v>
      </c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>
        <v>2.0</v>
      </c>
      <c r="AP34" s="37">
        <v>1.0</v>
      </c>
      <c r="AQ34" s="37"/>
      <c r="AR34" s="37"/>
      <c r="AS34" s="40">
        <v>2.0</v>
      </c>
      <c r="AT34" s="40">
        <v>1.0</v>
      </c>
      <c r="AU34" s="37"/>
      <c r="AV34" s="37"/>
      <c r="AW34" s="37"/>
      <c r="AX34" s="37"/>
      <c r="AY34" s="37"/>
      <c r="AZ34" s="37"/>
      <c r="BA34" s="37"/>
      <c r="BB34" s="37"/>
      <c r="BC34" s="37">
        <v>1.0</v>
      </c>
      <c r="BD34" s="37">
        <v>1.0</v>
      </c>
      <c r="BE34" s="42"/>
      <c r="BF34" s="37"/>
      <c r="BG34" s="37"/>
      <c r="BH34" s="37"/>
      <c r="BI34" s="37">
        <f>H.Son!H34</f>
        <v>1</v>
      </c>
      <c r="BJ34" s="37">
        <f>H.Son!I34</f>
        <v>1</v>
      </c>
      <c r="BK34" s="37"/>
      <c r="BL34" s="37"/>
      <c r="BM34" s="9"/>
      <c r="BN34" s="43">
        <f>if($F34=$G34,if(and($F34=$G34,I34&lt;&gt;J34),'Thể lệ'!$E$6,if($F34=I34,0,0.5*'Thể lệ'!$E$6)),if(and($F34=I34,$G34=J34),"0",if(($F34-$G34)*(I34-J34)&gt;0,0.5*'Thể lệ'!$E$6,'Thể lệ'!$E$6)))</f>
        <v>0</v>
      </c>
      <c r="BO34" s="43"/>
      <c r="BP34" s="43">
        <f>if($F34=$G34,if(and($F34=$G34,K34&lt;&gt;L34),'Thể lệ'!$E$6,if($F34=K34,0,0.5*'Thể lệ'!$E$6)),if(and($F34=K34,$G34=L34),"0",if(($F34-$G34)*(K34-L34)&gt;0,0.5*'Thể lệ'!$E$6,'Thể lệ'!$E$6)))</f>
        <v>0</v>
      </c>
      <c r="BQ34" s="43"/>
      <c r="BR34" s="43">
        <f>if($F34=$G34,if(and($F34=$G34,M34&lt;&gt;N34),'Thể lệ'!$E$6,if($F34=M34,0,0.5*'Thể lệ'!$E$6)),if(and($F34=M34,$G34=N34),"0",if(($F34-$G34)*(M34-N34)&gt;0,0.5*'Thể lệ'!$E$6,'Thể lệ'!$E$6)))</f>
        <v>0</v>
      </c>
      <c r="BS34" s="43"/>
      <c r="BT34" s="43">
        <f>if($F34=$G34,if(and($F34=$G34,O34&lt;&gt;P34),'Thể lệ'!$E$6,if($F34=O34,0,0.5*'Thể lệ'!$E$6)),if(and($F34=O34,$G34=P34),"0",if(($F34-$G34)*(O34-P34)&gt;0,0.5*'Thể lệ'!$E$6,'Thể lệ'!$E$6)))</f>
        <v>0</v>
      </c>
      <c r="BU34" s="43"/>
      <c r="BV34" s="43">
        <f>if($F34=$G34,if(and($F34=$G34,Q34&lt;&gt;R34),'Thể lệ'!$E$6,if($F34=Q34,0,0.5*'Thể lệ'!$E$6)),if(and($F34=Q34,$G34=R34),"0",if(($F34-$G34)*(Q34-R34)&gt;0,0.5*'Thể lệ'!$E$6,'Thể lệ'!$E$6)))</f>
        <v>0</v>
      </c>
      <c r="BW34" s="43"/>
      <c r="BX34" s="44">
        <f>if($F34=$G34,if(and($F34=$G34,S34&lt;&gt;T34),'Thể lệ'!$E$6,if($F34=S34,0,0.5*'Thể lệ'!$E$6)),if(and($F34=S34,$G34=T34),"0",if(($F34-$G34)*(S34-T34)&gt;0,0.5*'Thể lệ'!$E$6,'Thể lệ'!$E$6)))</f>
        <v>10000</v>
      </c>
      <c r="BY34" s="43"/>
      <c r="BZ34" s="43">
        <f>if($F34=$G34,if(and($F34=$G34,U34&lt;&gt;V34),'Thể lệ'!$E$6,if($F34=U34,0,0.5*'Thể lệ'!$E$6)),if(and($F34=U34,$G34=V34),"0",if(($F34-$G34)*(U34-V34)&gt;0,0.5*'Thể lệ'!$E$6,'Thể lệ'!$E$6)))</f>
        <v>0</v>
      </c>
      <c r="CA34" s="43"/>
      <c r="CB34" s="43">
        <f>if($F34=$G34,if(and($F34=$G34,W34&lt;&gt;X34),'Thể lệ'!$E$6,if($F34=W34,0,0.5*'Thể lệ'!$E$6)),if(and($F34=W34,$G34=X34),"0",if(($F34-$G34)*(W34-X34)&gt;0,0.5*'Thể lệ'!$E$6,'Thể lệ'!$E$6)))</f>
        <v>0</v>
      </c>
      <c r="CC34" s="43"/>
      <c r="CD34" s="43">
        <f>if($F34=$G34,if(and($F34=$G34,Y34&lt;&gt;Z34),'Thể lệ'!$E$6,if($F34=Y34,0,0.5*'Thể lệ'!$E$6)),if(and($F34=Y34,$G34=Z34),"0",if(($F34-$G34)*(Y34-Z34)&gt;0,0.5*'Thể lệ'!$E$6,'Thể lệ'!$E$6)))</f>
        <v>0</v>
      </c>
      <c r="CE34" s="43"/>
      <c r="CF34" s="43">
        <f>if($F34=$G34,if(and($F34=$G34,AA34&lt;&gt;AB34),'Thể lệ'!$E$6,if($F34=AA34,0,0.5*'Thể lệ'!$E$6)),if(and($F34=AA34,$G34=AB34),"0",if(($F34-$G34)*(AA34-AB34)&gt;0,0.5*'Thể lệ'!$E$6,'Thể lệ'!$E$6)))</f>
        <v>0</v>
      </c>
      <c r="CG34" s="43"/>
      <c r="CH34" s="43">
        <f>if($F34=$G34,if(and($F34=$G34,AC34&lt;&gt;AD34),'Thể lệ'!$E$6,if($F34=AC34,0,0.5*'Thể lệ'!$E$6)),if(and($F34=AC34,$G34=AD34),"0",if(($F34-$G34)*(AC34-AD34)&gt;0,0.5*'Thể lệ'!$E$6,'Thể lệ'!$E$6)))</f>
        <v>0</v>
      </c>
      <c r="CI34" s="43"/>
      <c r="CJ34" s="43">
        <f>if($F34=$G34,if(and($F34=$G34,AE34&lt;&gt;AF34),'Thể lệ'!$E$6,if($F34=AE34,0,0.5*'Thể lệ'!$E$6)),if(and($F34=AE34,$G34=AF34),"0",if(($F34-$G34)*(AE34-AF34)&gt;0,0.5*'Thể lệ'!$E$6,'Thể lệ'!$E$6)))</f>
        <v>0</v>
      </c>
      <c r="CK34" s="43"/>
      <c r="CL34" s="43">
        <f>if($F34=$G34,if(and($F34=$G34,AG34&lt;&gt;AH34),'Thể lệ'!$E$6,if($F34=AG34,0,0.5*'Thể lệ'!$E$6)),if(and($F34=AG34,$G34=AH34),"0",if(($F34-$G34)*(AG34-AH34)&gt;0,0.5*'Thể lệ'!$E$6,'Thể lệ'!$E$6)))</f>
        <v>0</v>
      </c>
      <c r="CM34" s="43"/>
      <c r="CN34" s="43">
        <f>if($F34=$G34,if(and($F34=$G34,AI34&lt;&gt;AJ34),'Thể lệ'!$E$6,if($F34=AI34,0,0.5*'Thể lệ'!$E$6)),if(and($F34=AI34,$G34=AJ34),"0",if(($F34-$G34)*(AI34-AJ34)&gt;0,0.5*'Thể lệ'!$E$6,'Thể lệ'!$E$6)))</f>
        <v>0</v>
      </c>
      <c r="CO34" s="43"/>
      <c r="CP34" s="43">
        <f>if($F34=$G34,if(and($F34=$G34,AK34&lt;&gt;AL34),'Thể lệ'!$E$6,if($F34=AK34,0,0.5*'Thể lệ'!$E$6)),if(and($F34=AK34,$G34=AL34),"0",if(($F34-$G34)*(AK34-AL34)&gt;0,0.5*'Thể lệ'!$E$6,'Thể lệ'!$E$6)))</f>
        <v>0</v>
      </c>
      <c r="CQ34" s="43"/>
      <c r="CR34" s="43">
        <f>if($F34=$G34,if(and($F34=$G34,AM34&lt;&gt;AN34),'Thể lệ'!$E$6,if($F34=AM34,0,0.5*'Thể lệ'!$E$6)),if(and($F34=AM34,$G34=AN34),"0",if(($F34-$G34)*(AM34-AN34)&gt;0,0.5*'Thể lệ'!$E$6,'Thể lệ'!$E$6)))</f>
        <v>0</v>
      </c>
      <c r="CS34" s="43"/>
      <c r="CT34" s="44">
        <f>if($F34=$G34,if(and($F34=$G34,AO34&lt;&gt;AP34),'Thể lệ'!$E$6,if($F34=AO34,0,0.5*'Thể lệ'!$E$6)),if(and($F34=AO34,$G34=AP34),"0",if(($F34-$G34)*(AO34-AP34)&gt;0,0.5*'Thể lệ'!$E$6,'Thể lệ'!$E$6)))</f>
        <v>10000</v>
      </c>
      <c r="CU34" s="43"/>
      <c r="CV34" s="43">
        <f>if($F34=$G34,if(and($F34=$G34,AQ34&lt;&gt;AR34),'Thể lệ'!$E$6,if($F34=AQ34,0,0.5*'Thể lệ'!$E$6)),if(and($F34=AQ34,$G34=AR34),"0",if(($F34-$G34)*(AQ34-AR34)&gt;0,0.5*'Thể lệ'!$E$6,'Thể lệ'!$E$6)))</f>
        <v>0</v>
      </c>
      <c r="CW34" s="43"/>
      <c r="CX34" s="44">
        <f>if($F34=$G34,if(and($F34=$G34,AS34&lt;&gt;AT34),'Thể lệ'!$E$6,if($F34=AS34,0,0.5*'Thể lệ'!$E$6)),if(and($F34=AS34,$G34=AT34),"0",if(($F34-$G34)*(AS34-AT34)&gt;0,0.5*'Thể lệ'!$E$6,'Thể lệ'!$E$6)))</f>
        <v>10000</v>
      </c>
      <c r="CY34" s="45"/>
      <c r="CZ34" s="43">
        <f>if($F34=$G34,if(and($F34=$G34,AU34&lt;&gt;AV34),'Thể lệ'!$E$6,if($F34=AU34,0,0.5*'Thể lệ'!$E$6)),if(and($F34=AU34,$G34=AV34),"0",if(($F34-$G34)*(AU34-AV34)&gt;0,0.5*'Thể lệ'!$E$6,'Thể lệ'!$E$6)))</f>
        <v>0</v>
      </c>
      <c r="DA34" s="45"/>
      <c r="DB34" s="43">
        <f>if($F34=$G34,if(and($F34=$G34,AW34&lt;&gt;AX34),'Thể lệ'!$E$6,if($F34=AW34,0,0.5*'Thể lệ'!$E$6)),if(and($F34=AW34,$G34=AX34),"0",if(($F34-$G34)*(AW34-AX34)&gt;0,0.5*'Thể lệ'!$E$6,'Thể lệ'!$E$6)))</f>
        <v>0</v>
      </c>
      <c r="DC34" s="45"/>
      <c r="DD34" s="43">
        <f>if($F34=$G34,if(and($F34=$G34,AY34&lt;&gt;AZ34),'Thể lệ'!$E$6,if($F34=AY34,0,0.5*'Thể lệ'!$E$6)),if(and($F34=AY34,$G34=AZ34),"0",if(($F34-$G34)*(AY34-AZ34)&gt;0,0.5*'Thể lệ'!$E$6,'Thể lệ'!$E$6)))</f>
        <v>0</v>
      </c>
      <c r="DE34" s="45"/>
      <c r="DF34" s="43">
        <f>if($F34=$G34,if(and($F34=$G34,BA34&lt;&gt;BB34),'Thể lệ'!$E$6,if($F34=BA34,0,0.5*'Thể lệ'!$E$6)),if(and($F34=BA34,$G34=BB34),"0",if(($F34-$G34)*(BA34-BB34)&gt;0,0.5*'Thể lệ'!$E$6,'Thể lệ'!$E$6)))</f>
        <v>0</v>
      </c>
      <c r="DG34" s="45"/>
      <c r="DH34" s="44">
        <f>if($F34=$G34,if(and($F34=$G34,BC34&lt;&gt;BD34),'Thể lệ'!$E$6,if($F34=BC34,0,0.5*'Thể lệ'!$E$6)),if(and($F34=BC34,$G34=BD34),"0",if(($F34-$G34)*(BC34-BD34)&gt;0,0.5*'Thể lệ'!$E$6,'Thể lệ'!$E$6)))</f>
        <v>5000</v>
      </c>
      <c r="DI34" s="45"/>
      <c r="DJ34" s="43">
        <f>if($F34=$G34,if(and($F34=$G34,BE34&lt;&gt;BF34),'Thể lệ'!$E$6,if($F34=BE34,0,0.5*'Thể lệ'!$E$6)),if(and($F34=BE34,$G34=BF34),"0",if(($F34-$G34)*(BE34-BF34)&gt;0,0.5*'Thể lệ'!$E$6,'Thể lệ'!$E$6)))</f>
        <v>0</v>
      </c>
      <c r="DK34" s="45"/>
      <c r="DL34" s="43">
        <f>if($F34=$G34,if(and($F34=$G34,BG34&lt;&gt;BH34),'Thể lệ'!$E$6,if($F34=BG34,0,0.5*'Thể lệ'!$E$6)),if(and($F34=BG34,$G34=BH34),"0",if(($F34-$G34)*(BG34-BH34)&gt;0,0.5*'Thể lệ'!$E$6,'Thể lệ'!$E$6)))</f>
        <v>0</v>
      </c>
      <c r="DM34" s="45"/>
      <c r="DN34" s="44">
        <f>if($F34=$G34,if(and($F34=$G34,BI34&lt;&gt;BJ34),'Thể lệ'!$E$6,if($F34=BI34,0,0.5*'Thể lệ'!$E$6)),if(and($F34=BI34,$G34=BJ34),"0",if(($F34-$G34)*(BI34-BJ34)&gt;0,0.5*'Thể lệ'!$E$6,'Thể lệ'!$E$6)))</f>
        <v>5000</v>
      </c>
      <c r="DO34" s="45"/>
      <c r="DP34" s="8"/>
    </row>
    <row r="35">
      <c r="B35" s="22">
        <v>29.0</v>
      </c>
      <c r="C35" s="34">
        <v>46193.08333333333</v>
      </c>
      <c r="D35" s="49">
        <v>46193.08333333333</v>
      </c>
      <c r="E35" s="36" t="s">
        <v>38</v>
      </c>
      <c r="F35" s="23"/>
      <c r="G35" s="23"/>
      <c r="H35" s="36" t="s">
        <v>46</v>
      </c>
      <c r="I35" s="37"/>
      <c r="J35" s="37"/>
      <c r="K35" s="37"/>
      <c r="L35" s="37"/>
      <c r="M35" s="37"/>
      <c r="N35" s="37"/>
      <c r="O35" s="37"/>
      <c r="P35" s="37"/>
      <c r="Q35" s="37" t="str">
        <f t="shared" si="4"/>
        <v/>
      </c>
      <c r="R35" s="37" t="str">
        <f t="shared" si="6"/>
        <v/>
      </c>
      <c r="S35" s="37">
        <v>2.0</v>
      </c>
      <c r="T35" s="37">
        <v>1.0</v>
      </c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>
        <v>2.0</v>
      </c>
      <c r="AP35" s="37">
        <v>2.0</v>
      </c>
      <c r="AQ35" s="37"/>
      <c r="AR35" s="37"/>
      <c r="AS35" s="40">
        <v>2.0</v>
      </c>
      <c r="AT35" s="40">
        <v>0.0</v>
      </c>
      <c r="AU35" s="37"/>
      <c r="AV35" s="37"/>
      <c r="AW35" s="37"/>
      <c r="AX35" s="37"/>
      <c r="AY35" s="37"/>
      <c r="AZ35" s="37"/>
      <c r="BA35" s="37"/>
      <c r="BB35" s="37"/>
      <c r="BC35" s="37">
        <v>2.0</v>
      </c>
      <c r="BD35" s="37">
        <v>1.0</v>
      </c>
      <c r="BE35" s="42"/>
      <c r="BF35" s="37"/>
      <c r="BG35" s="37"/>
      <c r="BH35" s="37"/>
      <c r="BI35" s="37">
        <f>H.Son!H35</f>
        <v>2</v>
      </c>
      <c r="BJ35" s="37">
        <f>H.Son!I35</f>
        <v>1</v>
      </c>
      <c r="BK35" s="37"/>
      <c r="BL35" s="37"/>
      <c r="BM35" s="9"/>
      <c r="BN35" s="43">
        <f>if($F35=$G35,if(and($F35=$G35,I35&lt;&gt;J35),'Thể lệ'!$E$6,if($F35=I35,0,0.5*'Thể lệ'!$E$6)),if(and($F35=I35,$G35=J35),"0",if(($F35-$G35)*(I35-J35)&gt;0,0.5*'Thể lệ'!$E$6,'Thể lệ'!$E$6)))</f>
        <v>0</v>
      </c>
      <c r="BO35" s="43"/>
      <c r="BP35" s="43">
        <f>if($F35=$G35,if(and($F35=$G35,K35&lt;&gt;L35),'Thể lệ'!$E$6,if($F35=K35,0,0.5*'Thể lệ'!$E$6)),if(and($F35=K35,$G35=L35),"0",if(($F35-$G35)*(K35-L35)&gt;0,0.5*'Thể lệ'!$E$6,'Thể lệ'!$E$6)))</f>
        <v>0</v>
      </c>
      <c r="BQ35" s="43"/>
      <c r="BR35" s="43">
        <f>if($F35=$G35,if(and($F35=$G35,M35&lt;&gt;N35),'Thể lệ'!$E$6,if($F35=M35,0,0.5*'Thể lệ'!$E$6)),if(and($F35=M35,$G35=N35),"0",if(($F35-$G35)*(M35-N35)&gt;0,0.5*'Thể lệ'!$E$6,'Thể lệ'!$E$6)))</f>
        <v>0</v>
      </c>
      <c r="BS35" s="43"/>
      <c r="BT35" s="43">
        <f>if($F35=$G35,if(and($F35=$G35,O35&lt;&gt;P35),'Thể lệ'!$E$6,if($F35=O35,0,0.5*'Thể lệ'!$E$6)),if(and($F35=O35,$G35=P35),"0",if(($F35-$G35)*(O35-P35)&gt;0,0.5*'Thể lệ'!$E$6,'Thể lệ'!$E$6)))</f>
        <v>0</v>
      </c>
      <c r="BU35" s="43"/>
      <c r="BV35" s="43">
        <f>if($F35=$G35,if(and($F35=$G35,Q35&lt;&gt;R35),'Thể lệ'!$E$6,if($F35=Q35,0,0.5*'Thể lệ'!$E$6)),if(and($F35=Q35,$G35=R35),"0",if(($F35-$G35)*(Q35-R35)&gt;0,0.5*'Thể lệ'!$E$6,'Thể lệ'!$E$6)))</f>
        <v>0</v>
      </c>
      <c r="BW35" s="43"/>
      <c r="BX35" s="44">
        <f>if($F35=$G35,if(and($F35=$G35,S35&lt;&gt;T35),'Thể lệ'!$E$6,if($F35=S35,0,0.5*'Thể lệ'!$E$6)),if(and($F35=S35,$G35=T35),"0",if(($F35-$G35)*(S35-T35)&gt;0,0.5*'Thể lệ'!$E$6,'Thể lệ'!$E$6)))</f>
        <v>10000</v>
      </c>
      <c r="BY35" s="43"/>
      <c r="BZ35" s="43">
        <f>if($F35=$G35,if(and($F35=$G35,U35&lt;&gt;V35),'Thể lệ'!$E$6,if($F35=U35,0,0.5*'Thể lệ'!$E$6)),if(and($F35=U35,$G35=V35),"0",if(($F35-$G35)*(U35-V35)&gt;0,0.5*'Thể lệ'!$E$6,'Thể lệ'!$E$6)))</f>
        <v>0</v>
      </c>
      <c r="CA35" s="43"/>
      <c r="CB35" s="43">
        <f>if($F35=$G35,if(and($F35=$G35,W35&lt;&gt;X35),'Thể lệ'!$E$6,if($F35=W35,0,0.5*'Thể lệ'!$E$6)),if(and($F35=W35,$G35=X35),"0",if(($F35-$G35)*(W35-X35)&gt;0,0.5*'Thể lệ'!$E$6,'Thể lệ'!$E$6)))</f>
        <v>0</v>
      </c>
      <c r="CC35" s="43"/>
      <c r="CD35" s="43">
        <f>if($F35=$G35,if(and($F35=$G35,Y35&lt;&gt;Z35),'Thể lệ'!$E$6,if($F35=Y35,0,0.5*'Thể lệ'!$E$6)),if(and($F35=Y35,$G35=Z35),"0",if(($F35-$G35)*(Y35-Z35)&gt;0,0.5*'Thể lệ'!$E$6,'Thể lệ'!$E$6)))</f>
        <v>0</v>
      </c>
      <c r="CE35" s="43"/>
      <c r="CF35" s="43">
        <f>if($F35=$G35,if(and($F35=$G35,AA35&lt;&gt;AB35),'Thể lệ'!$E$6,if($F35=AA35,0,0.5*'Thể lệ'!$E$6)),if(and($F35=AA35,$G35=AB35),"0",if(($F35-$G35)*(AA35-AB35)&gt;0,0.5*'Thể lệ'!$E$6,'Thể lệ'!$E$6)))</f>
        <v>0</v>
      </c>
      <c r="CG35" s="43"/>
      <c r="CH35" s="43">
        <f>if($F35=$G35,if(and($F35=$G35,AC35&lt;&gt;AD35),'Thể lệ'!$E$6,if($F35=AC35,0,0.5*'Thể lệ'!$E$6)),if(and($F35=AC35,$G35=AD35),"0",if(($F35-$G35)*(AC35-AD35)&gt;0,0.5*'Thể lệ'!$E$6,'Thể lệ'!$E$6)))</f>
        <v>0</v>
      </c>
      <c r="CI35" s="43"/>
      <c r="CJ35" s="43">
        <f>if($F35=$G35,if(and($F35=$G35,AE35&lt;&gt;AF35),'Thể lệ'!$E$6,if($F35=AE35,0,0.5*'Thể lệ'!$E$6)),if(and($F35=AE35,$G35=AF35),"0",if(($F35-$G35)*(AE35-AF35)&gt;0,0.5*'Thể lệ'!$E$6,'Thể lệ'!$E$6)))</f>
        <v>0</v>
      </c>
      <c r="CK35" s="43"/>
      <c r="CL35" s="43">
        <f>if($F35=$G35,if(and($F35=$G35,AG35&lt;&gt;AH35),'Thể lệ'!$E$6,if($F35=AG35,0,0.5*'Thể lệ'!$E$6)),if(and($F35=AG35,$G35=AH35),"0",if(($F35-$G35)*(AG35-AH35)&gt;0,0.5*'Thể lệ'!$E$6,'Thể lệ'!$E$6)))</f>
        <v>0</v>
      </c>
      <c r="CM35" s="43"/>
      <c r="CN35" s="43">
        <f>if($F35=$G35,if(and($F35=$G35,AI35&lt;&gt;AJ35),'Thể lệ'!$E$6,if($F35=AI35,0,0.5*'Thể lệ'!$E$6)),if(and($F35=AI35,$G35=AJ35),"0",if(($F35-$G35)*(AI35-AJ35)&gt;0,0.5*'Thể lệ'!$E$6,'Thể lệ'!$E$6)))</f>
        <v>0</v>
      </c>
      <c r="CO35" s="43"/>
      <c r="CP35" s="43">
        <f>if($F35=$G35,if(and($F35=$G35,AK35&lt;&gt;AL35),'Thể lệ'!$E$6,if($F35=AK35,0,0.5*'Thể lệ'!$E$6)),if(and($F35=AK35,$G35=AL35),"0",if(($F35-$G35)*(AK35-AL35)&gt;0,0.5*'Thể lệ'!$E$6,'Thể lệ'!$E$6)))</f>
        <v>0</v>
      </c>
      <c r="CQ35" s="43"/>
      <c r="CR35" s="43">
        <f>if($F35=$G35,if(and($F35=$G35,AM35&lt;&gt;AN35),'Thể lệ'!$E$6,if($F35=AM35,0,0.5*'Thể lệ'!$E$6)),if(and($F35=AM35,$G35=AN35),"0",if(($F35-$G35)*(AM35-AN35)&gt;0,0.5*'Thể lệ'!$E$6,'Thể lệ'!$E$6)))</f>
        <v>0</v>
      </c>
      <c r="CS35" s="43"/>
      <c r="CT35" s="44">
        <f>if($F35=$G35,if(and($F35=$G35,AO35&lt;&gt;AP35),'Thể lệ'!$E$6,if($F35=AO35,0,0.5*'Thể lệ'!$E$6)),if(and($F35=AO35,$G35=AP35),"0",if(($F35-$G35)*(AO35-AP35)&gt;0,0.5*'Thể lệ'!$E$6,'Thể lệ'!$E$6)))</f>
        <v>5000</v>
      </c>
      <c r="CU35" s="43"/>
      <c r="CV35" s="43">
        <f>if($F35=$G35,if(and($F35=$G35,AQ35&lt;&gt;AR35),'Thể lệ'!$E$6,if($F35=AQ35,0,0.5*'Thể lệ'!$E$6)),if(and($F35=AQ35,$G35=AR35),"0",if(($F35-$G35)*(AQ35-AR35)&gt;0,0.5*'Thể lệ'!$E$6,'Thể lệ'!$E$6)))</f>
        <v>0</v>
      </c>
      <c r="CW35" s="43"/>
      <c r="CX35" s="44">
        <f>if($F35=$G35,if(and($F35=$G35,AS35&lt;&gt;AT35),'Thể lệ'!$E$6,if($F35=AS35,0,0.5*'Thể lệ'!$E$6)),if(and($F35=AS35,$G35=AT35),"0",if(($F35-$G35)*(AS35-AT35)&gt;0,0.5*'Thể lệ'!$E$6,'Thể lệ'!$E$6)))</f>
        <v>10000</v>
      </c>
      <c r="CY35" s="45"/>
      <c r="CZ35" s="43">
        <f>if($F35=$G35,if(and($F35=$G35,AU35&lt;&gt;AV35),'Thể lệ'!$E$6,if($F35=AU35,0,0.5*'Thể lệ'!$E$6)),if(and($F35=AU35,$G35=AV35),"0",if(($F35-$G35)*(AU35-AV35)&gt;0,0.5*'Thể lệ'!$E$6,'Thể lệ'!$E$6)))</f>
        <v>0</v>
      </c>
      <c r="DA35" s="45"/>
      <c r="DB35" s="43">
        <f>if($F35=$G35,if(and($F35=$G35,AW35&lt;&gt;AX35),'Thể lệ'!$E$6,if($F35=AW35,0,0.5*'Thể lệ'!$E$6)),if(and($F35=AW35,$G35=AX35),"0",if(($F35-$G35)*(AW35-AX35)&gt;0,0.5*'Thể lệ'!$E$6,'Thể lệ'!$E$6)))</f>
        <v>0</v>
      </c>
      <c r="DC35" s="45"/>
      <c r="DD35" s="43">
        <f>if($F35=$G35,if(and($F35=$G35,AY35&lt;&gt;AZ35),'Thể lệ'!$E$6,if($F35=AY35,0,0.5*'Thể lệ'!$E$6)),if(and($F35=AY35,$G35=AZ35),"0",if(($F35-$G35)*(AY35-AZ35)&gt;0,0.5*'Thể lệ'!$E$6,'Thể lệ'!$E$6)))</f>
        <v>0</v>
      </c>
      <c r="DE35" s="45"/>
      <c r="DF35" s="43">
        <f>if($F35=$G35,if(and($F35=$G35,BA35&lt;&gt;BB35),'Thể lệ'!$E$6,if($F35=BA35,0,0.5*'Thể lệ'!$E$6)),if(and($F35=BA35,$G35=BB35),"0",if(($F35-$G35)*(BA35-BB35)&gt;0,0.5*'Thể lệ'!$E$6,'Thể lệ'!$E$6)))</f>
        <v>0</v>
      </c>
      <c r="DG35" s="45"/>
      <c r="DH35" s="44">
        <f>if($F35=$G35,if(and($F35=$G35,BC35&lt;&gt;BD35),'Thể lệ'!$E$6,if($F35=BC35,0,0.5*'Thể lệ'!$E$6)),if(and($F35=BC35,$G35=BD35),"0",if(($F35-$G35)*(BC35-BD35)&gt;0,0.5*'Thể lệ'!$E$6,'Thể lệ'!$E$6)))</f>
        <v>10000</v>
      </c>
      <c r="DI35" s="45"/>
      <c r="DJ35" s="43">
        <f>if($F35=$G35,if(and($F35=$G35,BE35&lt;&gt;BF35),'Thể lệ'!$E$6,if($F35=BE35,0,0.5*'Thể lệ'!$E$6)),if(and($F35=BE35,$G35=BF35),"0",if(($F35-$G35)*(BE35-BF35)&gt;0,0.5*'Thể lệ'!$E$6,'Thể lệ'!$E$6)))</f>
        <v>0</v>
      </c>
      <c r="DK35" s="45"/>
      <c r="DL35" s="43">
        <f>if($F35=$G35,if(and($F35=$G35,BG35&lt;&gt;BH35),'Thể lệ'!$E$6,if($F35=BG35,0,0.5*'Thể lệ'!$E$6)),if(and($F35=BG35,$G35=BH35),"0",if(($F35-$G35)*(BG35-BH35)&gt;0,0.5*'Thể lệ'!$E$6,'Thể lệ'!$E$6)))</f>
        <v>0</v>
      </c>
      <c r="DM35" s="45"/>
      <c r="DN35" s="44">
        <f>if($F35=$G35,if(and($F35=$G35,BI35&lt;&gt;BJ35),'Thể lệ'!$E$6,if($F35=BI35,0,0.5*'Thể lệ'!$E$6)),if(and($F35=BI35,$G35=BJ35),"0",if(($F35-$G35)*(BI35-BJ35)&gt;0,0.5*'Thể lệ'!$E$6,'Thể lệ'!$E$6)))</f>
        <v>10000</v>
      </c>
      <c r="DO35" s="45"/>
      <c r="DP35" s="8"/>
    </row>
    <row r="36">
      <c r="B36" s="22">
        <v>30.0</v>
      </c>
      <c r="C36" s="34">
        <v>46193.20833333333</v>
      </c>
      <c r="D36" s="49">
        <v>46193.20833333333</v>
      </c>
      <c r="E36" s="36" t="s">
        <v>45</v>
      </c>
      <c r="F36" s="23"/>
      <c r="G36" s="23"/>
      <c r="H36" s="36" t="s">
        <v>43</v>
      </c>
      <c r="I36" s="37"/>
      <c r="J36" s="37"/>
      <c r="K36" s="37"/>
      <c r="L36" s="37"/>
      <c r="M36" s="37"/>
      <c r="N36" s="37"/>
      <c r="O36" s="37"/>
      <c r="P36" s="37"/>
      <c r="Q36" s="37" t="str">
        <f t="shared" si="4"/>
        <v/>
      </c>
      <c r="R36" s="37" t="str">
        <f t="shared" si="6"/>
        <v/>
      </c>
      <c r="S36" s="37">
        <v>1.0</v>
      </c>
      <c r="T36" s="37">
        <v>1.0</v>
      </c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>
        <v>2.0</v>
      </c>
      <c r="AP36" s="37">
        <v>2.0</v>
      </c>
      <c r="AQ36" s="37"/>
      <c r="AR36" s="37"/>
      <c r="AS36" s="40">
        <v>0.0</v>
      </c>
      <c r="AT36" s="40">
        <v>3.0</v>
      </c>
      <c r="AU36" s="37"/>
      <c r="AV36" s="37"/>
      <c r="AW36" s="37"/>
      <c r="AX36" s="37"/>
      <c r="AY36" s="37"/>
      <c r="AZ36" s="37"/>
      <c r="BA36" s="37"/>
      <c r="BB36" s="37"/>
      <c r="BC36" s="37">
        <v>0.0</v>
      </c>
      <c r="BD36" s="37">
        <v>2.0</v>
      </c>
      <c r="BE36" s="42"/>
      <c r="BF36" s="37"/>
      <c r="BG36" s="37"/>
      <c r="BH36" s="37"/>
      <c r="BI36" s="37">
        <f>H.Son!H36</f>
        <v>1</v>
      </c>
      <c r="BJ36" s="37">
        <f>H.Son!I36</f>
        <v>1</v>
      </c>
      <c r="BK36" s="37"/>
      <c r="BL36" s="37"/>
      <c r="BM36" s="9"/>
      <c r="BN36" s="43">
        <f>if($F36=$G36,if(and($F36=$G36,I36&lt;&gt;J36),'Thể lệ'!$E$6,if($F36=I36,0,0.5*'Thể lệ'!$E$6)),if(and($F36=I36,$G36=J36),"0",if(($F36-$G36)*(I36-J36)&gt;0,0.5*'Thể lệ'!$E$6,'Thể lệ'!$E$6)))</f>
        <v>0</v>
      </c>
      <c r="BO36" s="43"/>
      <c r="BP36" s="43">
        <f>if($F36=$G36,if(and($F36=$G36,K36&lt;&gt;L36),'Thể lệ'!$E$6,if($F36=K36,0,0.5*'Thể lệ'!$E$6)),if(and($F36=K36,$G36=L36),"0",if(($F36-$G36)*(K36-L36)&gt;0,0.5*'Thể lệ'!$E$6,'Thể lệ'!$E$6)))</f>
        <v>0</v>
      </c>
      <c r="BQ36" s="43"/>
      <c r="BR36" s="43">
        <f>if($F36=$G36,if(and($F36=$G36,M36&lt;&gt;N36),'Thể lệ'!$E$6,if($F36=M36,0,0.5*'Thể lệ'!$E$6)),if(and($F36=M36,$G36=N36),"0",if(($F36-$G36)*(M36-N36)&gt;0,0.5*'Thể lệ'!$E$6,'Thể lệ'!$E$6)))</f>
        <v>0</v>
      </c>
      <c r="BS36" s="43"/>
      <c r="BT36" s="43">
        <f>if($F36=$G36,if(and($F36=$G36,O36&lt;&gt;P36),'Thể lệ'!$E$6,if($F36=O36,0,0.5*'Thể lệ'!$E$6)),if(and($F36=O36,$G36=P36),"0",if(($F36-$G36)*(O36-P36)&gt;0,0.5*'Thể lệ'!$E$6,'Thể lệ'!$E$6)))</f>
        <v>0</v>
      </c>
      <c r="BU36" s="43"/>
      <c r="BV36" s="43">
        <f>if($F36=$G36,if(and($F36=$G36,Q36&lt;&gt;R36),'Thể lệ'!$E$6,if($F36=Q36,0,0.5*'Thể lệ'!$E$6)),if(and($F36=Q36,$G36=R36),"0",if(($F36-$G36)*(Q36-R36)&gt;0,0.5*'Thể lệ'!$E$6,'Thể lệ'!$E$6)))</f>
        <v>0</v>
      </c>
      <c r="BW36" s="43"/>
      <c r="BX36" s="44">
        <f>if($F36=$G36,if(and($F36=$G36,S36&lt;&gt;T36),'Thể lệ'!$E$6,if($F36=S36,0,0.5*'Thể lệ'!$E$6)),if(and($F36=S36,$G36=T36),"0",if(($F36-$G36)*(S36-T36)&gt;0,0.5*'Thể lệ'!$E$6,'Thể lệ'!$E$6)))</f>
        <v>5000</v>
      </c>
      <c r="BY36" s="43"/>
      <c r="BZ36" s="43">
        <f>if($F36=$G36,if(and($F36=$G36,U36&lt;&gt;V36),'Thể lệ'!$E$6,if($F36=U36,0,0.5*'Thể lệ'!$E$6)),if(and($F36=U36,$G36=V36),"0",if(($F36-$G36)*(U36-V36)&gt;0,0.5*'Thể lệ'!$E$6,'Thể lệ'!$E$6)))</f>
        <v>0</v>
      </c>
      <c r="CA36" s="43"/>
      <c r="CB36" s="43">
        <f>if($F36=$G36,if(and($F36=$G36,W36&lt;&gt;X36),'Thể lệ'!$E$6,if($F36=W36,0,0.5*'Thể lệ'!$E$6)),if(and($F36=W36,$G36=X36),"0",if(($F36-$G36)*(W36-X36)&gt;0,0.5*'Thể lệ'!$E$6,'Thể lệ'!$E$6)))</f>
        <v>0</v>
      </c>
      <c r="CC36" s="43"/>
      <c r="CD36" s="43">
        <f>if($F36=$G36,if(and($F36=$G36,Y36&lt;&gt;Z36),'Thể lệ'!$E$6,if($F36=Y36,0,0.5*'Thể lệ'!$E$6)),if(and($F36=Y36,$G36=Z36),"0",if(($F36-$G36)*(Y36-Z36)&gt;0,0.5*'Thể lệ'!$E$6,'Thể lệ'!$E$6)))</f>
        <v>0</v>
      </c>
      <c r="CE36" s="43"/>
      <c r="CF36" s="43">
        <f>if($F36=$G36,if(and($F36=$G36,AA36&lt;&gt;AB36),'Thể lệ'!$E$6,if($F36=AA36,0,0.5*'Thể lệ'!$E$6)),if(and($F36=AA36,$G36=AB36),"0",if(($F36-$G36)*(AA36-AB36)&gt;0,0.5*'Thể lệ'!$E$6,'Thể lệ'!$E$6)))</f>
        <v>0</v>
      </c>
      <c r="CG36" s="43"/>
      <c r="CH36" s="43">
        <f>if($F36=$G36,if(and($F36=$G36,AC36&lt;&gt;AD36),'Thể lệ'!$E$6,if($F36=AC36,0,0.5*'Thể lệ'!$E$6)),if(and($F36=AC36,$G36=AD36),"0",if(($F36-$G36)*(AC36-AD36)&gt;0,0.5*'Thể lệ'!$E$6,'Thể lệ'!$E$6)))</f>
        <v>0</v>
      </c>
      <c r="CI36" s="43"/>
      <c r="CJ36" s="43">
        <f>if($F36=$G36,if(and($F36=$G36,AE36&lt;&gt;AF36),'Thể lệ'!$E$6,if($F36=AE36,0,0.5*'Thể lệ'!$E$6)),if(and($F36=AE36,$G36=AF36),"0",if(($F36-$G36)*(AE36-AF36)&gt;0,0.5*'Thể lệ'!$E$6,'Thể lệ'!$E$6)))</f>
        <v>0</v>
      </c>
      <c r="CK36" s="43"/>
      <c r="CL36" s="43">
        <f>if($F36=$G36,if(and($F36=$G36,AG36&lt;&gt;AH36),'Thể lệ'!$E$6,if($F36=AG36,0,0.5*'Thể lệ'!$E$6)),if(and($F36=AG36,$G36=AH36),"0",if(($F36-$G36)*(AG36-AH36)&gt;0,0.5*'Thể lệ'!$E$6,'Thể lệ'!$E$6)))</f>
        <v>0</v>
      </c>
      <c r="CM36" s="43"/>
      <c r="CN36" s="43">
        <f>if($F36=$G36,if(and($F36=$G36,AI36&lt;&gt;AJ36),'Thể lệ'!$E$6,if($F36=AI36,0,0.5*'Thể lệ'!$E$6)),if(and($F36=AI36,$G36=AJ36),"0",if(($F36-$G36)*(AI36-AJ36)&gt;0,0.5*'Thể lệ'!$E$6,'Thể lệ'!$E$6)))</f>
        <v>0</v>
      </c>
      <c r="CO36" s="43"/>
      <c r="CP36" s="43">
        <f>if($F36=$G36,if(and($F36=$G36,AK36&lt;&gt;AL36),'Thể lệ'!$E$6,if($F36=AK36,0,0.5*'Thể lệ'!$E$6)),if(and($F36=AK36,$G36=AL36),"0",if(($F36-$G36)*(AK36-AL36)&gt;0,0.5*'Thể lệ'!$E$6,'Thể lệ'!$E$6)))</f>
        <v>0</v>
      </c>
      <c r="CQ36" s="43"/>
      <c r="CR36" s="43">
        <f>if($F36=$G36,if(and($F36=$G36,AM36&lt;&gt;AN36),'Thể lệ'!$E$6,if($F36=AM36,0,0.5*'Thể lệ'!$E$6)),if(and($F36=AM36,$G36=AN36),"0",if(($F36-$G36)*(AM36-AN36)&gt;0,0.5*'Thể lệ'!$E$6,'Thể lệ'!$E$6)))</f>
        <v>0</v>
      </c>
      <c r="CS36" s="43"/>
      <c r="CT36" s="44">
        <f>if($F36=$G36,if(and($F36=$G36,AO36&lt;&gt;AP36),'Thể lệ'!$E$6,if($F36=AO36,0,0.5*'Thể lệ'!$E$6)),if(and($F36=AO36,$G36=AP36),"0",if(($F36-$G36)*(AO36-AP36)&gt;0,0.5*'Thể lệ'!$E$6,'Thể lệ'!$E$6)))</f>
        <v>5000</v>
      </c>
      <c r="CU36" s="43"/>
      <c r="CV36" s="43">
        <f>if($F36=$G36,if(and($F36=$G36,AQ36&lt;&gt;AR36),'Thể lệ'!$E$6,if($F36=AQ36,0,0.5*'Thể lệ'!$E$6)),if(and($F36=AQ36,$G36=AR36),"0",if(($F36-$G36)*(AQ36-AR36)&gt;0,0.5*'Thể lệ'!$E$6,'Thể lệ'!$E$6)))</f>
        <v>0</v>
      </c>
      <c r="CW36" s="43"/>
      <c r="CX36" s="44">
        <f>if($F36=$G36,if(and($F36=$G36,AS36&lt;&gt;AT36),'Thể lệ'!$E$6,if($F36=AS36,0,0.5*'Thể lệ'!$E$6)),if(and($F36=AS36,$G36=AT36),"0",if(($F36-$G36)*(AS36-AT36)&gt;0,0.5*'Thể lệ'!$E$6,'Thể lệ'!$E$6)))</f>
        <v>10000</v>
      </c>
      <c r="CY36" s="45"/>
      <c r="CZ36" s="43">
        <f>if($F36=$G36,if(and($F36=$G36,AU36&lt;&gt;AV36),'Thể lệ'!$E$6,if($F36=AU36,0,0.5*'Thể lệ'!$E$6)),if(and($F36=AU36,$G36=AV36),"0",if(($F36-$G36)*(AU36-AV36)&gt;0,0.5*'Thể lệ'!$E$6,'Thể lệ'!$E$6)))</f>
        <v>0</v>
      </c>
      <c r="DA36" s="45"/>
      <c r="DB36" s="43">
        <f>if($F36=$G36,if(and($F36=$G36,AW36&lt;&gt;AX36),'Thể lệ'!$E$6,if($F36=AW36,0,0.5*'Thể lệ'!$E$6)),if(and($F36=AW36,$G36=AX36),"0",if(($F36-$G36)*(AW36-AX36)&gt;0,0.5*'Thể lệ'!$E$6,'Thể lệ'!$E$6)))</f>
        <v>0</v>
      </c>
      <c r="DC36" s="45"/>
      <c r="DD36" s="43">
        <f>if($F36=$G36,if(and($F36=$G36,AY36&lt;&gt;AZ36),'Thể lệ'!$E$6,if($F36=AY36,0,0.5*'Thể lệ'!$E$6)),if(and($F36=AY36,$G36=AZ36),"0",if(($F36-$G36)*(AY36-AZ36)&gt;0,0.5*'Thể lệ'!$E$6,'Thể lệ'!$E$6)))</f>
        <v>0</v>
      </c>
      <c r="DE36" s="45"/>
      <c r="DF36" s="43">
        <f>if($F36=$G36,if(and($F36=$G36,BA36&lt;&gt;BB36),'Thể lệ'!$E$6,if($F36=BA36,0,0.5*'Thể lệ'!$E$6)),if(and($F36=BA36,$G36=BB36),"0",if(($F36-$G36)*(BA36-BB36)&gt;0,0.5*'Thể lệ'!$E$6,'Thể lệ'!$E$6)))</f>
        <v>0</v>
      </c>
      <c r="DG36" s="45"/>
      <c r="DH36" s="44">
        <f>if($F36=$G36,if(and($F36=$G36,BC36&lt;&gt;BD36),'Thể lệ'!$E$6,if($F36=BC36,0,0.5*'Thể lệ'!$E$6)),if(and($F36=BC36,$G36=BD36),"0",if(($F36-$G36)*(BC36-BD36)&gt;0,0.5*'Thể lệ'!$E$6,'Thể lệ'!$E$6)))</f>
        <v>10000</v>
      </c>
      <c r="DI36" s="45"/>
      <c r="DJ36" s="43">
        <f>if($F36=$G36,if(and($F36=$G36,BE36&lt;&gt;BF36),'Thể lệ'!$E$6,if($F36=BE36,0,0.5*'Thể lệ'!$E$6)),if(and($F36=BE36,$G36=BF36),"0",if(($F36-$G36)*(BE36-BF36)&gt;0,0.5*'Thể lệ'!$E$6,'Thể lệ'!$E$6)))</f>
        <v>0</v>
      </c>
      <c r="DK36" s="45"/>
      <c r="DL36" s="43">
        <f>if($F36=$G36,if(and($F36=$G36,BG36&lt;&gt;BH36),'Thể lệ'!$E$6,if($F36=BG36,0,0.5*'Thể lệ'!$E$6)),if(and($F36=BG36,$G36=BH36),"0",if(($F36-$G36)*(BG36-BH36)&gt;0,0.5*'Thể lệ'!$E$6,'Thể lệ'!$E$6)))</f>
        <v>0</v>
      </c>
      <c r="DM36" s="45"/>
      <c r="DN36" s="44">
        <f>if($F36=$G36,if(and($F36=$G36,BI36&lt;&gt;BJ36),'Thể lệ'!$E$6,if($F36=BI36,0,0.5*'Thể lệ'!$E$6)),if(and($F36=BI36,$G36=BJ36),"0",if(($F36-$G36)*(BI36-BJ36)&gt;0,0.5*'Thể lệ'!$E$6,'Thể lệ'!$E$6)))</f>
        <v>5000</v>
      </c>
      <c r="DO36" s="45"/>
      <c r="DP36" s="8"/>
    </row>
    <row r="37">
      <c r="B37" s="22">
        <v>31.0</v>
      </c>
      <c r="C37" s="34">
        <v>46193.31249999999</v>
      </c>
      <c r="D37" s="49">
        <v>46193.31249999999</v>
      </c>
      <c r="E37" s="36" t="s">
        <v>42</v>
      </c>
      <c r="F37" s="23"/>
      <c r="G37" s="23"/>
      <c r="H37" s="36" t="s">
        <v>44</v>
      </c>
      <c r="I37" s="37"/>
      <c r="J37" s="37"/>
      <c r="K37" s="37"/>
      <c r="L37" s="37"/>
      <c r="M37" s="37"/>
      <c r="N37" s="37"/>
      <c r="O37" s="37"/>
      <c r="P37" s="37"/>
      <c r="Q37" s="37" t="str">
        <f t="shared" si="4"/>
        <v/>
      </c>
      <c r="R37" s="37" t="str">
        <f t="shared" si="6"/>
        <v/>
      </c>
      <c r="S37" s="37">
        <v>4.0</v>
      </c>
      <c r="T37" s="37">
        <v>0.0</v>
      </c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>
        <v>3.0</v>
      </c>
      <c r="AP37" s="37">
        <v>0.0</v>
      </c>
      <c r="AQ37" s="37"/>
      <c r="AR37" s="37"/>
      <c r="AS37" s="40">
        <v>3.0</v>
      </c>
      <c r="AT37" s="40">
        <v>0.0</v>
      </c>
      <c r="AU37" s="37"/>
      <c r="AV37" s="37"/>
      <c r="AW37" s="37"/>
      <c r="AX37" s="37"/>
      <c r="AY37" s="37"/>
      <c r="AZ37" s="37"/>
      <c r="BA37" s="37"/>
      <c r="BB37" s="37"/>
      <c r="BC37" s="37">
        <v>4.0</v>
      </c>
      <c r="BD37" s="37">
        <v>0.0</v>
      </c>
      <c r="BE37" s="42"/>
      <c r="BF37" s="37"/>
      <c r="BG37" s="37"/>
      <c r="BH37" s="37"/>
      <c r="BI37" s="37">
        <f>H.Son!H37</f>
        <v>3</v>
      </c>
      <c r="BJ37" s="37">
        <f>H.Son!I37</f>
        <v>0</v>
      </c>
      <c r="BK37" s="37"/>
      <c r="BL37" s="37"/>
      <c r="BM37" s="9"/>
      <c r="BN37" s="43">
        <f>if($F37=$G37,if(and($F37=$G37,I37&lt;&gt;J37),'Thể lệ'!$E$6,if($F37=I37,0,0.5*'Thể lệ'!$E$6)),if(and($F37=I37,$G37=J37),"0",if(($F37-$G37)*(I37-J37)&gt;0,0.5*'Thể lệ'!$E$6,'Thể lệ'!$E$6)))</f>
        <v>0</v>
      </c>
      <c r="BO37" s="43"/>
      <c r="BP37" s="43">
        <f>if($F37=$G37,if(and($F37=$G37,K37&lt;&gt;L37),'Thể lệ'!$E$6,if($F37=K37,0,0.5*'Thể lệ'!$E$6)),if(and($F37=K37,$G37=L37),"0",if(($F37-$G37)*(K37-L37)&gt;0,0.5*'Thể lệ'!$E$6,'Thể lệ'!$E$6)))</f>
        <v>0</v>
      </c>
      <c r="BQ37" s="43"/>
      <c r="BR37" s="43">
        <f>if($F37=$G37,if(and($F37=$G37,M37&lt;&gt;N37),'Thể lệ'!$E$6,if($F37=M37,0,0.5*'Thể lệ'!$E$6)),if(and($F37=M37,$G37=N37),"0",if(($F37-$G37)*(M37-N37)&gt;0,0.5*'Thể lệ'!$E$6,'Thể lệ'!$E$6)))</f>
        <v>0</v>
      </c>
      <c r="BS37" s="43"/>
      <c r="BT37" s="43">
        <f>if($F37=$G37,if(and($F37=$G37,O37&lt;&gt;P37),'Thể lệ'!$E$6,if($F37=O37,0,0.5*'Thể lệ'!$E$6)),if(and($F37=O37,$G37=P37),"0",if(($F37-$G37)*(O37-P37)&gt;0,0.5*'Thể lệ'!$E$6,'Thể lệ'!$E$6)))</f>
        <v>0</v>
      </c>
      <c r="BU37" s="43"/>
      <c r="BV37" s="43">
        <f>if($F37=$G37,if(and($F37=$G37,Q37&lt;&gt;R37),'Thể lệ'!$E$6,if($F37=Q37,0,0.5*'Thể lệ'!$E$6)),if(and($F37=Q37,$G37=R37),"0",if(($F37-$G37)*(Q37-R37)&gt;0,0.5*'Thể lệ'!$E$6,'Thể lệ'!$E$6)))</f>
        <v>0</v>
      </c>
      <c r="BW37" s="43"/>
      <c r="BX37" s="44">
        <f>if($F37=$G37,if(and($F37=$G37,S37&lt;&gt;T37),'Thể lệ'!$E$6,if($F37=S37,0,0.5*'Thể lệ'!$E$6)),if(and($F37=S37,$G37=T37),"0",if(($F37-$G37)*(S37-T37)&gt;0,0.5*'Thể lệ'!$E$6,'Thể lệ'!$E$6)))</f>
        <v>10000</v>
      </c>
      <c r="BY37" s="43"/>
      <c r="BZ37" s="43">
        <f>if($F37=$G37,if(and($F37=$G37,U37&lt;&gt;V37),'Thể lệ'!$E$6,if($F37=U37,0,0.5*'Thể lệ'!$E$6)),if(and($F37=U37,$G37=V37),"0",if(($F37-$G37)*(U37-V37)&gt;0,0.5*'Thể lệ'!$E$6,'Thể lệ'!$E$6)))</f>
        <v>0</v>
      </c>
      <c r="CA37" s="43"/>
      <c r="CB37" s="43">
        <f>if($F37=$G37,if(and($F37=$G37,W37&lt;&gt;X37),'Thể lệ'!$E$6,if($F37=W37,0,0.5*'Thể lệ'!$E$6)),if(and($F37=W37,$G37=X37),"0",if(($F37-$G37)*(W37-X37)&gt;0,0.5*'Thể lệ'!$E$6,'Thể lệ'!$E$6)))</f>
        <v>0</v>
      </c>
      <c r="CC37" s="43"/>
      <c r="CD37" s="43">
        <f>if($F37=$G37,if(and($F37=$G37,Y37&lt;&gt;Z37),'Thể lệ'!$E$6,if($F37=Y37,0,0.5*'Thể lệ'!$E$6)),if(and($F37=Y37,$G37=Z37),"0",if(($F37-$G37)*(Y37-Z37)&gt;0,0.5*'Thể lệ'!$E$6,'Thể lệ'!$E$6)))</f>
        <v>0</v>
      </c>
      <c r="CE37" s="43"/>
      <c r="CF37" s="43">
        <f>if($F37=$G37,if(and($F37=$G37,AA37&lt;&gt;AB37),'Thể lệ'!$E$6,if($F37=AA37,0,0.5*'Thể lệ'!$E$6)),if(and($F37=AA37,$G37=AB37),"0",if(($F37-$G37)*(AA37-AB37)&gt;0,0.5*'Thể lệ'!$E$6,'Thể lệ'!$E$6)))</f>
        <v>0</v>
      </c>
      <c r="CG37" s="43"/>
      <c r="CH37" s="43">
        <f>if($F37=$G37,if(and($F37=$G37,AC37&lt;&gt;AD37),'Thể lệ'!$E$6,if($F37=AC37,0,0.5*'Thể lệ'!$E$6)),if(and($F37=AC37,$G37=AD37),"0",if(($F37-$G37)*(AC37-AD37)&gt;0,0.5*'Thể lệ'!$E$6,'Thể lệ'!$E$6)))</f>
        <v>0</v>
      </c>
      <c r="CI37" s="43"/>
      <c r="CJ37" s="43">
        <f>if($F37=$G37,if(and($F37=$G37,AE37&lt;&gt;AF37),'Thể lệ'!$E$6,if($F37=AE37,0,0.5*'Thể lệ'!$E$6)),if(and($F37=AE37,$G37=AF37),"0",if(($F37-$G37)*(AE37-AF37)&gt;0,0.5*'Thể lệ'!$E$6,'Thể lệ'!$E$6)))</f>
        <v>0</v>
      </c>
      <c r="CK37" s="43"/>
      <c r="CL37" s="43">
        <f>if($F37=$G37,if(and($F37=$G37,AG37&lt;&gt;AH37),'Thể lệ'!$E$6,if($F37=AG37,0,0.5*'Thể lệ'!$E$6)),if(and($F37=AG37,$G37=AH37),"0",if(($F37-$G37)*(AG37-AH37)&gt;0,0.5*'Thể lệ'!$E$6,'Thể lệ'!$E$6)))</f>
        <v>0</v>
      </c>
      <c r="CM37" s="43"/>
      <c r="CN37" s="43">
        <f>if($F37=$G37,if(and($F37=$G37,AI37&lt;&gt;AJ37),'Thể lệ'!$E$6,if($F37=AI37,0,0.5*'Thể lệ'!$E$6)),if(and($F37=AI37,$G37=AJ37),"0",if(($F37-$G37)*(AI37-AJ37)&gt;0,0.5*'Thể lệ'!$E$6,'Thể lệ'!$E$6)))</f>
        <v>0</v>
      </c>
      <c r="CO37" s="43"/>
      <c r="CP37" s="43">
        <f>if($F37=$G37,if(and($F37=$G37,AK37&lt;&gt;AL37),'Thể lệ'!$E$6,if($F37=AK37,0,0.5*'Thể lệ'!$E$6)),if(and($F37=AK37,$G37=AL37),"0",if(($F37-$G37)*(AK37-AL37)&gt;0,0.5*'Thể lệ'!$E$6,'Thể lệ'!$E$6)))</f>
        <v>0</v>
      </c>
      <c r="CQ37" s="43"/>
      <c r="CR37" s="43">
        <f>if($F37=$G37,if(and($F37=$G37,AM37&lt;&gt;AN37),'Thể lệ'!$E$6,if($F37=AM37,0,0.5*'Thể lệ'!$E$6)),if(and($F37=AM37,$G37=AN37),"0",if(($F37-$G37)*(AM37-AN37)&gt;0,0.5*'Thể lệ'!$E$6,'Thể lệ'!$E$6)))</f>
        <v>0</v>
      </c>
      <c r="CS37" s="43"/>
      <c r="CT37" s="44">
        <f>if($F37=$G37,if(and($F37=$G37,AO37&lt;&gt;AP37),'Thể lệ'!$E$6,if($F37=AO37,0,0.5*'Thể lệ'!$E$6)),if(and($F37=AO37,$G37=AP37),"0",if(($F37-$G37)*(AO37-AP37)&gt;0,0.5*'Thể lệ'!$E$6,'Thể lệ'!$E$6)))</f>
        <v>10000</v>
      </c>
      <c r="CU37" s="43"/>
      <c r="CV37" s="43">
        <f>if($F37=$G37,if(and($F37=$G37,AQ37&lt;&gt;AR37),'Thể lệ'!$E$6,if($F37=AQ37,0,0.5*'Thể lệ'!$E$6)),if(and($F37=AQ37,$G37=AR37),"0",if(($F37-$G37)*(AQ37-AR37)&gt;0,0.5*'Thể lệ'!$E$6,'Thể lệ'!$E$6)))</f>
        <v>0</v>
      </c>
      <c r="CW37" s="43"/>
      <c r="CX37" s="44">
        <f>if($F37=$G37,if(and($F37=$G37,AS37&lt;&gt;AT37),'Thể lệ'!$E$6,if($F37=AS37,0,0.5*'Thể lệ'!$E$6)),if(and($F37=AS37,$G37=AT37),"0",if(($F37-$G37)*(AS37-AT37)&gt;0,0.5*'Thể lệ'!$E$6,'Thể lệ'!$E$6)))</f>
        <v>10000</v>
      </c>
      <c r="CY37" s="45"/>
      <c r="CZ37" s="43">
        <f>if($F37=$G37,if(and($F37=$G37,AU37&lt;&gt;AV37),'Thể lệ'!$E$6,if($F37=AU37,0,0.5*'Thể lệ'!$E$6)),if(and($F37=AU37,$G37=AV37),"0",if(($F37-$G37)*(AU37-AV37)&gt;0,0.5*'Thể lệ'!$E$6,'Thể lệ'!$E$6)))</f>
        <v>0</v>
      </c>
      <c r="DA37" s="45"/>
      <c r="DB37" s="43">
        <f>if($F37=$G37,if(and($F37=$G37,AW37&lt;&gt;AX37),'Thể lệ'!$E$6,if($F37=AW37,0,0.5*'Thể lệ'!$E$6)),if(and($F37=AW37,$G37=AX37),"0",if(($F37-$G37)*(AW37-AX37)&gt;0,0.5*'Thể lệ'!$E$6,'Thể lệ'!$E$6)))</f>
        <v>0</v>
      </c>
      <c r="DC37" s="45"/>
      <c r="DD37" s="43">
        <f>if($F37=$G37,if(and($F37=$G37,AY37&lt;&gt;AZ37),'Thể lệ'!$E$6,if($F37=AY37,0,0.5*'Thể lệ'!$E$6)),if(and($F37=AY37,$G37=AZ37),"0",if(($F37-$G37)*(AY37-AZ37)&gt;0,0.5*'Thể lệ'!$E$6,'Thể lệ'!$E$6)))</f>
        <v>0</v>
      </c>
      <c r="DE37" s="45"/>
      <c r="DF37" s="43">
        <f>if($F37=$G37,if(and($F37=$G37,BA37&lt;&gt;BB37),'Thể lệ'!$E$6,if($F37=BA37,0,0.5*'Thể lệ'!$E$6)),if(and($F37=BA37,$G37=BB37),"0",if(($F37-$G37)*(BA37-BB37)&gt;0,0.5*'Thể lệ'!$E$6,'Thể lệ'!$E$6)))</f>
        <v>0</v>
      </c>
      <c r="DG37" s="45"/>
      <c r="DH37" s="44">
        <f>if($F37=$G37,if(and($F37=$G37,BC37&lt;&gt;BD37),'Thể lệ'!$E$6,if($F37=BC37,0,0.5*'Thể lệ'!$E$6)),if(and($F37=BC37,$G37=BD37),"0",if(($F37-$G37)*(BC37-BD37)&gt;0,0.5*'Thể lệ'!$E$6,'Thể lệ'!$E$6)))</f>
        <v>10000</v>
      </c>
      <c r="DI37" s="45"/>
      <c r="DJ37" s="43">
        <f>if($F37=$G37,if(and($F37=$G37,BE37&lt;&gt;BF37),'Thể lệ'!$E$6,if($F37=BE37,0,0.5*'Thể lệ'!$E$6)),if(and($F37=BE37,$G37=BF37),"0",if(($F37-$G37)*(BE37-BF37)&gt;0,0.5*'Thể lệ'!$E$6,'Thể lệ'!$E$6)))</f>
        <v>0</v>
      </c>
      <c r="DK37" s="45"/>
      <c r="DL37" s="43">
        <f>if($F37=$G37,if(and($F37=$G37,BG37&lt;&gt;BH37),'Thể lệ'!$E$6,if($F37=BG37,0,0.5*'Thể lệ'!$E$6)),if(and($F37=BG37,$G37=BH37),"0",if(($F37-$G37)*(BG37-BH37)&gt;0,0.5*'Thể lệ'!$E$6,'Thể lệ'!$E$6)))</f>
        <v>0</v>
      </c>
      <c r="DM37" s="45"/>
      <c r="DN37" s="44">
        <f>if($F37=$G37,if(and($F37=$G37,BI37&lt;&gt;BJ37),'Thể lệ'!$E$6,if($F37=BI37,0,0.5*'Thể lệ'!$E$6)),if(and($F37=BI37,$G37=BJ37),"0",if(($F37-$G37)*(BI37-BJ37)&gt;0,0.5*'Thể lệ'!$E$6,'Thể lệ'!$E$6)))</f>
        <v>10000</v>
      </c>
      <c r="DO37" s="45"/>
      <c r="DP37" s="8"/>
    </row>
    <row r="38">
      <c r="B38" s="22">
        <v>32.0</v>
      </c>
      <c r="C38" s="34">
        <v>46193.416666666664</v>
      </c>
      <c r="D38" s="49">
        <v>46193.416666666664</v>
      </c>
      <c r="E38" s="36" t="s">
        <v>47</v>
      </c>
      <c r="F38" s="23"/>
      <c r="G38" s="23"/>
      <c r="H38" s="36" t="s">
        <v>39</v>
      </c>
      <c r="I38" s="37"/>
      <c r="J38" s="37"/>
      <c r="K38" s="37"/>
      <c r="L38" s="37"/>
      <c r="M38" s="37"/>
      <c r="N38" s="37"/>
      <c r="O38" s="37"/>
      <c r="P38" s="37"/>
      <c r="Q38" s="37" t="str">
        <f t="shared" si="4"/>
        <v/>
      </c>
      <c r="R38" s="37" t="str">
        <f t="shared" si="6"/>
        <v/>
      </c>
      <c r="S38" s="37">
        <v>2.0</v>
      </c>
      <c r="T38" s="37">
        <v>1.0</v>
      </c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>
        <v>1.0</v>
      </c>
      <c r="AP38" s="37">
        <v>2.0</v>
      </c>
      <c r="AQ38" s="37"/>
      <c r="AR38" s="37"/>
      <c r="AS38" s="40">
        <v>1.0</v>
      </c>
      <c r="AT38" s="40">
        <v>1.0</v>
      </c>
      <c r="AU38" s="37"/>
      <c r="AV38" s="37"/>
      <c r="AW38" s="37"/>
      <c r="AX38" s="37"/>
      <c r="AY38" s="37"/>
      <c r="AZ38" s="37"/>
      <c r="BA38" s="37"/>
      <c r="BB38" s="37"/>
      <c r="BC38" s="37">
        <v>1.0</v>
      </c>
      <c r="BD38" s="37">
        <v>1.0</v>
      </c>
      <c r="BE38" s="42"/>
      <c r="BF38" s="37"/>
      <c r="BG38" s="37"/>
      <c r="BH38" s="37"/>
      <c r="BI38" s="37">
        <f>H.Son!H38</f>
        <v>2</v>
      </c>
      <c r="BJ38" s="37">
        <f>H.Son!I38</f>
        <v>1</v>
      </c>
      <c r="BK38" s="37"/>
      <c r="BL38" s="37"/>
      <c r="BM38" s="9"/>
      <c r="BN38" s="43">
        <f>if($F38=$G38,if(and($F38=$G38,I38&lt;&gt;J38),'Thể lệ'!$E$6,if($F38=I38,0,0.5*'Thể lệ'!$E$6)),if(and($F38=I38,$G38=J38),"0",if(($F38-$G38)*(I38-J38)&gt;0,0.5*'Thể lệ'!$E$6,'Thể lệ'!$E$6)))</f>
        <v>0</v>
      </c>
      <c r="BO38" s="43"/>
      <c r="BP38" s="43">
        <f>if($F38=$G38,if(and($F38=$G38,K38&lt;&gt;L38),'Thể lệ'!$E$6,if($F38=K38,0,0.5*'Thể lệ'!$E$6)),if(and($F38=K38,$G38=L38),"0",if(($F38-$G38)*(K38-L38)&gt;0,0.5*'Thể lệ'!$E$6,'Thể lệ'!$E$6)))</f>
        <v>0</v>
      </c>
      <c r="BQ38" s="43"/>
      <c r="BR38" s="43">
        <f>if($F38=$G38,if(and($F38=$G38,M38&lt;&gt;N38),'Thể lệ'!$E$6,if($F38=M38,0,0.5*'Thể lệ'!$E$6)),if(and($F38=M38,$G38=N38),"0",if(($F38-$G38)*(M38-N38)&gt;0,0.5*'Thể lệ'!$E$6,'Thể lệ'!$E$6)))</f>
        <v>0</v>
      </c>
      <c r="BS38" s="43"/>
      <c r="BT38" s="43">
        <f>if($F38=$G38,if(and($F38=$G38,O38&lt;&gt;P38),'Thể lệ'!$E$6,if($F38=O38,0,0.5*'Thể lệ'!$E$6)),if(and($F38=O38,$G38=P38),"0",if(($F38-$G38)*(O38-P38)&gt;0,0.5*'Thể lệ'!$E$6,'Thể lệ'!$E$6)))</f>
        <v>0</v>
      </c>
      <c r="BU38" s="43"/>
      <c r="BV38" s="43">
        <f>if($F38=$G38,if(and($F38=$G38,Q38&lt;&gt;R38),'Thể lệ'!$E$6,if($F38=Q38,0,0.5*'Thể lệ'!$E$6)),if(and($F38=Q38,$G38=R38),"0",if(($F38-$G38)*(Q38-R38)&gt;0,0.5*'Thể lệ'!$E$6,'Thể lệ'!$E$6)))</f>
        <v>0</v>
      </c>
      <c r="BW38" s="43"/>
      <c r="BX38" s="44">
        <f>if($F38=$G38,if(and($F38=$G38,S38&lt;&gt;T38),'Thể lệ'!$E$6,if($F38=S38,0,0.5*'Thể lệ'!$E$6)),if(and($F38=S38,$G38=T38),"0",if(($F38-$G38)*(S38-T38)&gt;0,0.5*'Thể lệ'!$E$6,'Thể lệ'!$E$6)))</f>
        <v>10000</v>
      </c>
      <c r="BY38" s="43"/>
      <c r="BZ38" s="43">
        <f>if($F38=$G38,if(and($F38=$G38,U38&lt;&gt;V38),'Thể lệ'!$E$6,if($F38=U38,0,0.5*'Thể lệ'!$E$6)),if(and($F38=U38,$G38=V38),"0",if(($F38-$G38)*(U38-V38)&gt;0,0.5*'Thể lệ'!$E$6,'Thể lệ'!$E$6)))</f>
        <v>0</v>
      </c>
      <c r="CA38" s="43"/>
      <c r="CB38" s="43">
        <f>if($F38=$G38,if(and($F38=$G38,W38&lt;&gt;X38),'Thể lệ'!$E$6,if($F38=W38,0,0.5*'Thể lệ'!$E$6)),if(and($F38=W38,$G38=X38),"0",if(($F38-$G38)*(W38-X38)&gt;0,0.5*'Thể lệ'!$E$6,'Thể lệ'!$E$6)))</f>
        <v>0</v>
      </c>
      <c r="CC38" s="43"/>
      <c r="CD38" s="43">
        <f>if($F38=$G38,if(and($F38=$G38,Y38&lt;&gt;Z38),'Thể lệ'!$E$6,if($F38=Y38,0,0.5*'Thể lệ'!$E$6)),if(and($F38=Y38,$G38=Z38),"0",if(($F38-$G38)*(Y38-Z38)&gt;0,0.5*'Thể lệ'!$E$6,'Thể lệ'!$E$6)))</f>
        <v>0</v>
      </c>
      <c r="CE38" s="43"/>
      <c r="CF38" s="43">
        <f>if($F38=$G38,if(and($F38=$G38,AA38&lt;&gt;AB38),'Thể lệ'!$E$6,if($F38=AA38,0,0.5*'Thể lệ'!$E$6)),if(and($F38=AA38,$G38=AB38),"0",if(($F38-$G38)*(AA38-AB38)&gt;0,0.5*'Thể lệ'!$E$6,'Thể lệ'!$E$6)))</f>
        <v>0</v>
      </c>
      <c r="CG38" s="43"/>
      <c r="CH38" s="43">
        <f>if($F38=$G38,if(and($F38=$G38,AC38&lt;&gt;AD38),'Thể lệ'!$E$6,if($F38=AC38,0,0.5*'Thể lệ'!$E$6)),if(and($F38=AC38,$G38=AD38),"0",if(($F38-$G38)*(AC38-AD38)&gt;0,0.5*'Thể lệ'!$E$6,'Thể lệ'!$E$6)))</f>
        <v>0</v>
      </c>
      <c r="CI38" s="43"/>
      <c r="CJ38" s="43">
        <f>if($F38=$G38,if(and($F38=$G38,AE38&lt;&gt;AF38),'Thể lệ'!$E$6,if($F38=AE38,0,0.5*'Thể lệ'!$E$6)),if(and($F38=AE38,$G38=AF38),"0",if(($F38-$G38)*(AE38-AF38)&gt;0,0.5*'Thể lệ'!$E$6,'Thể lệ'!$E$6)))</f>
        <v>0</v>
      </c>
      <c r="CK38" s="43"/>
      <c r="CL38" s="43">
        <f>if($F38=$G38,if(and($F38=$G38,AG38&lt;&gt;AH38),'Thể lệ'!$E$6,if($F38=AG38,0,0.5*'Thể lệ'!$E$6)),if(and($F38=AG38,$G38=AH38),"0",if(($F38-$G38)*(AG38-AH38)&gt;0,0.5*'Thể lệ'!$E$6,'Thể lệ'!$E$6)))</f>
        <v>0</v>
      </c>
      <c r="CM38" s="43"/>
      <c r="CN38" s="43">
        <f>if($F38=$G38,if(and($F38=$G38,AI38&lt;&gt;AJ38),'Thể lệ'!$E$6,if($F38=AI38,0,0.5*'Thể lệ'!$E$6)),if(and($F38=AI38,$G38=AJ38),"0",if(($F38-$G38)*(AI38-AJ38)&gt;0,0.5*'Thể lệ'!$E$6,'Thể lệ'!$E$6)))</f>
        <v>0</v>
      </c>
      <c r="CO38" s="43"/>
      <c r="CP38" s="43">
        <f>if($F38=$G38,if(and($F38=$G38,AK38&lt;&gt;AL38),'Thể lệ'!$E$6,if($F38=AK38,0,0.5*'Thể lệ'!$E$6)),if(and($F38=AK38,$G38=AL38),"0",if(($F38-$G38)*(AK38-AL38)&gt;0,0.5*'Thể lệ'!$E$6,'Thể lệ'!$E$6)))</f>
        <v>0</v>
      </c>
      <c r="CQ38" s="43"/>
      <c r="CR38" s="43">
        <f>if($F38=$G38,if(and($F38=$G38,AM38&lt;&gt;AN38),'Thể lệ'!$E$6,if($F38=AM38,0,0.5*'Thể lệ'!$E$6)),if(and($F38=AM38,$G38=AN38),"0",if(($F38-$G38)*(AM38-AN38)&gt;0,0.5*'Thể lệ'!$E$6,'Thể lệ'!$E$6)))</f>
        <v>0</v>
      </c>
      <c r="CS38" s="43"/>
      <c r="CT38" s="44">
        <f>if($F38=$G38,if(and($F38=$G38,AO38&lt;&gt;AP38),'Thể lệ'!$E$6,if($F38=AO38,0,0.5*'Thể lệ'!$E$6)),if(and($F38=AO38,$G38=AP38),"0",if(($F38-$G38)*(AO38-AP38)&gt;0,0.5*'Thể lệ'!$E$6,'Thể lệ'!$E$6)))</f>
        <v>10000</v>
      </c>
      <c r="CU38" s="43"/>
      <c r="CV38" s="43">
        <f>if($F38=$G38,if(and($F38=$G38,AQ38&lt;&gt;AR38),'Thể lệ'!$E$6,if($F38=AQ38,0,0.5*'Thể lệ'!$E$6)),if(and($F38=AQ38,$G38=AR38),"0",if(($F38-$G38)*(AQ38-AR38)&gt;0,0.5*'Thể lệ'!$E$6,'Thể lệ'!$E$6)))</f>
        <v>0</v>
      </c>
      <c r="CW38" s="43"/>
      <c r="CX38" s="44">
        <f>if($F38=$G38,if(and($F38=$G38,AS38&lt;&gt;AT38),'Thể lệ'!$E$6,if($F38=AS38,0,0.5*'Thể lệ'!$E$6)),if(and($F38=AS38,$G38=AT38),"0",if(($F38-$G38)*(AS38-AT38)&gt;0,0.5*'Thể lệ'!$E$6,'Thể lệ'!$E$6)))</f>
        <v>5000</v>
      </c>
      <c r="CY38" s="45"/>
      <c r="CZ38" s="43">
        <f>if($F38=$G38,if(and($F38=$G38,AU38&lt;&gt;AV38),'Thể lệ'!$E$6,if($F38=AU38,0,0.5*'Thể lệ'!$E$6)),if(and($F38=AU38,$G38=AV38),"0",if(($F38-$G38)*(AU38-AV38)&gt;0,0.5*'Thể lệ'!$E$6,'Thể lệ'!$E$6)))</f>
        <v>0</v>
      </c>
      <c r="DA38" s="45"/>
      <c r="DB38" s="43">
        <f>if($F38=$G38,if(and($F38=$G38,AW38&lt;&gt;AX38),'Thể lệ'!$E$6,if($F38=AW38,0,0.5*'Thể lệ'!$E$6)),if(and($F38=AW38,$G38=AX38),"0",if(($F38-$G38)*(AW38-AX38)&gt;0,0.5*'Thể lệ'!$E$6,'Thể lệ'!$E$6)))</f>
        <v>0</v>
      </c>
      <c r="DC38" s="45"/>
      <c r="DD38" s="43">
        <f>if($F38=$G38,if(and($F38=$G38,AY38&lt;&gt;AZ38),'Thể lệ'!$E$6,if($F38=AY38,0,0.5*'Thể lệ'!$E$6)),if(and($F38=AY38,$G38=AZ38),"0",if(($F38-$G38)*(AY38-AZ38)&gt;0,0.5*'Thể lệ'!$E$6,'Thể lệ'!$E$6)))</f>
        <v>0</v>
      </c>
      <c r="DE38" s="45"/>
      <c r="DF38" s="43">
        <f>if($F38=$G38,if(and($F38=$G38,BA38&lt;&gt;BB38),'Thể lệ'!$E$6,if($F38=BA38,0,0.5*'Thể lệ'!$E$6)),if(and($F38=BA38,$G38=BB38),"0",if(($F38-$G38)*(BA38-BB38)&gt;0,0.5*'Thể lệ'!$E$6,'Thể lệ'!$E$6)))</f>
        <v>0</v>
      </c>
      <c r="DG38" s="45"/>
      <c r="DH38" s="44">
        <f>if($F38=$G38,if(and($F38=$G38,BC38&lt;&gt;BD38),'Thể lệ'!$E$6,if($F38=BC38,0,0.5*'Thể lệ'!$E$6)),if(and($F38=BC38,$G38=BD38),"0",if(($F38-$G38)*(BC38-BD38)&gt;0,0.5*'Thể lệ'!$E$6,'Thể lệ'!$E$6)))</f>
        <v>5000</v>
      </c>
      <c r="DI38" s="45"/>
      <c r="DJ38" s="43">
        <f>if($F38=$G38,if(and($F38=$G38,BE38&lt;&gt;BF38),'Thể lệ'!$E$6,if($F38=BE38,0,0.5*'Thể lệ'!$E$6)),if(and($F38=BE38,$G38=BF38),"0",if(($F38-$G38)*(BE38-BF38)&gt;0,0.5*'Thể lệ'!$E$6,'Thể lệ'!$E$6)))</f>
        <v>0</v>
      </c>
      <c r="DK38" s="45"/>
      <c r="DL38" s="43">
        <f>if($F38=$G38,if(and($F38=$G38,BG38&lt;&gt;BH38),'Thể lệ'!$E$6,if($F38=BG38,0,0.5*'Thể lệ'!$E$6)),if(and($F38=BG38,$G38=BH38),"0",if(($F38-$G38)*(BG38-BH38)&gt;0,0.5*'Thể lệ'!$E$6,'Thể lệ'!$E$6)))</f>
        <v>0</v>
      </c>
      <c r="DM38" s="45"/>
      <c r="DN38" s="44">
        <f>if($F38=$G38,if(and($F38=$G38,BI38&lt;&gt;BJ38),'Thể lệ'!$E$6,if($F38=BI38,0,0.5*'Thể lệ'!$E$6)),if(and($F38=BI38,$G38=BJ38),"0",if(($F38-$G38)*(BI38-BJ38)&gt;0,0.5*'Thể lệ'!$E$6,'Thể lệ'!$E$6)))</f>
        <v>10000</v>
      </c>
      <c r="DO38" s="45"/>
      <c r="DP38" s="8"/>
    </row>
    <row r="39">
      <c r="B39" s="22">
        <v>33.0</v>
      </c>
      <c r="C39" s="34">
        <v>46193.99999999999</v>
      </c>
      <c r="D39" s="49">
        <v>46193.99999999999</v>
      </c>
      <c r="E39" s="36" t="s">
        <v>50</v>
      </c>
      <c r="F39" s="23"/>
      <c r="G39" s="23"/>
      <c r="H39" s="36" t="s">
        <v>54</v>
      </c>
      <c r="I39" s="37"/>
      <c r="J39" s="37"/>
      <c r="K39" s="37"/>
      <c r="L39" s="37"/>
      <c r="M39" s="37"/>
      <c r="N39" s="37"/>
      <c r="O39" s="37"/>
      <c r="P39" s="37"/>
      <c r="Q39" s="37" t="str">
        <f t="shared" si="4"/>
        <v/>
      </c>
      <c r="R39" s="37" t="str">
        <f t="shared" si="6"/>
        <v/>
      </c>
      <c r="S39" s="37">
        <v>2.0</v>
      </c>
      <c r="T39" s="37">
        <v>1.0</v>
      </c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>
        <v>2.0</v>
      </c>
      <c r="AP39" s="37">
        <v>0.0</v>
      </c>
      <c r="AQ39" s="37"/>
      <c r="AR39" s="37"/>
      <c r="AS39" s="40">
        <v>2.0</v>
      </c>
      <c r="AT39" s="40">
        <v>0.0</v>
      </c>
      <c r="AU39" s="37"/>
      <c r="AV39" s="37"/>
      <c r="AW39" s="37"/>
      <c r="AX39" s="37"/>
      <c r="AY39" s="37"/>
      <c r="AZ39" s="37"/>
      <c r="BA39" s="37"/>
      <c r="BB39" s="37"/>
      <c r="BC39" s="37">
        <v>2.0</v>
      </c>
      <c r="BD39" s="37">
        <v>0.0</v>
      </c>
      <c r="BE39" s="42"/>
      <c r="BF39" s="37"/>
      <c r="BG39" s="37"/>
      <c r="BH39" s="37"/>
      <c r="BI39" s="37">
        <f>H.Son!H39</f>
        <v>1</v>
      </c>
      <c r="BJ39" s="37">
        <f>H.Son!I39</f>
        <v>0</v>
      </c>
      <c r="BK39" s="37"/>
      <c r="BL39" s="37"/>
      <c r="BM39" s="9"/>
      <c r="BN39" s="43">
        <f>if($F39=$G39,if(and($F39=$G39,I39&lt;&gt;J39),'Thể lệ'!$E$6,if($F39=I39,0,0.5*'Thể lệ'!$E$6)),if(and($F39=I39,$G39=J39),"0",if(($F39-$G39)*(I39-J39)&gt;0,0.5*'Thể lệ'!$E$6,'Thể lệ'!$E$6)))</f>
        <v>0</v>
      </c>
      <c r="BO39" s="43"/>
      <c r="BP39" s="43">
        <f>if($F39=$G39,if(and($F39=$G39,K39&lt;&gt;L39),'Thể lệ'!$E$6,if($F39=K39,0,0.5*'Thể lệ'!$E$6)),if(and($F39=K39,$G39=L39),"0",if(($F39-$G39)*(K39-L39)&gt;0,0.5*'Thể lệ'!$E$6,'Thể lệ'!$E$6)))</f>
        <v>0</v>
      </c>
      <c r="BQ39" s="43"/>
      <c r="BR39" s="43">
        <f>if($F39=$G39,if(and($F39=$G39,M39&lt;&gt;N39),'Thể lệ'!$E$6,if($F39=M39,0,0.5*'Thể lệ'!$E$6)),if(and($F39=M39,$G39=N39),"0",if(($F39-$G39)*(M39-N39)&gt;0,0.5*'Thể lệ'!$E$6,'Thể lệ'!$E$6)))</f>
        <v>0</v>
      </c>
      <c r="BS39" s="43"/>
      <c r="BT39" s="43">
        <f>if($F39=$G39,if(and($F39=$G39,O39&lt;&gt;P39),'Thể lệ'!$E$6,if($F39=O39,0,0.5*'Thể lệ'!$E$6)),if(and($F39=O39,$G39=P39),"0",if(($F39-$G39)*(O39-P39)&gt;0,0.5*'Thể lệ'!$E$6,'Thể lệ'!$E$6)))</f>
        <v>0</v>
      </c>
      <c r="BU39" s="43"/>
      <c r="BV39" s="43">
        <f>if($F39=$G39,if(and($F39=$G39,Q39&lt;&gt;R39),'Thể lệ'!$E$6,if($F39=Q39,0,0.5*'Thể lệ'!$E$6)),if(and($F39=Q39,$G39=R39),"0",if(($F39-$G39)*(Q39-R39)&gt;0,0.5*'Thể lệ'!$E$6,'Thể lệ'!$E$6)))</f>
        <v>0</v>
      </c>
      <c r="BW39" s="43"/>
      <c r="BX39" s="44">
        <f>if($F39=$G39,if(and($F39=$G39,S39&lt;&gt;T39),'Thể lệ'!$E$6,if($F39=S39,0,0.5*'Thể lệ'!$E$6)),if(and($F39=S39,$G39=T39),"0",if(($F39-$G39)*(S39-T39)&gt;0,0.5*'Thể lệ'!$E$6,'Thể lệ'!$E$6)))</f>
        <v>10000</v>
      </c>
      <c r="BY39" s="43"/>
      <c r="BZ39" s="43">
        <f>if($F39=$G39,if(and($F39=$G39,U39&lt;&gt;V39),'Thể lệ'!$E$6,if($F39=U39,0,0.5*'Thể lệ'!$E$6)),if(and($F39=U39,$G39=V39),"0",if(($F39-$G39)*(U39-V39)&gt;0,0.5*'Thể lệ'!$E$6,'Thể lệ'!$E$6)))</f>
        <v>0</v>
      </c>
      <c r="CA39" s="43"/>
      <c r="CB39" s="43">
        <f>if($F39=$G39,if(and($F39=$G39,W39&lt;&gt;X39),'Thể lệ'!$E$6,if($F39=W39,0,0.5*'Thể lệ'!$E$6)),if(and($F39=W39,$G39=X39),"0",if(($F39-$G39)*(W39-X39)&gt;0,0.5*'Thể lệ'!$E$6,'Thể lệ'!$E$6)))</f>
        <v>0</v>
      </c>
      <c r="CC39" s="43"/>
      <c r="CD39" s="43">
        <f>if($F39=$G39,if(and($F39=$G39,Y39&lt;&gt;Z39),'Thể lệ'!$E$6,if($F39=Y39,0,0.5*'Thể lệ'!$E$6)),if(and($F39=Y39,$G39=Z39),"0",if(($F39-$G39)*(Y39-Z39)&gt;0,0.5*'Thể lệ'!$E$6,'Thể lệ'!$E$6)))</f>
        <v>0</v>
      </c>
      <c r="CE39" s="43"/>
      <c r="CF39" s="43">
        <f>if($F39=$G39,if(and($F39=$G39,AA39&lt;&gt;AB39),'Thể lệ'!$E$6,if($F39=AA39,0,0.5*'Thể lệ'!$E$6)),if(and($F39=AA39,$G39=AB39),"0",if(($F39-$G39)*(AA39-AB39)&gt;0,0.5*'Thể lệ'!$E$6,'Thể lệ'!$E$6)))</f>
        <v>0</v>
      </c>
      <c r="CG39" s="43"/>
      <c r="CH39" s="43">
        <f>if($F39=$G39,if(and($F39=$G39,AC39&lt;&gt;AD39),'Thể lệ'!$E$6,if($F39=AC39,0,0.5*'Thể lệ'!$E$6)),if(and($F39=AC39,$G39=AD39),"0",if(($F39-$G39)*(AC39-AD39)&gt;0,0.5*'Thể lệ'!$E$6,'Thể lệ'!$E$6)))</f>
        <v>0</v>
      </c>
      <c r="CI39" s="43"/>
      <c r="CJ39" s="43">
        <f>if($F39=$G39,if(and($F39=$G39,AE39&lt;&gt;AF39),'Thể lệ'!$E$6,if($F39=AE39,0,0.5*'Thể lệ'!$E$6)),if(and($F39=AE39,$G39=AF39),"0",if(($F39-$G39)*(AE39-AF39)&gt;0,0.5*'Thể lệ'!$E$6,'Thể lệ'!$E$6)))</f>
        <v>0</v>
      </c>
      <c r="CK39" s="43"/>
      <c r="CL39" s="43">
        <f>if($F39=$G39,if(and($F39=$G39,AG39&lt;&gt;AH39),'Thể lệ'!$E$6,if($F39=AG39,0,0.5*'Thể lệ'!$E$6)),if(and($F39=AG39,$G39=AH39),"0",if(($F39-$G39)*(AG39-AH39)&gt;0,0.5*'Thể lệ'!$E$6,'Thể lệ'!$E$6)))</f>
        <v>0</v>
      </c>
      <c r="CM39" s="43"/>
      <c r="CN39" s="43">
        <f>if($F39=$G39,if(and($F39=$G39,AI39&lt;&gt;AJ39),'Thể lệ'!$E$6,if($F39=AI39,0,0.5*'Thể lệ'!$E$6)),if(and($F39=AI39,$G39=AJ39),"0",if(($F39-$G39)*(AI39-AJ39)&gt;0,0.5*'Thể lệ'!$E$6,'Thể lệ'!$E$6)))</f>
        <v>0</v>
      </c>
      <c r="CO39" s="43"/>
      <c r="CP39" s="43">
        <f>if($F39=$G39,if(and($F39=$G39,AK39&lt;&gt;AL39),'Thể lệ'!$E$6,if($F39=AK39,0,0.5*'Thể lệ'!$E$6)),if(and($F39=AK39,$G39=AL39),"0",if(($F39-$G39)*(AK39-AL39)&gt;0,0.5*'Thể lệ'!$E$6,'Thể lệ'!$E$6)))</f>
        <v>0</v>
      </c>
      <c r="CQ39" s="43"/>
      <c r="CR39" s="43">
        <f>if($F39=$G39,if(and($F39=$G39,AM39&lt;&gt;AN39),'Thể lệ'!$E$6,if($F39=AM39,0,0.5*'Thể lệ'!$E$6)),if(and($F39=AM39,$G39=AN39),"0",if(($F39-$G39)*(AM39-AN39)&gt;0,0.5*'Thể lệ'!$E$6,'Thể lệ'!$E$6)))</f>
        <v>0</v>
      </c>
      <c r="CS39" s="43"/>
      <c r="CT39" s="44">
        <f>if($F39=$G39,if(and($F39=$G39,AO39&lt;&gt;AP39),'Thể lệ'!$E$6,if($F39=AO39,0,0.5*'Thể lệ'!$E$6)),if(and($F39=AO39,$G39=AP39),"0",if(($F39-$G39)*(AO39-AP39)&gt;0,0.5*'Thể lệ'!$E$6,'Thể lệ'!$E$6)))</f>
        <v>10000</v>
      </c>
      <c r="CU39" s="43"/>
      <c r="CV39" s="43">
        <f>if($F39=$G39,if(and($F39=$G39,AQ39&lt;&gt;AR39),'Thể lệ'!$E$6,if($F39=AQ39,0,0.5*'Thể lệ'!$E$6)),if(and($F39=AQ39,$G39=AR39),"0",if(($F39-$G39)*(AQ39-AR39)&gt;0,0.5*'Thể lệ'!$E$6,'Thể lệ'!$E$6)))</f>
        <v>0</v>
      </c>
      <c r="CW39" s="43"/>
      <c r="CX39" s="44">
        <f>if($F39=$G39,if(and($F39=$G39,AS39&lt;&gt;AT39),'Thể lệ'!$E$6,if($F39=AS39,0,0.5*'Thể lệ'!$E$6)),if(and($F39=AS39,$G39=AT39),"0",if(($F39-$G39)*(AS39-AT39)&gt;0,0.5*'Thể lệ'!$E$6,'Thể lệ'!$E$6)))</f>
        <v>10000</v>
      </c>
      <c r="CY39" s="45"/>
      <c r="CZ39" s="43">
        <f>if($F39=$G39,if(and($F39=$G39,AU39&lt;&gt;AV39),'Thể lệ'!$E$6,if($F39=AU39,0,0.5*'Thể lệ'!$E$6)),if(and($F39=AU39,$G39=AV39),"0",if(($F39-$G39)*(AU39-AV39)&gt;0,0.5*'Thể lệ'!$E$6,'Thể lệ'!$E$6)))</f>
        <v>0</v>
      </c>
      <c r="DA39" s="45"/>
      <c r="DB39" s="43">
        <f>if($F39=$G39,if(and($F39=$G39,AW39&lt;&gt;AX39),'Thể lệ'!$E$6,if($F39=AW39,0,0.5*'Thể lệ'!$E$6)),if(and($F39=AW39,$G39=AX39),"0",if(($F39-$G39)*(AW39-AX39)&gt;0,0.5*'Thể lệ'!$E$6,'Thể lệ'!$E$6)))</f>
        <v>0</v>
      </c>
      <c r="DC39" s="45"/>
      <c r="DD39" s="43">
        <f>if($F39=$G39,if(and($F39=$G39,AY39&lt;&gt;AZ39),'Thể lệ'!$E$6,if($F39=AY39,0,0.5*'Thể lệ'!$E$6)),if(and($F39=AY39,$G39=AZ39),"0",if(($F39-$G39)*(AY39-AZ39)&gt;0,0.5*'Thể lệ'!$E$6,'Thể lệ'!$E$6)))</f>
        <v>0</v>
      </c>
      <c r="DE39" s="45"/>
      <c r="DF39" s="43">
        <f>if($F39=$G39,if(and($F39=$G39,BA39&lt;&gt;BB39),'Thể lệ'!$E$6,if($F39=BA39,0,0.5*'Thể lệ'!$E$6)),if(and($F39=BA39,$G39=BB39),"0",if(($F39-$G39)*(BA39-BB39)&gt;0,0.5*'Thể lệ'!$E$6,'Thể lệ'!$E$6)))</f>
        <v>0</v>
      </c>
      <c r="DG39" s="45"/>
      <c r="DH39" s="44">
        <f>if($F39=$G39,if(and($F39=$G39,BC39&lt;&gt;BD39),'Thể lệ'!$E$6,if($F39=BC39,0,0.5*'Thể lệ'!$E$6)),if(and($F39=BC39,$G39=BD39),"0",if(($F39-$G39)*(BC39-BD39)&gt;0,0.5*'Thể lệ'!$E$6,'Thể lệ'!$E$6)))</f>
        <v>10000</v>
      </c>
      <c r="DI39" s="45"/>
      <c r="DJ39" s="43">
        <f>if($F39=$G39,if(and($F39=$G39,BE39&lt;&gt;BF39),'Thể lệ'!$E$6,if($F39=BE39,0,0.5*'Thể lệ'!$E$6)),if(and($F39=BE39,$G39=BF39),"0",if(($F39-$G39)*(BE39-BF39)&gt;0,0.5*'Thể lệ'!$E$6,'Thể lệ'!$E$6)))</f>
        <v>0</v>
      </c>
      <c r="DK39" s="45"/>
      <c r="DL39" s="43">
        <f>if($F39=$G39,if(and($F39=$G39,BG39&lt;&gt;BH39),'Thể lệ'!$E$6,if($F39=BG39,0,0.5*'Thể lệ'!$E$6)),if(and($F39=BG39,$G39=BH39),"0",if(($F39-$G39)*(BG39-BH39)&gt;0,0.5*'Thể lệ'!$E$6,'Thể lệ'!$E$6)))</f>
        <v>0</v>
      </c>
      <c r="DM39" s="45"/>
      <c r="DN39" s="44">
        <f>if($F39=$G39,if(and($F39=$G39,BI39&lt;&gt;BJ39),'Thể lệ'!$E$6,if($F39=BI39,0,0.5*'Thể lệ'!$E$6)),if(and($F39=BI39,$G39=BJ39),"0",if(($F39-$G39)*(BI39-BJ39)&gt;0,0.5*'Thể lệ'!$E$6,'Thể lệ'!$E$6)))</f>
        <v>10000</v>
      </c>
      <c r="DO39" s="45"/>
      <c r="DP39" s="8"/>
    </row>
    <row r="40">
      <c r="B40" s="22">
        <v>34.0</v>
      </c>
      <c r="C40" s="34">
        <v>46194.12499999999</v>
      </c>
      <c r="D40" s="49">
        <v>46194.12499999999</v>
      </c>
      <c r="E40" s="36" t="s">
        <v>48</v>
      </c>
      <c r="F40" s="23"/>
      <c r="G40" s="23"/>
      <c r="H40" s="36" t="s">
        <v>52</v>
      </c>
      <c r="I40" s="37"/>
      <c r="J40" s="37"/>
      <c r="K40" s="37"/>
      <c r="L40" s="37"/>
      <c r="M40" s="37"/>
      <c r="N40" s="37"/>
      <c r="O40" s="37"/>
      <c r="P40" s="37"/>
      <c r="Q40" s="37" t="str">
        <f t="shared" si="4"/>
        <v/>
      </c>
      <c r="R40" s="37" t="str">
        <f t="shared" si="6"/>
        <v/>
      </c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>
        <v>1.0</v>
      </c>
      <c r="AP40" s="37">
        <v>1.0</v>
      </c>
      <c r="AQ40" s="37"/>
      <c r="AR40" s="37"/>
      <c r="AS40" s="40">
        <v>3.0</v>
      </c>
      <c r="AT40" s="40">
        <v>0.0</v>
      </c>
      <c r="AU40" s="37"/>
      <c r="AV40" s="37"/>
      <c r="AW40" s="37"/>
      <c r="AX40" s="37"/>
      <c r="AY40" s="37"/>
      <c r="AZ40" s="37"/>
      <c r="BA40" s="37"/>
      <c r="BB40" s="37"/>
      <c r="BC40" s="37">
        <v>3.0</v>
      </c>
      <c r="BD40" s="37">
        <v>1.0</v>
      </c>
      <c r="BE40" s="42"/>
      <c r="BF40" s="37"/>
      <c r="BG40" s="37"/>
      <c r="BH40" s="37"/>
      <c r="BI40" s="37">
        <f>H.Son!H40</f>
        <v>2</v>
      </c>
      <c r="BJ40" s="37">
        <f>H.Son!I40</f>
        <v>0</v>
      </c>
      <c r="BK40" s="37"/>
      <c r="BL40" s="37"/>
      <c r="BM40" s="9"/>
      <c r="BN40" s="43">
        <f>if($F40=$G40,if(and($F40=$G40,I40&lt;&gt;J40),'Thể lệ'!$E$6,if($F40=I40,0,0.5*'Thể lệ'!$E$6)),if(and($F40=I40,$G40=J40),"0",if(($F40-$G40)*(I40-J40)&gt;0,0.5*'Thể lệ'!$E$6,'Thể lệ'!$E$6)))</f>
        <v>0</v>
      </c>
      <c r="BO40" s="43"/>
      <c r="BP40" s="43">
        <f>if($F40=$G40,if(and($F40=$G40,K40&lt;&gt;L40),'Thể lệ'!$E$6,if($F40=K40,0,0.5*'Thể lệ'!$E$6)),if(and($F40=K40,$G40=L40),"0",if(($F40-$G40)*(K40-L40)&gt;0,0.5*'Thể lệ'!$E$6,'Thể lệ'!$E$6)))</f>
        <v>0</v>
      </c>
      <c r="BQ40" s="43"/>
      <c r="BR40" s="43">
        <f>if($F40=$G40,if(and($F40=$G40,M40&lt;&gt;N40),'Thể lệ'!$E$6,if($F40=M40,0,0.5*'Thể lệ'!$E$6)),if(and($F40=M40,$G40=N40),"0",if(($F40-$G40)*(M40-N40)&gt;0,0.5*'Thể lệ'!$E$6,'Thể lệ'!$E$6)))</f>
        <v>0</v>
      </c>
      <c r="BS40" s="43"/>
      <c r="BT40" s="43">
        <f>if($F40=$G40,if(and($F40=$G40,O40&lt;&gt;P40),'Thể lệ'!$E$6,if($F40=O40,0,0.5*'Thể lệ'!$E$6)),if(and($F40=O40,$G40=P40),"0",if(($F40-$G40)*(O40-P40)&gt;0,0.5*'Thể lệ'!$E$6,'Thể lệ'!$E$6)))</f>
        <v>0</v>
      </c>
      <c r="BU40" s="43"/>
      <c r="BV40" s="43">
        <f>if($F40=$G40,if(and($F40=$G40,Q40&lt;&gt;R40),'Thể lệ'!$E$6,if($F40=Q40,0,0.5*'Thể lệ'!$E$6)),if(and($F40=Q40,$G40=R40),"0",if(($F40-$G40)*(Q40-R40)&gt;0,0.5*'Thể lệ'!$E$6,'Thể lệ'!$E$6)))</f>
        <v>0</v>
      </c>
      <c r="BW40" s="43"/>
      <c r="BX40" s="43">
        <f>if($F40=$G40,if(and($F40=$G40,S40&lt;&gt;T40),'Thể lệ'!$E$6,if($F40=S40,0,0.5*'Thể lệ'!$E$6)),if(and($F40=S40,$G40=T40),"0",if(($F40-$G40)*(S40-T40)&gt;0,0.5*'Thể lệ'!$E$6,'Thể lệ'!$E$6)))</f>
        <v>0</v>
      </c>
      <c r="BY40" s="43"/>
      <c r="BZ40" s="43">
        <f>if($F40=$G40,if(and($F40=$G40,U40&lt;&gt;V40),'Thể lệ'!$E$6,if($F40=U40,0,0.5*'Thể lệ'!$E$6)),if(and($F40=U40,$G40=V40),"0",if(($F40-$G40)*(U40-V40)&gt;0,0.5*'Thể lệ'!$E$6,'Thể lệ'!$E$6)))</f>
        <v>0</v>
      </c>
      <c r="CA40" s="43"/>
      <c r="CB40" s="43">
        <f>if($F40=$G40,if(and($F40=$G40,W40&lt;&gt;X40),'Thể lệ'!$E$6,if($F40=W40,0,0.5*'Thể lệ'!$E$6)),if(and($F40=W40,$G40=X40),"0",if(($F40-$G40)*(W40-X40)&gt;0,0.5*'Thể lệ'!$E$6,'Thể lệ'!$E$6)))</f>
        <v>0</v>
      </c>
      <c r="CC40" s="43"/>
      <c r="CD40" s="43">
        <f>if($F40=$G40,if(and($F40=$G40,Y40&lt;&gt;Z40),'Thể lệ'!$E$6,if($F40=Y40,0,0.5*'Thể lệ'!$E$6)),if(and($F40=Y40,$G40=Z40),"0",if(($F40-$G40)*(Y40-Z40)&gt;0,0.5*'Thể lệ'!$E$6,'Thể lệ'!$E$6)))</f>
        <v>0</v>
      </c>
      <c r="CE40" s="43"/>
      <c r="CF40" s="43">
        <f>if($F40=$G40,if(and($F40=$G40,AA40&lt;&gt;AB40),'Thể lệ'!$E$6,if($F40=AA40,0,0.5*'Thể lệ'!$E$6)),if(and($F40=AA40,$G40=AB40),"0",if(($F40-$G40)*(AA40-AB40)&gt;0,0.5*'Thể lệ'!$E$6,'Thể lệ'!$E$6)))</f>
        <v>0</v>
      </c>
      <c r="CG40" s="43"/>
      <c r="CH40" s="43">
        <f>if($F40=$G40,if(and($F40=$G40,AC40&lt;&gt;AD40),'Thể lệ'!$E$6,if($F40=AC40,0,0.5*'Thể lệ'!$E$6)),if(and($F40=AC40,$G40=AD40),"0",if(($F40-$G40)*(AC40-AD40)&gt;0,0.5*'Thể lệ'!$E$6,'Thể lệ'!$E$6)))</f>
        <v>0</v>
      </c>
      <c r="CI40" s="43"/>
      <c r="CJ40" s="43">
        <f>if($F40=$G40,if(and($F40=$G40,AE40&lt;&gt;AF40),'Thể lệ'!$E$6,if($F40=AE40,0,0.5*'Thể lệ'!$E$6)),if(and($F40=AE40,$G40=AF40),"0",if(($F40-$G40)*(AE40-AF40)&gt;0,0.5*'Thể lệ'!$E$6,'Thể lệ'!$E$6)))</f>
        <v>0</v>
      </c>
      <c r="CK40" s="43"/>
      <c r="CL40" s="43">
        <f>if($F40=$G40,if(and($F40=$G40,AG40&lt;&gt;AH40),'Thể lệ'!$E$6,if($F40=AG40,0,0.5*'Thể lệ'!$E$6)),if(and($F40=AG40,$G40=AH40),"0",if(($F40-$G40)*(AG40-AH40)&gt;0,0.5*'Thể lệ'!$E$6,'Thể lệ'!$E$6)))</f>
        <v>0</v>
      </c>
      <c r="CM40" s="43"/>
      <c r="CN40" s="43">
        <f>if($F40=$G40,if(and($F40=$G40,AI40&lt;&gt;AJ40),'Thể lệ'!$E$6,if($F40=AI40,0,0.5*'Thể lệ'!$E$6)),if(and($F40=AI40,$G40=AJ40),"0",if(($F40-$G40)*(AI40-AJ40)&gt;0,0.5*'Thể lệ'!$E$6,'Thể lệ'!$E$6)))</f>
        <v>0</v>
      </c>
      <c r="CO40" s="43"/>
      <c r="CP40" s="43">
        <f>if($F40=$G40,if(and($F40=$G40,AK40&lt;&gt;AL40),'Thể lệ'!$E$6,if($F40=AK40,0,0.5*'Thể lệ'!$E$6)),if(and($F40=AK40,$G40=AL40),"0",if(($F40-$G40)*(AK40-AL40)&gt;0,0.5*'Thể lệ'!$E$6,'Thể lệ'!$E$6)))</f>
        <v>0</v>
      </c>
      <c r="CQ40" s="43"/>
      <c r="CR40" s="43">
        <f>if($F40=$G40,if(and($F40=$G40,AM40&lt;&gt;AN40),'Thể lệ'!$E$6,if($F40=AM40,0,0.5*'Thể lệ'!$E$6)),if(and($F40=AM40,$G40=AN40),"0",if(($F40-$G40)*(AM40-AN40)&gt;0,0.5*'Thể lệ'!$E$6,'Thể lệ'!$E$6)))</f>
        <v>0</v>
      </c>
      <c r="CS40" s="43"/>
      <c r="CT40" s="44">
        <f>if($F40=$G40,if(and($F40=$G40,AO40&lt;&gt;AP40),'Thể lệ'!$E$6,if($F40=AO40,0,0.5*'Thể lệ'!$E$6)),if(and($F40=AO40,$G40=AP40),"0",if(($F40-$G40)*(AO40-AP40)&gt;0,0.5*'Thể lệ'!$E$6,'Thể lệ'!$E$6)))</f>
        <v>5000</v>
      </c>
      <c r="CU40" s="43"/>
      <c r="CV40" s="43">
        <f>if($F40=$G40,if(and($F40=$G40,AQ40&lt;&gt;AR40),'Thể lệ'!$E$6,if($F40=AQ40,0,0.5*'Thể lệ'!$E$6)),if(and($F40=AQ40,$G40=AR40),"0",if(($F40-$G40)*(AQ40-AR40)&gt;0,0.5*'Thể lệ'!$E$6,'Thể lệ'!$E$6)))</f>
        <v>0</v>
      </c>
      <c r="CW40" s="43"/>
      <c r="CX40" s="44">
        <f>if($F40=$G40,if(and($F40=$G40,AS40&lt;&gt;AT40),'Thể lệ'!$E$6,if($F40=AS40,0,0.5*'Thể lệ'!$E$6)),if(and($F40=AS40,$G40=AT40),"0",if(($F40-$G40)*(AS40-AT40)&gt;0,0.5*'Thể lệ'!$E$6,'Thể lệ'!$E$6)))</f>
        <v>10000</v>
      </c>
      <c r="CY40" s="45"/>
      <c r="CZ40" s="43">
        <f>if($F40=$G40,if(and($F40=$G40,AU40&lt;&gt;AV40),'Thể lệ'!$E$6,if($F40=AU40,0,0.5*'Thể lệ'!$E$6)),if(and($F40=AU40,$G40=AV40),"0",if(($F40-$G40)*(AU40-AV40)&gt;0,0.5*'Thể lệ'!$E$6,'Thể lệ'!$E$6)))</f>
        <v>0</v>
      </c>
      <c r="DA40" s="45"/>
      <c r="DB40" s="43">
        <f>if($F40=$G40,if(and($F40=$G40,AW40&lt;&gt;AX40),'Thể lệ'!$E$6,if($F40=AW40,0,0.5*'Thể lệ'!$E$6)),if(and($F40=AW40,$G40=AX40),"0",if(($F40-$G40)*(AW40-AX40)&gt;0,0.5*'Thể lệ'!$E$6,'Thể lệ'!$E$6)))</f>
        <v>0</v>
      </c>
      <c r="DC40" s="45"/>
      <c r="DD40" s="43">
        <f>if($F40=$G40,if(and($F40=$G40,AY40&lt;&gt;AZ40),'Thể lệ'!$E$6,if($F40=AY40,0,0.5*'Thể lệ'!$E$6)),if(and($F40=AY40,$G40=AZ40),"0",if(($F40-$G40)*(AY40-AZ40)&gt;0,0.5*'Thể lệ'!$E$6,'Thể lệ'!$E$6)))</f>
        <v>0</v>
      </c>
      <c r="DE40" s="45"/>
      <c r="DF40" s="43">
        <f>if($F40=$G40,if(and($F40=$G40,BA40&lt;&gt;BB40),'Thể lệ'!$E$6,if($F40=BA40,0,0.5*'Thể lệ'!$E$6)),if(and($F40=BA40,$G40=BB40),"0",if(($F40-$G40)*(BA40-BB40)&gt;0,0.5*'Thể lệ'!$E$6,'Thể lệ'!$E$6)))</f>
        <v>0</v>
      </c>
      <c r="DG40" s="45"/>
      <c r="DH40" s="44">
        <f>if($F40=$G40,if(and($F40=$G40,BC40&lt;&gt;BD40),'Thể lệ'!$E$6,if($F40=BC40,0,0.5*'Thể lệ'!$E$6)),if(and($F40=BC40,$G40=BD40),"0",if(($F40-$G40)*(BC40-BD40)&gt;0,0.5*'Thể lệ'!$E$6,'Thể lệ'!$E$6)))</f>
        <v>10000</v>
      </c>
      <c r="DI40" s="45"/>
      <c r="DJ40" s="43">
        <f>if($F40=$G40,if(and($F40=$G40,BE40&lt;&gt;BF40),'Thể lệ'!$E$6,if($F40=BE40,0,0.5*'Thể lệ'!$E$6)),if(and($F40=BE40,$G40=BF40),"0",if(($F40-$G40)*(BE40-BF40)&gt;0,0.5*'Thể lệ'!$E$6,'Thể lệ'!$E$6)))</f>
        <v>0</v>
      </c>
      <c r="DK40" s="45"/>
      <c r="DL40" s="43">
        <f>if($F40=$G40,if(and($F40=$G40,BG40&lt;&gt;BH40),'Thể lệ'!$E$6,if($F40=BG40,0,0.5*'Thể lệ'!$E$6)),if(and($F40=BG40,$G40=BH40),"0",if(($F40-$G40)*(BG40-BH40)&gt;0,0.5*'Thể lệ'!$E$6,'Thể lệ'!$E$6)))</f>
        <v>0</v>
      </c>
      <c r="DM40" s="45"/>
      <c r="DN40" s="44">
        <f>if($F40=$G40,if(and($F40=$G40,BI40&lt;&gt;BJ40),'Thể lệ'!$E$6,if($F40=BI40,0,0.5*'Thể lệ'!$E$6)),if(and($F40=BI40,$G40=BJ40),"0",if(($F40-$G40)*(BI40-BJ40)&gt;0,0.5*'Thể lệ'!$E$6,'Thể lệ'!$E$6)))</f>
        <v>10000</v>
      </c>
      <c r="DO40" s="45"/>
      <c r="DP40" s="8"/>
    </row>
    <row r="41">
      <c r="B41" s="22">
        <v>35.0</v>
      </c>
      <c r="C41" s="34">
        <v>46194.291666666664</v>
      </c>
      <c r="D41" s="49">
        <v>46194.291666666664</v>
      </c>
      <c r="E41" s="36" t="s">
        <v>53</v>
      </c>
      <c r="F41" s="23"/>
      <c r="G41" s="23"/>
      <c r="H41" s="36" t="s">
        <v>49</v>
      </c>
      <c r="I41" s="37"/>
      <c r="J41" s="37"/>
      <c r="K41" s="37"/>
      <c r="L41" s="37"/>
      <c r="M41" s="37"/>
      <c r="N41" s="37"/>
      <c r="O41" s="37"/>
      <c r="P41" s="37"/>
      <c r="Q41" s="37" t="str">
        <f t="shared" si="4"/>
        <v/>
      </c>
      <c r="R41" s="37" t="str">
        <f t="shared" si="6"/>
        <v/>
      </c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>
        <v>3.0</v>
      </c>
      <c r="AP41" s="37">
        <v>2.0</v>
      </c>
      <c r="AQ41" s="37"/>
      <c r="AR41" s="37"/>
      <c r="AS41" s="40">
        <v>1.0</v>
      </c>
      <c r="AT41" s="40">
        <v>1.0</v>
      </c>
      <c r="AU41" s="37"/>
      <c r="AV41" s="37"/>
      <c r="AW41" s="37"/>
      <c r="AX41" s="37"/>
      <c r="AY41" s="37"/>
      <c r="AZ41" s="37"/>
      <c r="BA41" s="37"/>
      <c r="BB41" s="37"/>
      <c r="BC41" s="37">
        <v>3.0</v>
      </c>
      <c r="BD41" s="37">
        <v>0.0</v>
      </c>
      <c r="BE41" s="42"/>
      <c r="BF41" s="37"/>
      <c r="BG41" s="37"/>
      <c r="BH41" s="37"/>
      <c r="BI41" s="37">
        <f>H.Son!H41</f>
        <v>2</v>
      </c>
      <c r="BJ41" s="37">
        <f>H.Son!I41</f>
        <v>0</v>
      </c>
      <c r="BK41" s="37"/>
      <c r="BL41" s="37"/>
      <c r="BM41" s="9"/>
      <c r="BN41" s="43">
        <f>if($F41=$G41,if(and($F41=$G41,I41&lt;&gt;J41),'Thể lệ'!$E$6,if($F41=I41,0,0.5*'Thể lệ'!$E$6)),if(and($F41=I41,$G41=J41),"0",if(($F41-$G41)*(I41-J41)&gt;0,0.5*'Thể lệ'!$E$6,'Thể lệ'!$E$6)))</f>
        <v>0</v>
      </c>
      <c r="BO41" s="43"/>
      <c r="BP41" s="43">
        <f>if($F41=$G41,if(and($F41=$G41,K41&lt;&gt;L41),'Thể lệ'!$E$6,if($F41=K41,0,0.5*'Thể lệ'!$E$6)),if(and($F41=K41,$G41=L41),"0",if(($F41-$G41)*(K41-L41)&gt;0,0.5*'Thể lệ'!$E$6,'Thể lệ'!$E$6)))</f>
        <v>0</v>
      </c>
      <c r="BQ41" s="43"/>
      <c r="BR41" s="43">
        <f>if($F41=$G41,if(and($F41=$G41,M41&lt;&gt;N41),'Thể lệ'!$E$6,if($F41=M41,0,0.5*'Thể lệ'!$E$6)),if(and($F41=M41,$G41=N41),"0",if(($F41-$G41)*(M41-N41)&gt;0,0.5*'Thể lệ'!$E$6,'Thể lệ'!$E$6)))</f>
        <v>0</v>
      </c>
      <c r="BS41" s="43"/>
      <c r="BT41" s="43">
        <f>if($F41=$G41,if(and($F41=$G41,O41&lt;&gt;P41),'Thể lệ'!$E$6,if($F41=O41,0,0.5*'Thể lệ'!$E$6)),if(and($F41=O41,$G41=P41),"0",if(($F41-$G41)*(O41-P41)&gt;0,0.5*'Thể lệ'!$E$6,'Thể lệ'!$E$6)))</f>
        <v>0</v>
      </c>
      <c r="BU41" s="43"/>
      <c r="BV41" s="43">
        <f>if($F41=$G41,if(and($F41=$G41,Q41&lt;&gt;R41),'Thể lệ'!$E$6,if($F41=Q41,0,0.5*'Thể lệ'!$E$6)),if(and($F41=Q41,$G41=R41),"0",if(($F41-$G41)*(Q41-R41)&gt;0,0.5*'Thể lệ'!$E$6,'Thể lệ'!$E$6)))</f>
        <v>0</v>
      </c>
      <c r="BW41" s="43"/>
      <c r="BX41" s="43">
        <f>if($F41=$G41,if(and($F41=$G41,S41&lt;&gt;T41),'Thể lệ'!$E$6,if($F41=S41,0,0.5*'Thể lệ'!$E$6)),if(and($F41=S41,$G41=T41),"0",if(($F41-$G41)*(S41-T41)&gt;0,0.5*'Thể lệ'!$E$6,'Thể lệ'!$E$6)))</f>
        <v>0</v>
      </c>
      <c r="BY41" s="43"/>
      <c r="BZ41" s="43">
        <f>if($F41=$G41,if(and($F41=$G41,U41&lt;&gt;V41),'Thể lệ'!$E$6,if($F41=U41,0,0.5*'Thể lệ'!$E$6)),if(and($F41=U41,$G41=V41),"0",if(($F41-$G41)*(U41-V41)&gt;0,0.5*'Thể lệ'!$E$6,'Thể lệ'!$E$6)))</f>
        <v>0</v>
      </c>
      <c r="CA41" s="43"/>
      <c r="CB41" s="43">
        <f>if($F41=$G41,if(and($F41=$G41,W41&lt;&gt;X41),'Thể lệ'!$E$6,if($F41=W41,0,0.5*'Thể lệ'!$E$6)),if(and($F41=W41,$G41=X41),"0",if(($F41-$G41)*(W41-X41)&gt;0,0.5*'Thể lệ'!$E$6,'Thể lệ'!$E$6)))</f>
        <v>0</v>
      </c>
      <c r="CC41" s="43"/>
      <c r="CD41" s="43">
        <f>if($F41=$G41,if(and($F41=$G41,Y41&lt;&gt;Z41),'Thể lệ'!$E$6,if($F41=Y41,0,0.5*'Thể lệ'!$E$6)),if(and($F41=Y41,$G41=Z41),"0",if(($F41-$G41)*(Y41-Z41)&gt;0,0.5*'Thể lệ'!$E$6,'Thể lệ'!$E$6)))</f>
        <v>0</v>
      </c>
      <c r="CE41" s="43"/>
      <c r="CF41" s="43">
        <f>if($F41=$G41,if(and($F41=$G41,AA41&lt;&gt;AB41),'Thể lệ'!$E$6,if($F41=AA41,0,0.5*'Thể lệ'!$E$6)),if(and($F41=AA41,$G41=AB41),"0",if(($F41-$G41)*(AA41-AB41)&gt;0,0.5*'Thể lệ'!$E$6,'Thể lệ'!$E$6)))</f>
        <v>0</v>
      </c>
      <c r="CG41" s="43"/>
      <c r="CH41" s="43">
        <f>if($F41=$G41,if(and($F41=$G41,AC41&lt;&gt;AD41),'Thể lệ'!$E$6,if($F41=AC41,0,0.5*'Thể lệ'!$E$6)),if(and($F41=AC41,$G41=AD41),"0",if(($F41-$G41)*(AC41-AD41)&gt;0,0.5*'Thể lệ'!$E$6,'Thể lệ'!$E$6)))</f>
        <v>0</v>
      </c>
      <c r="CI41" s="43"/>
      <c r="CJ41" s="43">
        <f>if($F41=$G41,if(and($F41=$G41,AE41&lt;&gt;AF41),'Thể lệ'!$E$6,if($F41=AE41,0,0.5*'Thể lệ'!$E$6)),if(and($F41=AE41,$G41=AF41),"0",if(($F41-$G41)*(AE41-AF41)&gt;0,0.5*'Thể lệ'!$E$6,'Thể lệ'!$E$6)))</f>
        <v>0</v>
      </c>
      <c r="CK41" s="43"/>
      <c r="CL41" s="43">
        <f>if($F41=$G41,if(and($F41=$G41,AG41&lt;&gt;AH41),'Thể lệ'!$E$6,if($F41=AG41,0,0.5*'Thể lệ'!$E$6)),if(and($F41=AG41,$G41=AH41),"0",if(($F41-$G41)*(AG41-AH41)&gt;0,0.5*'Thể lệ'!$E$6,'Thể lệ'!$E$6)))</f>
        <v>0</v>
      </c>
      <c r="CM41" s="43"/>
      <c r="CN41" s="43">
        <f>if($F41=$G41,if(and($F41=$G41,AI41&lt;&gt;AJ41),'Thể lệ'!$E$6,if($F41=AI41,0,0.5*'Thể lệ'!$E$6)),if(and($F41=AI41,$G41=AJ41),"0",if(($F41-$G41)*(AI41-AJ41)&gt;0,0.5*'Thể lệ'!$E$6,'Thể lệ'!$E$6)))</f>
        <v>0</v>
      </c>
      <c r="CO41" s="43"/>
      <c r="CP41" s="43">
        <f>if($F41=$G41,if(and($F41=$G41,AK41&lt;&gt;AL41),'Thể lệ'!$E$6,if($F41=AK41,0,0.5*'Thể lệ'!$E$6)),if(and($F41=AK41,$G41=AL41),"0",if(($F41-$G41)*(AK41-AL41)&gt;0,0.5*'Thể lệ'!$E$6,'Thể lệ'!$E$6)))</f>
        <v>0</v>
      </c>
      <c r="CQ41" s="43"/>
      <c r="CR41" s="43">
        <f>if($F41=$G41,if(and($F41=$G41,AM41&lt;&gt;AN41),'Thể lệ'!$E$6,if($F41=AM41,0,0.5*'Thể lệ'!$E$6)),if(and($F41=AM41,$G41=AN41),"0",if(($F41-$G41)*(AM41-AN41)&gt;0,0.5*'Thể lệ'!$E$6,'Thể lệ'!$E$6)))</f>
        <v>0</v>
      </c>
      <c r="CS41" s="43"/>
      <c r="CT41" s="44">
        <f>if($F41=$G41,if(and($F41=$G41,AO41&lt;&gt;AP41),'Thể lệ'!$E$6,if($F41=AO41,0,0.5*'Thể lệ'!$E$6)),if(and($F41=AO41,$G41=AP41),"0",if(($F41-$G41)*(AO41-AP41)&gt;0,0.5*'Thể lệ'!$E$6,'Thể lệ'!$E$6)))</f>
        <v>10000</v>
      </c>
      <c r="CU41" s="43"/>
      <c r="CV41" s="43">
        <f>if($F41=$G41,if(and($F41=$G41,AQ41&lt;&gt;AR41),'Thể lệ'!$E$6,if($F41=AQ41,0,0.5*'Thể lệ'!$E$6)),if(and($F41=AQ41,$G41=AR41),"0",if(($F41-$G41)*(AQ41-AR41)&gt;0,0.5*'Thể lệ'!$E$6,'Thể lệ'!$E$6)))</f>
        <v>0</v>
      </c>
      <c r="CW41" s="43"/>
      <c r="CX41" s="44">
        <f>if($F41=$G41,if(and($F41=$G41,AS41&lt;&gt;AT41),'Thể lệ'!$E$6,if($F41=AS41,0,0.5*'Thể lệ'!$E$6)),if(and($F41=AS41,$G41=AT41),"0",if(($F41-$G41)*(AS41-AT41)&gt;0,0.5*'Thể lệ'!$E$6,'Thể lệ'!$E$6)))</f>
        <v>5000</v>
      </c>
      <c r="CY41" s="45"/>
      <c r="CZ41" s="43">
        <f>if($F41=$G41,if(and($F41=$G41,AU41&lt;&gt;AV41),'Thể lệ'!$E$6,if($F41=AU41,0,0.5*'Thể lệ'!$E$6)),if(and($F41=AU41,$G41=AV41),"0",if(($F41-$G41)*(AU41-AV41)&gt;0,0.5*'Thể lệ'!$E$6,'Thể lệ'!$E$6)))</f>
        <v>0</v>
      </c>
      <c r="DA41" s="45"/>
      <c r="DB41" s="43">
        <f>if($F41=$G41,if(and($F41=$G41,AW41&lt;&gt;AX41),'Thể lệ'!$E$6,if($F41=AW41,0,0.5*'Thể lệ'!$E$6)),if(and($F41=AW41,$G41=AX41),"0",if(($F41-$G41)*(AW41-AX41)&gt;0,0.5*'Thể lệ'!$E$6,'Thể lệ'!$E$6)))</f>
        <v>0</v>
      </c>
      <c r="DC41" s="45"/>
      <c r="DD41" s="43">
        <f>if($F41=$G41,if(and($F41=$G41,AY41&lt;&gt;AZ41),'Thể lệ'!$E$6,if($F41=AY41,0,0.5*'Thể lệ'!$E$6)),if(and($F41=AY41,$G41=AZ41),"0",if(($F41-$G41)*(AY41-AZ41)&gt;0,0.5*'Thể lệ'!$E$6,'Thể lệ'!$E$6)))</f>
        <v>0</v>
      </c>
      <c r="DE41" s="45"/>
      <c r="DF41" s="43">
        <f>if($F41=$G41,if(and($F41=$G41,BA41&lt;&gt;BB41),'Thể lệ'!$E$6,if($F41=BA41,0,0.5*'Thể lệ'!$E$6)),if(and($F41=BA41,$G41=BB41),"0",if(($F41-$G41)*(BA41-BB41)&gt;0,0.5*'Thể lệ'!$E$6,'Thể lệ'!$E$6)))</f>
        <v>0</v>
      </c>
      <c r="DG41" s="45"/>
      <c r="DH41" s="44">
        <f>if($F41=$G41,if(and($F41=$G41,BC41&lt;&gt;BD41),'Thể lệ'!$E$6,if($F41=BC41,0,0.5*'Thể lệ'!$E$6)),if(and($F41=BC41,$G41=BD41),"0",if(($F41-$G41)*(BC41-BD41)&gt;0,0.5*'Thể lệ'!$E$6,'Thể lệ'!$E$6)))</f>
        <v>10000</v>
      </c>
      <c r="DI41" s="45"/>
      <c r="DJ41" s="43">
        <f>if($F41=$G41,if(and($F41=$G41,BE41&lt;&gt;BF41),'Thể lệ'!$E$6,if($F41=BE41,0,0.5*'Thể lệ'!$E$6)),if(and($F41=BE41,$G41=BF41),"0",if(($F41-$G41)*(BE41-BF41)&gt;0,0.5*'Thể lệ'!$E$6,'Thể lệ'!$E$6)))</f>
        <v>0</v>
      </c>
      <c r="DK41" s="45"/>
      <c r="DL41" s="43">
        <f>if($F41=$G41,if(and($F41=$G41,BG41&lt;&gt;BH41),'Thể lệ'!$E$6,if($F41=BG41,0,0.5*'Thể lệ'!$E$6)),if(and($F41=BG41,$G41=BH41),"0",if(($F41-$G41)*(BG41-BH41)&gt;0,0.5*'Thể lệ'!$E$6,'Thể lệ'!$E$6)))</f>
        <v>0</v>
      </c>
      <c r="DM41" s="45"/>
      <c r="DN41" s="44">
        <f>if($F41=$G41,if(and($F41=$G41,BI41&lt;&gt;BJ41),'Thể lệ'!$E$6,if($F41=BI41,0,0.5*'Thể lệ'!$E$6)),if(and($F41=BI41,$G41=BJ41),"0",if(($F41-$G41)*(BI41-BJ41)&gt;0,0.5*'Thể lệ'!$E$6,'Thể lệ'!$E$6)))</f>
        <v>10000</v>
      </c>
      <c r="DO41" s="45"/>
      <c r="DP41" s="8"/>
    </row>
    <row r="42">
      <c r="B42" s="22">
        <v>36.0</v>
      </c>
      <c r="C42" s="34">
        <v>46194.45833333333</v>
      </c>
      <c r="D42" s="49">
        <v>46194.45833333333</v>
      </c>
      <c r="E42" s="36" t="s">
        <v>55</v>
      </c>
      <c r="F42" s="23"/>
      <c r="G42" s="23"/>
      <c r="H42" s="36" t="s">
        <v>51</v>
      </c>
      <c r="I42" s="37"/>
      <c r="J42" s="37"/>
      <c r="K42" s="37"/>
      <c r="L42" s="37"/>
      <c r="M42" s="37"/>
      <c r="N42" s="37"/>
      <c r="O42" s="37"/>
      <c r="P42" s="37"/>
      <c r="Q42" s="37" t="str">
        <f t="shared" si="4"/>
        <v/>
      </c>
      <c r="R42" s="37" t="str">
        <f t="shared" si="6"/>
        <v/>
      </c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>
        <v>1.0</v>
      </c>
      <c r="AP42" s="37">
        <v>3.0</v>
      </c>
      <c r="AQ42" s="37"/>
      <c r="AR42" s="37"/>
      <c r="AS42" s="40">
        <v>0.0</v>
      </c>
      <c r="AT42" s="40">
        <v>2.0</v>
      </c>
      <c r="AU42" s="37"/>
      <c r="AV42" s="37"/>
      <c r="AW42" s="37"/>
      <c r="AX42" s="37"/>
      <c r="AY42" s="37"/>
      <c r="AZ42" s="37"/>
      <c r="BA42" s="37"/>
      <c r="BB42" s="37"/>
      <c r="BC42" s="37">
        <v>0.0</v>
      </c>
      <c r="BD42" s="37">
        <v>2.0</v>
      </c>
      <c r="BE42" s="42"/>
      <c r="BF42" s="37"/>
      <c r="BG42" s="37"/>
      <c r="BH42" s="37"/>
      <c r="BI42" s="37">
        <f>H.Son!H42</f>
        <v>0</v>
      </c>
      <c r="BJ42" s="37">
        <f>H.Son!I42</f>
        <v>1</v>
      </c>
      <c r="BK42" s="37"/>
      <c r="BL42" s="37"/>
      <c r="BM42" s="9"/>
      <c r="BN42" s="43">
        <f>if($F42=$G42,if(and($F42=$G42,I42&lt;&gt;J42),'Thể lệ'!$E$6,if($F42=I42,0,0.5*'Thể lệ'!$E$6)),if(and($F42=I42,$G42=J42),"0",if(($F42-$G42)*(I42-J42)&gt;0,0.5*'Thể lệ'!$E$6,'Thể lệ'!$E$6)))</f>
        <v>0</v>
      </c>
      <c r="BO42" s="43"/>
      <c r="BP42" s="43">
        <f>if($F42=$G42,if(and($F42=$G42,K42&lt;&gt;L42),'Thể lệ'!$E$6,if($F42=K42,0,0.5*'Thể lệ'!$E$6)),if(and($F42=K42,$G42=L42),"0",if(($F42-$G42)*(K42-L42)&gt;0,0.5*'Thể lệ'!$E$6,'Thể lệ'!$E$6)))</f>
        <v>0</v>
      </c>
      <c r="BQ42" s="43"/>
      <c r="BR42" s="43">
        <f>if($F42=$G42,if(and($F42=$G42,M42&lt;&gt;N42),'Thể lệ'!$E$6,if($F42=M42,0,0.5*'Thể lệ'!$E$6)),if(and($F42=M42,$G42=N42),"0",if(($F42-$G42)*(M42-N42)&gt;0,0.5*'Thể lệ'!$E$6,'Thể lệ'!$E$6)))</f>
        <v>0</v>
      </c>
      <c r="BS42" s="43"/>
      <c r="BT42" s="43">
        <f>if($F42=$G42,if(and($F42=$G42,O42&lt;&gt;P42),'Thể lệ'!$E$6,if($F42=O42,0,0.5*'Thể lệ'!$E$6)),if(and($F42=O42,$G42=P42),"0",if(($F42-$G42)*(O42-P42)&gt;0,0.5*'Thể lệ'!$E$6,'Thể lệ'!$E$6)))</f>
        <v>0</v>
      </c>
      <c r="BU42" s="43"/>
      <c r="BV42" s="43">
        <f>if($F42=$G42,if(and($F42=$G42,Q42&lt;&gt;R42),'Thể lệ'!$E$6,if($F42=Q42,0,0.5*'Thể lệ'!$E$6)),if(and($F42=Q42,$G42=R42),"0",if(($F42-$G42)*(Q42-R42)&gt;0,0.5*'Thể lệ'!$E$6,'Thể lệ'!$E$6)))</f>
        <v>0</v>
      </c>
      <c r="BW42" s="43"/>
      <c r="BX42" s="43">
        <f>if($F42=$G42,if(and($F42=$G42,S42&lt;&gt;T42),'Thể lệ'!$E$6,if($F42=S42,0,0.5*'Thể lệ'!$E$6)),if(and($F42=S42,$G42=T42),"0",if(($F42-$G42)*(S42-T42)&gt;0,0.5*'Thể lệ'!$E$6,'Thể lệ'!$E$6)))</f>
        <v>0</v>
      </c>
      <c r="BY42" s="43"/>
      <c r="BZ42" s="43">
        <f>if($F42=$G42,if(and($F42=$G42,U42&lt;&gt;V42),'Thể lệ'!$E$6,if($F42=U42,0,0.5*'Thể lệ'!$E$6)),if(and($F42=U42,$G42=V42),"0",if(($F42-$G42)*(U42-V42)&gt;0,0.5*'Thể lệ'!$E$6,'Thể lệ'!$E$6)))</f>
        <v>0</v>
      </c>
      <c r="CA42" s="43"/>
      <c r="CB42" s="43">
        <f>if($F42=$G42,if(and($F42=$G42,W42&lt;&gt;X42),'Thể lệ'!$E$6,if($F42=W42,0,0.5*'Thể lệ'!$E$6)),if(and($F42=W42,$G42=X42),"0",if(($F42-$G42)*(W42-X42)&gt;0,0.5*'Thể lệ'!$E$6,'Thể lệ'!$E$6)))</f>
        <v>0</v>
      </c>
      <c r="CC42" s="43"/>
      <c r="CD42" s="43">
        <f>if($F42=$G42,if(and($F42=$G42,Y42&lt;&gt;Z42),'Thể lệ'!$E$6,if($F42=Y42,0,0.5*'Thể lệ'!$E$6)),if(and($F42=Y42,$G42=Z42),"0",if(($F42-$G42)*(Y42-Z42)&gt;0,0.5*'Thể lệ'!$E$6,'Thể lệ'!$E$6)))</f>
        <v>0</v>
      </c>
      <c r="CE42" s="43"/>
      <c r="CF42" s="43">
        <f>if($F42=$G42,if(and($F42=$G42,AA42&lt;&gt;AB42),'Thể lệ'!$E$6,if($F42=AA42,0,0.5*'Thể lệ'!$E$6)),if(and($F42=AA42,$G42=AB42),"0",if(($F42-$G42)*(AA42-AB42)&gt;0,0.5*'Thể lệ'!$E$6,'Thể lệ'!$E$6)))</f>
        <v>0</v>
      </c>
      <c r="CG42" s="43"/>
      <c r="CH42" s="43">
        <f>if($F42=$G42,if(and($F42=$G42,AC42&lt;&gt;AD42),'Thể lệ'!$E$6,if($F42=AC42,0,0.5*'Thể lệ'!$E$6)),if(and($F42=AC42,$G42=AD42),"0",if(($F42-$G42)*(AC42-AD42)&gt;0,0.5*'Thể lệ'!$E$6,'Thể lệ'!$E$6)))</f>
        <v>0</v>
      </c>
      <c r="CI42" s="43"/>
      <c r="CJ42" s="43">
        <f>if($F42=$G42,if(and($F42=$G42,AE42&lt;&gt;AF42),'Thể lệ'!$E$6,if($F42=AE42,0,0.5*'Thể lệ'!$E$6)),if(and($F42=AE42,$G42=AF42),"0",if(($F42-$G42)*(AE42-AF42)&gt;0,0.5*'Thể lệ'!$E$6,'Thể lệ'!$E$6)))</f>
        <v>0</v>
      </c>
      <c r="CK42" s="43"/>
      <c r="CL42" s="43">
        <f>if($F42=$G42,if(and($F42=$G42,AG42&lt;&gt;AH42),'Thể lệ'!$E$6,if($F42=AG42,0,0.5*'Thể lệ'!$E$6)),if(and($F42=AG42,$G42=AH42),"0",if(($F42-$G42)*(AG42-AH42)&gt;0,0.5*'Thể lệ'!$E$6,'Thể lệ'!$E$6)))</f>
        <v>0</v>
      </c>
      <c r="CM42" s="43"/>
      <c r="CN42" s="43">
        <f>if($F42=$G42,if(and($F42=$G42,AI42&lt;&gt;AJ42),'Thể lệ'!$E$6,if($F42=AI42,0,0.5*'Thể lệ'!$E$6)),if(and($F42=AI42,$G42=AJ42),"0",if(($F42-$G42)*(AI42-AJ42)&gt;0,0.5*'Thể lệ'!$E$6,'Thể lệ'!$E$6)))</f>
        <v>0</v>
      </c>
      <c r="CO42" s="43"/>
      <c r="CP42" s="43">
        <f>if($F42=$G42,if(and($F42=$G42,AK42&lt;&gt;AL42),'Thể lệ'!$E$6,if($F42=AK42,0,0.5*'Thể lệ'!$E$6)),if(and($F42=AK42,$G42=AL42),"0",if(($F42-$G42)*(AK42-AL42)&gt;0,0.5*'Thể lệ'!$E$6,'Thể lệ'!$E$6)))</f>
        <v>0</v>
      </c>
      <c r="CQ42" s="43"/>
      <c r="CR42" s="43">
        <f>if($F42=$G42,if(and($F42=$G42,AM42&lt;&gt;AN42),'Thể lệ'!$E$6,if($F42=AM42,0,0.5*'Thể lệ'!$E$6)),if(and($F42=AM42,$G42=AN42),"0",if(($F42-$G42)*(AM42-AN42)&gt;0,0.5*'Thể lệ'!$E$6,'Thể lệ'!$E$6)))</f>
        <v>0</v>
      </c>
      <c r="CS42" s="43"/>
      <c r="CT42" s="44">
        <f>if($F42=$G42,if(and($F42=$G42,AO42&lt;&gt;AP42),'Thể lệ'!$E$6,if($F42=AO42,0,0.5*'Thể lệ'!$E$6)),if(and($F42=AO42,$G42=AP42),"0",if(($F42-$G42)*(AO42-AP42)&gt;0,0.5*'Thể lệ'!$E$6,'Thể lệ'!$E$6)))</f>
        <v>10000</v>
      </c>
      <c r="CU42" s="43"/>
      <c r="CV42" s="43">
        <f>if($F42=$G42,if(and($F42=$G42,AQ42&lt;&gt;AR42),'Thể lệ'!$E$6,if($F42=AQ42,0,0.5*'Thể lệ'!$E$6)),if(and($F42=AQ42,$G42=AR42),"0",if(($F42-$G42)*(AQ42-AR42)&gt;0,0.5*'Thể lệ'!$E$6,'Thể lệ'!$E$6)))</f>
        <v>0</v>
      </c>
      <c r="CW42" s="43"/>
      <c r="CX42" s="44">
        <f>if($F42=$G42,if(and($F42=$G42,AS42&lt;&gt;AT42),'Thể lệ'!$E$6,if($F42=AS42,0,0.5*'Thể lệ'!$E$6)),if(and($F42=AS42,$G42=AT42),"0",if(($F42-$G42)*(AS42-AT42)&gt;0,0.5*'Thể lệ'!$E$6,'Thể lệ'!$E$6)))</f>
        <v>10000</v>
      </c>
      <c r="CY42" s="45"/>
      <c r="CZ42" s="43">
        <f>if($F42=$G42,if(and($F42=$G42,AU42&lt;&gt;AV42),'Thể lệ'!$E$6,if($F42=AU42,0,0.5*'Thể lệ'!$E$6)),if(and($F42=AU42,$G42=AV42),"0",if(($F42-$G42)*(AU42-AV42)&gt;0,0.5*'Thể lệ'!$E$6,'Thể lệ'!$E$6)))</f>
        <v>0</v>
      </c>
      <c r="DA42" s="45"/>
      <c r="DB42" s="43">
        <f>if($F42=$G42,if(and($F42=$G42,AW42&lt;&gt;AX42),'Thể lệ'!$E$6,if($F42=AW42,0,0.5*'Thể lệ'!$E$6)),if(and($F42=AW42,$G42=AX42),"0",if(($F42-$G42)*(AW42-AX42)&gt;0,0.5*'Thể lệ'!$E$6,'Thể lệ'!$E$6)))</f>
        <v>0</v>
      </c>
      <c r="DC42" s="45"/>
      <c r="DD42" s="43">
        <f>if($F42=$G42,if(and($F42=$G42,AY42&lt;&gt;AZ42),'Thể lệ'!$E$6,if($F42=AY42,0,0.5*'Thể lệ'!$E$6)),if(and($F42=AY42,$G42=AZ42),"0",if(($F42-$G42)*(AY42-AZ42)&gt;0,0.5*'Thể lệ'!$E$6,'Thể lệ'!$E$6)))</f>
        <v>0</v>
      </c>
      <c r="DE42" s="45"/>
      <c r="DF42" s="43">
        <f>if($F42=$G42,if(and($F42=$G42,BA42&lt;&gt;BB42),'Thể lệ'!$E$6,if($F42=BA42,0,0.5*'Thể lệ'!$E$6)),if(and($F42=BA42,$G42=BB42),"0",if(($F42-$G42)*(BA42-BB42)&gt;0,0.5*'Thể lệ'!$E$6,'Thể lệ'!$E$6)))</f>
        <v>0</v>
      </c>
      <c r="DG42" s="45"/>
      <c r="DH42" s="44">
        <f>if($F42=$G42,if(and($F42=$G42,BC42&lt;&gt;BD42),'Thể lệ'!$E$6,if($F42=BC42,0,0.5*'Thể lệ'!$E$6)),if(and($F42=BC42,$G42=BD42),"0",if(($F42-$G42)*(BC42-BD42)&gt;0,0.5*'Thể lệ'!$E$6,'Thể lệ'!$E$6)))</f>
        <v>10000</v>
      </c>
      <c r="DI42" s="45"/>
      <c r="DJ42" s="43">
        <f>if($F42=$G42,if(and($F42=$G42,BE42&lt;&gt;BF42),'Thể lệ'!$E$6,if($F42=BE42,0,0.5*'Thể lệ'!$E$6)),if(and($F42=BE42,$G42=BF42),"0",if(($F42-$G42)*(BE42-BF42)&gt;0,0.5*'Thể lệ'!$E$6,'Thể lệ'!$E$6)))</f>
        <v>0</v>
      </c>
      <c r="DK42" s="45"/>
      <c r="DL42" s="43">
        <f>if($F42=$G42,if(and($F42=$G42,BG42&lt;&gt;BH42),'Thể lệ'!$E$6,if($F42=BG42,0,0.5*'Thể lệ'!$E$6)),if(and($F42=BG42,$G42=BH42),"0",if(($F42-$G42)*(BG42-BH42)&gt;0,0.5*'Thể lệ'!$E$6,'Thể lệ'!$E$6)))</f>
        <v>0</v>
      </c>
      <c r="DM42" s="45"/>
      <c r="DN42" s="44">
        <f>if($F42=$G42,if(and($F42=$G42,BI42&lt;&gt;BJ42),'Thể lệ'!$E$6,if($F42=BI42,0,0.5*'Thể lệ'!$E$6)),if(and($F42=BI42,$G42=BJ42),"0",if(($F42-$G42)*(BI42-BJ42)&gt;0,0.5*'Thể lệ'!$E$6,'Thể lệ'!$E$6)))</f>
        <v>10000</v>
      </c>
      <c r="DO42" s="45"/>
      <c r="DP42" s="8"/>
    </row>
    <row r="43">
      <c r="A43" s="52"/>
      <c r="B43" s="22">
        <v>37.0</v>
      </c>
      <c r="C43" s="53">
        <v>46194.95833333333</v>
      </c>
      <c r="D43" s="54">
        <v>46194.95833333333</v>
      </c>
      <c r="E43" s="55" t="s">
        <v>56</v>
      </c>
      <c r="F43" s="23"/>
      <c r="G43" s="23"/>
      <c r="H43" s="55" t="s">
        <v>60</v>
      </c>
      <c r="I43" s="37"/>
      <c r="J43" s="37"/>
      <c r="K43" s="37"/>
      <c r="L43" s="37"/>
      <c r="M43" s="37"/>
      <c r="N43" s="37"/>
      <c r="O43" s="37"/>
      <c r="P43" s="37"/>
      <c r="Q43" s="37" t="str">
        <f t="shared" si="4"/>
        <v/>
      </c>
      <c r="R43" s="37" t="str">
        <f t="shared" si="6"/>
        <v/>
      </c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>
        <v>3.0</v>
      </c>
      <c r="AP43" s="37">
        <v>0.0</v>
      </c>
      <c r="AQ43" s="37"/>
      <c r="AR43" s="37"/>
      <c r="AS43" s="40">
        <v>3.0</v>
      </c>
      <c r="AT43" s="40">
        <v>0.0</v>
      </c>
      <c r="AU43" s="37"/>
      <c r="AV43" s="37"/>
      <c r="AW43" s="37"/>
      <c r="AX43" s="37"/>
      <c r="AY43" s="37"/>
      <c r="AZ43" s="37"/>
      <c r="BA43" s="37"/>
      <c r="BB43" s="37"/>
      <c r="BC43" s="37">
        <v>3.0</v>
      </c>
      <c r="BD43" s="37">
        <v>0.0</v>
      </c>
      <c r="BE43" s="42"/>
      <c r="BF43" s="37"/>
      <c r="BG43" s="37"/>
      <c r="BH43" s="37"/>
      <c r="BI43" s="37">
        <f>H.Son!H43</f>
        <v>2</v>
      </c>
      <c r="BJ43" s="37">
        <f>H.Son!I43</f>
        <v>0</v>
      </c>
      <c r="BK43" s="37"/>
      <c r="BL43" s="37"/>
      <c r="BM43" s="9"/>
      <c r="BN43" s="43">
        <f>if($F43=$G43,if(and($F43=$G43,I43&lt;&gt;J43),'Thể lệ'!$E$6,if($F43=I43,0,0.5*'Thể lệ'!$E$6)),if(and($F43=I43,$G43=J43),"0",if(($F43-$G43)*(I43-J43)&gt;0,0.5*'Thể lệ'!$E$6,'Thể lệ'!$E$6)))</f>
        <v>0</v>
      </c>
      <c r="BO43" s="43"/>
      <c r="BP43" s="43">
        <f>if($F43=$G43,if(and($F43=$G43,K43&lt;&gt;L43),'Thể lệ'!$E$6,if($F43=K43,0,0.5*'Thể lệ'!$E$6)),if(and($F43=K43,$G43=L43),"0",if(($F43-$G43)*(K43-L43)&gt;0,0.5*'Thể lệ'!$E$6,'Thể lệ'!$E$6)))</f>
        <v>0</v>
      </c>
      <c r="BQ43" s="43"/>
      <c r="BR43" s="43">
        <f>if($F43=$G43,if(and($F43=$G43,M43&lt;&gt;N43),'Thể lệ'!$E$6,if($F43=M43,0,0.5*'Thể lệ'!$E$6)),if(and($F43=M43,$G43=N43),"0",if(($F43-$G43)*(M43-N43)&gt;0,0.5*'Thể lệ'!$E$6,'Thể lệ'!$E$6)))</f>
        <v>0</v>
      </c>
      <c r="BS43" s="43"/>
      <c r="BT43" s="43">
        <f>if($F43=$G43,if(and($F43=$G43,O43&lt;&gt;P43),'Thể lệ'!$E$6,if($F43=O43,0,0.5*'Thể lệ'!$E$6)),if(and($F43=O43,$G43=P43),"0",if(($F43-$G43)*(O43-P43)&gt;0,0.5*'Thể lệ'!$E$6,'Thể lệ'!$E$6)))</f>
        <v>0</v>
      </c>
      <c r="BU43" s="43"/>
      <c r="BV43" s="43">
        <f>if($F43=$G43,if(and($F43=$G43,Q43&lt;&gt;R43),'Thể lệ'!$E$6,if($F43=Q43,0,0.5*'Thể lệ'!$E$6)),if(and($F43=Q43,$G43=R43),"0",if(($F43-$G43)*(Q43-R43)&gt;0,0.5*'Thể lệ'!$E$6,'Thể lệ'!$E$6)))</f>
        <v>0</v>
      </c>
      <c r="BW43" s="43"/>
      <c r="BX43" s="43">
        <f>if($F43=$G43,if(and($F43=$G43,S43&lt;&gt;T43),'Thể lệ'!$E$6,if($F43=S43,0,0.5*'Thể lệ'!$E$6)),if(and($F43=S43,$G43=T43),"0",if(($F43-$G43)*(S43-T43)&gt;0,0.5*'Thể lệ'!$E$6,'Thể lệ'!$E$6)))</f>
        <v>0</v>
      </c>
      <c r="BY43" s="43"/>
      <c r="BZ43" s="43">
        <f>if($F43=$G43,if(and($F43=$G43,U43&lt;&gt;V43),'Thể lệ'!$E$6,if($F43=U43,0,0.5*'Thể lệ'!$E$6)),if(and($F43=U43,$G43=V43),"0",if(($F43-$G43)*(U43-V43)&gt;0,0.5*'Thể lệ'!$E$6,'Thể lệ'!$E$6)))</f>
        <v>0</v>
      </c>
      <c r="CA43" s="43"/>
      <c r="CB43" s="43">
        <f>if($F43=$G43,if(and($F43=$G43,W43&lt;&gt;X43),'Thể lệ'!$E$6,if($F43=W43,0,0.5*'Thể lệ'!$E$6)),if(and($F43=W43,$G43=X43),"0",if(($F43-$G43)*(W43-X43)&gt;0,0.5*'Thể lệ'!$E$6,'Thể lệ'!$E$6)))</f>
        <v>0</v>
      </c>
      <c r="CC43" s="43"/>
      <c r="CD43" s="43">
        <f>if($F43=$G43,if(and($F43=$G43,Y43&lt;&gt;Z43),'Thể lệ'!$E$6,if($F43=Y43,0,0.5*'Thể lệ'!$E$6)),if(and($F43=Y43,$G43=Z43),"0",if(($F43-$G43)*(Y43-Z43)&gt;0,0.5*'Thể lệ'!$E$6,'Thể lệ'!$E$6)))</f>
        <v>0</v>
      </c>
      <c r="CE43" s="43"/>
      <c r="CF43" s="43">
        <f>if($F43=$G43,if(and($F43=$G43,AA43&lt;&gt;AB43),'Thể lệ'!$E$6,if($F43=AA43,0,0.5*'Thể lệ'!$E$6)),if(and($F43=AA43,$G43=AB43),"0",if(($F43-$G43)*(AA43-AB43)&gt;0,0.5*'Thể lệ'!$E$6,'Thể lệ'!$E$6)))</f>
        <v>0</v>
      </c>
      <c r="CG43" s="43"/>
      <c r="CH43" s="43">
        <f>if($F43=$G43,if(and($F43=$G43,AC43&lt;&gt;AD43),'Thể lệ'!$E$6,if($F43=AC43,0,0.5*'Thể lệ'!$E$6)),if(and($F43=AC43,$G43=AD43),"0",if(($F43-$G43)*(AC43-AD43)&gt;0,0.5*'Thể lệ'!$E$6,'Thể lệ'!$E$6)))</f>
        <v>0</v>
      </c>
      <c r="CI43" s="43"/>
      <c r="CJ43" s="43">
        <f>if($F43=$G43,if(and($F43=$G43,AE43&lt;&gt;AF43),'Thể lệ'!$E$6,if($F43=AE43,0,0.5*'Thể lệ'!$E$6)),if(and($F43=AE43,$G43=AF43),"0",if(($F43-$G43)*(AE43-AF43)&gt;0,0.5*'Thể lệ'!$E$6,'Thể lệ'!$E$6)))</f>
        <v>0</v>
      </c>
      <c r="CK43" s="43"/>
      <c r="CL43" s="43">
        <f>if($F43=$G43,if(and($F43=$G43,AG43&lt;&gt;AH43),'Thể lệ'!$E$6,if($F43=AG43,0,0.5*'Thể lệ'!$E$6)),if(and($F43=AG43,$G43=AH43),"0",if(($F43-$G43)*(AG43-AH43)&gt;0,0.5*'Thể lệ'!$E$6,'Thể lệ'!$E$6)))</f>
        <v>0</v>
      </c>
      <c r="CM43" s="43"/>
      <c r="CN43" s="43">
        <f>if($F43=$G43,if(and($F43=$G43,AI43&lt;&gt;AJ43),'Thể lệ'!$E$6,if($F43=AI43,0,0.5*'Thể lệ'!$E$6)),if(and($F43=AI43,$G43=AJ43),"0",if(($F43-$G43)*(AI43-AJ43)&gt;0,0.5*'Thể lệ'!$E$6,'Thể lệ'!$E$6)))</f>
        <v>0</v>
      </c>
      <c r="CO43" s="43"/>
      <c r="CP43" s="43">
        <f>if($F43=$G43,if(and($F43=$G43,AK43&lt;&gt;AL43),'Thể lệ'!$E$6,if($F43=AK43,0,0.5*'Thể lệ'!$E$6)),if(and($F43=AK43,$G43=AL43),"0",if(($F43-$G43)*(AK43-AL43)&gt;0,0.5*'Thể lệ'!$E$6,'Thể lệ'!$E$6)))</f>
        <v>0</v>
      </c>
      <c r="CQ43" s="43"/>
      <c r="CR43" s="43">
        <f>if($F43=$G43,if(and($F43=$G43,AM43&lt;&gt;AN43),'Thể lệ'!$E$6,if($F43=AM43,0,0.5*'Thể lệ'!$E$6)),if(and($F43=AM43,$G43=AN43),"0",if(($F43-$G43)*(AM43-AN43)&gt;0,0.5*'Thể lệ'!$E$6,'Thể lệ'!$E$6)))</f>
        <v>0</v>
      </c>
      <c r="CS43" s="43"/>
      <c r="CT43" s="44">
        <f>if($F43=$G43,if(and($F43=$G43,AO43&lt;&gt;AP43),'Thể lệ'!$E$6,if($F43=AO43,0,0.5*'Thể lệ'!$E$6)),if(and($F43=AO43,$G43=AP43),"0",if(($F43-$G43)*(AO43-AP43)&gt;0,0.5*'Thể lệ'!$E$6,'Thể lệ'!$E$6)))</f>
        <v>10000</v>
      </c>
      <c r="CU43" s="43"/>
      <c r="CV43" s="43">
        <f>if($F43=$G43,if(and($F43=$G43,AQ43&lt;&gt;AR43),'Thể lệ'!$E$6,if($F43=AQ43,0,0.5*'Thể lệ'!$E$6)),if(and($F43=AQ43,$G43=AR43),"0",if(($F43-$G43)*(AQ43-AR43)&gt;0,0.5*'Thể lệ'!$E$6,'Thể lệ'!$E$6)))</f>
        <v>0</v>
      </c>
      <c r="CW43" s="43"/>
      <c r="CX43" s="44">
        <f>if($F43=$G43,if(and($F43=$G43,AS43&lt;&gt;AT43),'Thể lệ'!$E$6,if($F43=AS43,0,0.5*'Thể lệ'!$E$6)),if(and($F43=AS43,$G43=AT43),"0",if(($F43-$G43)*(AS43-AT43)&gt;0,0.5*'Thể lệ'!$E$6,'Thể lệ'!$E$6)))</f>
        <v>10000</v>
      </c>
      <c r="CY43" s="45"/>
      <c r="CZ43" s="43">
        <f>if($F43=$G43,if(and($F43=$G43,AU43&lt;&gt;AV43),'Thể lệ'!$E$6,if($F43=AU43,0,0.5*'Thể lệ'!$E$6)),if(and($F43=AU43,$G43=AV43),"0",if(($F43-$G43)*(AU43-AV43)&gt;0,0.5*'Thể lệ'!$E$6,'Thể lệ'!$E$6)))</f>
        <v>0</v>
      </c>
      <c r="DA43" s="45"/>
      <c r="DB43" s="43">
        <f>if($F43=$G43,if(and($F43=$G43,AW43&lt;&gt;AX43),'Thể lệ'!$E$6,if($F43=AW43,0,0.5*'Thể lệ'!$E$6)),if(and($F43=AW43,$G43=AX43),"0",if(($F43-$G43)*(AW43-AX43)&gt;0,0.5*'Thể lệ'!$E$6,'Thể lệ'!$E$6)))</f>
        <v>0</v>
      </c>
      <c r="DC43" s="45"/>
      <c r="DD43" s="43">
        <f>if($F43=$G43,if(and($F43=$G43,AY43&lt;&gt;AZ43),'Thể lệ'!$E$6,if($F43=AY43,0,0.5*'Thể lệ'!$E$6)),if(and($F43=AY43,$G43=AZ43),"0",if(($F43-$G43)*(AY43-AZ43)&gt;0,0.5*'Thể lệ'!$E$6,'Thể lệ'!$E$6)))</f>
        <v>0</v>
      </c>
      <c r="DE43" s="45"/>
      <c r="DF43" s="43">
        <f>if($F43=$G43,if(and($F43=$G43,BA43&lt;&gt;BB43),'Thể lệ'!$E$6,if($F43=BA43,0,0.5*'Thể lệ'!$E$6)),if(and($F43=BA43,$G43=BB43),"0",if(($F43-$G43)*(BA43-BB43)&gt;0,0.5*'Thể lệ'!$E$6,'Thể lệ'!$E$6)))</f>
        <v>0</v>
      </c>
      <c r="DG43" s="45"/>
      <c r="DH43" s="44">
        <f>if($F43=$G43,if(and($F43=$G43,BC43&lt;&gt;BD43),'Thể lệ'!$E$6,if($F43=BC43,0,0.5*'Thể lệ'!$E$6)),if(and($F43=BC43,$G43=BD43),"0",if(($F43-$G43)*(BC43-BD43)&gt;0,0.5*'Thể lệ'!$E$6,'Thể lệ'!$E$6)))</f>
        <v>10000</v>
      </c>
      <c r="DI43" s="45"/>
      <c r="DJ43" s="43">
        <f>if($F43=$G43,if(and($F43=$G43,BE43&lt;&gt;BF43),'Thể lệ'!$E$6,if($F43=BE43,0,0.5*'Thể lệ'!$E$6)),if(and($F43=BE43,$G43=BF43),"0",if(($F43-$G43)*(BE43-BF43)&gt;0,0.5*'Thể lệ'!$E$6,'Thể lệ'!$E$6)))</f>
        <v>0</v>
      </c>
      <c r="DK43" s="45"/>
      <c r="DL43" s="43">
        <f>if($F43=$G43,if(and($F43=$G43,BG43&lt;&gt;BH43),'Thể lệ'!$E$6,if($F43=BG43,0,0.5*'Thể lệ'!$E$6)),if(and($F43=BG43,$G43=BH43),"0",if(($F43-$G43)*(BG43-BH43)&gt;0,0.5*'Thể lệ'!$E$6,'Thể lệ'!$E$6)))</f>
        <v>0</v>
      </c>
      <c r="DM43" s="45"/>
      <c r="DN43" s="44">
        <f>if($F43=$G43,if(and($F43=$G43,BI43&lt;&gt;BJ43),'Thể lệ'!$E$6,if($F43=BI43,0,0.5*'Thể lệ'!$E$6)),if(and($F43=BI43,$G43=BJ43),"0",if(($F43-$G43)*(BI43-BJ43)&gt;0,0.5*'Thể lệ'!$E$6,'Thể lệ'!$E$6)))</f>
        <v>10000</v>
      </c>
      <c r="DO43" s="45"/>
      <c r="DP43" s="8"/>
    </row>
    <row r="44">
      <c r="A44" s="52"/>
      <c r="B44" s="22">
        <v>38.0</v>
      </c>
      <c r="C44" s="53">
        <v>46195.08333333333</v>
      </c>
      <c r="D44" s="54">
        <v>46195.08333333333</v>
      </c>
      <c r="E44" s="55" t="s">
        <v>58</v>
      </c>
      <c r="F44" s="23"/>
      <c r="G44" s="23"/>
      <c r="H44" s="55" t="s">
        <v>62</v>
      </c>
      <c r="I44" s="37"/>
      <c r="J44" s="37"/>
      <c r="K44" s="37"/>
      <c r="L44" s="37"/>
      <c r="M44" s="37"/>
      <c r="N44" s="37"/>
      <c r="O44" s="37"/>
      <c r="P44" s="37"/>
      <c r="Q44" s="37" t="str">
        <f t="shared" si="4"/>
        <v/>
      </c>
      <c r="R44" s="37" t="str">
        <f t="shared" si="6"/>
        <v/>
      </c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>
        <v>2.0</v>
      </c>
      <c r="AP44" s="37">
        <v>1.0</v>
      </c>
      <c r="AQ44" s="37"/>
      <c r="AR44" s="37"/>
      <c r="AS44" s="40">
        <v>3.0</v>
      </c>
      <c r="AT44" s="40">
        <v>0.0</v>
      </c>
      <c r="AU44" s="37"/>
      <c r="AV44" s="37"/>
      <c r="AW44" s="37"/>
      <c r="AX44" s="37"/>
      <c r="AY44" s="37"/>
      <c r="AZ44" s="37"/>
      <c r="BA44" s="37"/>
      <c r="BB44" s="37"/>
      <c r="BC44" s="37">
        <v>2.0</v>
      </c>
      <c r="BD44" s="37">
        <v>0.0</v>
      </c>
      <c r="BE44" s="42"/>
      <c r="BF44" s="37"/>
      <c r="BG44" s="37"/>
      <c r="BH44" s="37"/>
      <c r="BI44" s="37">
        <f>H.Son!H44</f>
        <v>1</v>
      </c>
      <c r="BJ44" s="37">
        <f>H.Son!I44</f>
        <v>0</v>
      </c>
      <c r="BK44" s="37"/>
      <c r="BL44" s="37"/>
      <c r="BM44" s="9"/>
      <c r="BN44" s="43">
        <f>if($F44=$G44,if(and($F44=$G44,I44&lt;&gt;J44),'Thể lệ'!$E$6,if($F44=I44,0,0.5*'Thể lệ'!$E$6)),if(and($F44=I44,$G44=J44),"0",if(($F44-$G44)*(I44-J44)&gt;0,0.5*'Thể lệ'!$E$6,'Thể lệ'!$E$6)))</f>
        <v>0</v>
      </c>
      <c r="BO44" s="43"/>
      <c r="BP44" s="43">
        <f>if($F44=$G44,if(and($F44=$G44,K44&lt;&gt;L44),'Thể lệ'!$E$6,if($F44=K44,0,0.5*'Thể lệ'!$E$6)),if(and($F44=K44,$G44=L44),"0",if(($F44-$G44)*(K44-L44)&gt;0,0.5*'Thể lệ'!$E$6,'Thể lệ'!$E$6)))</f>
        <v>0</v>
      </c>
      <c r="BQ44" s="43"/>
      <c r="BR44" s="43">
        <f>if($F44=$G44,if(and($F44=$G44,M44&lt;&gt;N44),'Thể lệ'!$E$6,if($F44=M44,0,0.5*'Thể lệ'!$E$6)),if(and($F44=M44,$G44=N44),"0",if(($F44-$G44)*(M44-N44)&gt;0,0.5*'Thể lệ'!$E$6,'Thể lệ'!$E$6)))</f>
        <v>0</v>
      </c>
      <c r="BS44" s="43"/>
      <c r="BT44" s="43">
        <f>if($F44=$G44,if(and($F44=$G44,O44&lt;&gt;P44),'Thể lệ'!$E$6,if($F44=O44,0,0.5*'Thể lệ'!$E$6)),if(and($F44=O44,$G44=P44),"0",if(($F44-$G44)*(O44-P44)&gt;0,0.5*'Thể lệ'!$E$6,'Thể lệ'!$E$6)))</f>
        <v>0</v>
      </c>
      <c r="BU44" s="43"/>
      <c r="BV44" s="43">
        <f>if($F44=$G44,if(and($F44=$G44,Q44&lt;&gt;R44),'Thể lệ'!$E$6,if($F44=Q44,0,0.5*'Thể lệ'!$E$6)),if(and($F44=Q44,$G44=R44),"0",if(($F44-$G44)*(Q44-R44)&gt;0,0.5*'Thể lệ'!$E$6,'Thể lệ'!$E$6)))</f>
        <v>0</v>
      </c>
      <c r="BW44" s="43"/>
      <c r="BX44" s="43">
        <f>if($F44=$G44,if(and($F44=$G44,S44&lt;&gt;T44),'Thể lệ'!$E$6,if($F44=S44,0,0.5*'Thể lệ'!$E$6)),if(and($F44=S44,$G44=T44),"0",if(($F44-$G44)*(S44-T44)&gt;0,0.5*'Thể lệ'!$E$6,'Thể lệ'!$E$6)))</f>
        <v>0</v>
      </c>
      <c r="BY44" s="43"/>
      <c r="BZ44" s="43">
        <f>if($F44=$G44,if(and($F44=$G44,U44&lt;&gt;V44),'Thể lệ'!$E$6,if($F44=U44,0,0.5*'Thể lệ'!$E$6)),if(and($F44=U44,$G44=V44),"0",if(($F44-$G44)*(U44-V44)&gt;0,0.5*'Thể lệ'!$E$6,'Thể lệ'!$E$6)))</f>
        <v>0</v>
      </c>
      <c r="CA44" s="43"/>
      <c r="CB44" s="43">
        <f>if($F44=$G44,if(and($F44=$G44,W44&lt;&gt;X44),'Thể lệ'!$E$6,if($F44=W44,0,0.5*'Thể lệ'!$E$6)),if(and($F44=W44,$G44=X44),"0",if(($F44-$G44)*(W44-X44)&gt;0,0.5*'Thể lệ'!$E$6,'Thể lệ'!$E$6)))</f>
        <v>0</v>
      </c>
      <c r="CC44" s="43"/>
      <c r="CD44" s="43">
        <f>if($F44=$G44,if(and($F44=$G44,Y44&lt;&gt;Z44),'Thể lệ'!$E$6,if($F44=Y44,0,0.5*'Thể lệ'!$E$6)),if(and($F44=Y44,$G44=Z44),"0",if(($F44-$G44)*(Y44-Z44)&gt;0,0.5*'Thể lệ'!$E$6,'Thể lệ'!$E$6)))</f>
        <v>0</v>
      </c>
      <c r="CE44" s="43"/>
      <c r="CF44" s="43">
        <f>if($F44=$G44,if(and($F44=$G44,AA44&lt;&gt;AB44),'Thể lệ'!$E$6,if($F44=AA44,0,0.5*'Thể lệ'!$E$6)),if(and($F44=AA44,$G44=AB44),"0",if(($F44-$G44)*(AA44-AB44)&gt;0,0.5*'Thể lệ'!$E$6,'Thể lệ'!$E$6)))</f>
        <v>0</v>
      </c>
      <c r="CG44" s="43"/>
      <c r="CH44" s="43">
        <f>if($F44=$G44,if(and($F44=$G44,AC44&lt;&gt;AD44),'Thể lệ'!$E$6,if($F44=AC44,0,0.5*'Thể lệ'!$E$6)),if(and($F44=AC44,$G44=AD44),"0",if(($F44-$G44)*(AC44-AD44)&gt;0,0.5*'Thể lệ'!$E$6,'Thể lệ'!$E$6)))</f>
        <v>0</v>
      </c>
      <c r="CI44" s="43"/>
      <c r="CJ44" s="43">
        <f>if($F44=$G44,if(and($F44=$G44,AE44&lt;&gt;AF44),'Thể lệ'!$E$6,if($F44=AE44,0,0.5*'Thể lệ'!$E$6)),if(and($F44=AE44,$G44=AF44),"0",if(($F44-$G44)*(AE44-AF44)&gt;0,0.5*'Thể lệ'!$E$6,'Thể lệ'!$E$6)))</f>
        <v>0</v>
      </c>
      <c r="CK44" s="43"/>
      <c r="CL44" s="43">
        <f>if($F44=$G44,if(and($F44=$G44,AG44&lt;&gt;AH44),'Thể lệ'!$E$6,if($F44=AG44,0,0.5*'Thể lệ'!$E$6)),if(and($F44=AG44,$G44=AH44),"0",if(($F44-$G44)*(AG44-AH44)&gt;0,0.5*'Thể lệ'!$E$6,'Thể lệ'!$E$6)))</f>
        <v>0</v>
      </c>
      <c r="CM44" s="43"/>
      <c r="CN44" s="43">
        <f>if($F44=$G44,if(and($F44=$G44,AI44&lt;&gt;AJ44),'Thể lệ'!$E$6,if($F44=AI44,0,0.5*'Thể lệ'!$E$6)),if(and($F44=AI44,$G44=AJ44),"0",if(($F44-$G44)*(AI44-AJ44)&gt;0,0.5*'Thể lệ'!$E$6,'Thể lệ'!$E$6)))</f>
        <v>0</v>
      </c>
      <c r="CO44" s="43"/>
      <c r="CP44" s="43">
        <f>if($F44=$G44,if(and($F44=$G44,AK44&lt;&gt;AL44),'Thể lệ'!$E$6,if($F44=AK44,0,0.5*'Thể lệ'!$E$6)),if(and($F44=AK44,$G44=AL44),"0",if(($F44-$G44)*(AK44-AL44)&gt;0,0.5*'Thể lệ'!$E$6,'Thể lệ'!$E$6)))</f>
        <v>0</v>
      </c>
      <c r="CQ44" s="43"/>
      <c r="CR44" s="43">
        <f>if($F44=$G44,if(and($F44=$G44,AM44&lt;&gt;AN44),'Thể lệ'!$E$6,if($F44=AM44,0,0.5*'Thể lệ'!$E$6)),if(and($F44=AM44,$G44=AN44),"0",if(($F44-$G44)*(AM44-AN44)&gt;0,0.5*'Thể lệ'!$E$6,'Thể lệ'!$E$6)))</f>
        <v>0</v>
      </c>
      <c r="CS44" s="43"/>
      <c r="CT44" s="44">
        <f>if($F44=$G44,if(and($F44=$G44,AO44&lt;&gt;AP44),'Thể lệ'!$E$6,if($F44=AO44,0,0.5*'Thể lệ'!$E$6)),if(and($F44=AO44,$G44=AP44),"0",if(($F44-$G44)*(AO44-AP44)&gt;0,0.5*'Thể lệ'!$E$6,'Thể lệ'!$E$6)))</f>
        <v>10000</v>
      </c>
      <c r="CU44" s="43"/>
      <c r="CV44" s="43">
        <f>if($F44=$G44,if(and($F44=$G44,AQ44&lt;&gt;AR44),'Thể lệ'!$E$6,if($F44=AQ44,0,0.5*'Thể lệ'!$E$6)),if(and($F44=AQ44,$G44=AR44),"0",if(($F44-$G44)*(AQ44-AR44)&gt;0,0.5*'Thể lệ'!$E$6,'Thể lệ'!$E$6)))</f>
        <v>0</v>
      </c>
      <c r="CW44" s="43"/>
      <c r="CX44" s="44">
        <f>if($F44=$G44,if(and($F44=$G44,AS44&lt;&gt;AT44),'Thể lệ'!$E$6,if($F44=AS44,0,0.5*'Thể lệ'!$E$6)),if(and($F44=AS44,$G44=AT44),"0",if(($F44-$G44)*(AS44-AT44)&gt;0,0.5*'Thể lệ'!$E$6,'Thể lệ'!$E$6)))</f>
        <v>10000</v>
      </c>
      <c r="CY44" s="45"/>
      <c r="CZ44" s="43">
        <f>if($F44=$G44,if(and($F44=$G44,AU44&lt;&gt;AV44),'Thể lệ'!$E$6,if($F44=AU44,0,0.5*'Thể lệ'!$E$6)),if(and($F44=AU44,$G44=AV44),"0",if(($F44-$G44)*(AU44-AV44)&gt;0,0.5*'Thể lệ'!$E$6,'Thể lệ'!$E$6)))</f>
        <v>0</v>
      </c>
      <c r="DA44" s="45"/>
      <c r="DB44" s="43">
        <f>if($F44=$G44,if(and($F44=$G44,AW44&lt;&gt;AX44),'Thể lệ'!$E$6,if($F44=AW44,0,0.5*'Thể lệ'!$E$6)),if(and($F44=AW44,$G44=AX44),"0",if(($F44-$G44)*(AW44-AX44)&gt;0,0.5*'Thể lệ'!$E$6,'Thể lệ'!$E$6)))</f>
        <v>0</v>
      </c>
      <c r="DC44" s="45"/>
      <c r="DD44" s="43">
        <f>if($F44=$G44,if(and($F44=$G44,AY44&lt;&gt;AZ44),'Thể lệ'!$E$6,if($F44=AY44,0,0.5*'Thể lệ'!$E$6)),if(and($F44=AY44,$G44=AZ44),"0",if(($F44-$G44)*(AY44-AZ44)&gt;0,0.5*'Thể lệ'!$E$6,'Thể lệ'!$E$6)))</f>
        <v>0</v>
      </c>
      <c r="DE44" s="45"/>
      <c r="DF44" s="43">
        <f>if($F44=$G44,if(and($F44=$G44,BA44&lt;&gt;BB44),'Thể lệ'!$E$6,if($F44=BA44,0,0.5*'Thể lệ'!$E$6)),if(and($F44=BA44,$G44=BB44),"0",if(($F44-$G44)*(BA44-BB44)&gt;0,0.5*'Thể lệ'!$E$6,'Thể lệ'!$E$6)))</f>
        <v>0</v>
      </c>
      <c r="DG44" s="45"/>
      <c r="DH44" s="44">
        <f>if($F44=$G44,if(and($F44=$G44,BC44&lt;&gt;BD44),'Thể lệ'!$E$6,if($F44=BC44,0,0.5*'Thể lệ'!$E$6)),if(and($F44=BC44,$G44=BD44),"0",if(($F44-$G44)*(BC44-BD44)&gt;0,0.5*'Thể lệ'!$E$6,'Thể lệ'!$E$6)))</f>
        <v>10000</v>
      </c>
      <c r="DI44" s="45"/>
      <c r="DJ44" s="43">
        <f>if($F44=$G44,if(and($F44=$G44,BE44&lt;&gt;BF44),'Thể lệ'!$E$6,if($F44=BE44,0,0.5*'Thể lệ'!$E$6)),if(and($F44=BE44,$G44=BF44),"0",if(($F44-$G44)*(BE44-BF44)&gt;0,0.5*'Thể lệ'!$E$6,'Thể lệ'!$E$6)))</f>
        <v>0</v>
      </c>
      <c r="DK44" s="45"/>
      <c r="DL44" s="43">
        <f>if($F44=$G44,if(and($F44=$G44,BG44&lt;&gt;BH44),'Thể lệ'!$E$6,if($F44=BG44,0,0.5*'Thể lệ'!$E$6)),if(and($F44=BG44,$G44=BH44),"0",if(($F44-$G44)*(BG44-BH44)&gt;0,0.5*'Thể lệ'!$E$6,'Thể lệ'!$E$6)))</f>
        <v>0</v>
      </c>
      <c r="DM44" s="45"/>
      <c r="DN44" s="44">
        <f>if($F44=$G44,if(and($F44=$G44,BI44&lt;&gt;BJ44),'Thể lệ'!$E$6,if($F44=BI44,0,0.5*'Thể lệ'!$E$6)),if(and($F44=BI44,$G44=BJ44),"0",if(($F44-$G44)*(BI44-BJ44)&gt;0,0.5*'Thể lệ'!$E$6,'Thể lệ'!$E$6)))</f>
        <v>10000</v>
      </c>
      <c r="DO44" s="45"/>
      <c r="DP44" s="8"/>
    </row>
    <row r="45">
      <c r="A45" s="6"/>
      <c r="B45" s="22">
        <v>39.0</v>
      </c>
      <c r="C45" s="56">
        <v>46195.20833333333</v>
      </c>
      <c r="D45" s="57">
        <v>46195.20833333333</v>
      </c>
      <c r="E45" s="58" t="s">
        <v>61</v>
      </c>
      <c r="F45" s="23"/>
      <c r="G45" s="23"/>
      <c r="H45" s="58" t="s">
        <v>57</v>
      </c>
      <c r="I45" s="37"/>
      <c r="J45" s="37"/>
      <c r="K45" s="37"/>
      <c r="L45" s="37"/>
      <c r="M45" s="37"/>
      <c r="N45" s="37"/>
      <c r="O45" s="37"/>
      <c r="P45" s="37"/>
      <c r="Q45" s="37" t="str">
        <f t="shared" si="4"/>
        <v/>
      </c>
      <c r="R45" s="37" t="str">
        <f t="shared" si="6"/>
        <v/>
      </c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>
        <v>3.0</v>
      </c>
      <c r="AP45" s="37">
        <v>0.0</v>
      </c>
      <c r="AQ45" s="59"/>
      <c r="AR45" s="37"/>
      <c r="AS45" s="40">
        <v>3.0</v>
      </c>
      <c r="AT45" s="40">
        <v>0.0</v>
      </c>
      <c r="AU45" s="37"/>
      <c r="AV45" s="37"/>
      <c r="AW45" s="60"/>
      <c r="AX45" s="37"/>
      <c r="AY45" s="37"/>
      <c r="AZ45" s="37"/>
      <c r="BA45" s="37"/>
      <c r="BB45" s="37"/>
      <c r="BC45" s="37">
        <v>3.0</v>
      </c>
      <c r="BD45" s="37">
        <v>0.0</v>
      </c>
      <c r="BE45" s="42"/>
      <c r="BF45" s="37"/>
      <c r="BG45" s="37"/>
      <c r="BH45" s="37"/>
      <c r="BI45" s="37">
        <f>H.Son!H45</f>
        <v>2</v>
      </c>
      <c r="BJ45" s="37">
        <f>H.Son!I45</f>
        <v>0</v>
      </c>
      <c r="BK45" s="37"/>
      <c r="BL45" s="37"/>
      <c r="BM45" s="9"/>
      <c r="BN45" s="43">
        <f>if($F45=$G45,if(and($F45=$G45,I45&lt;&gt;J45),'Thể lệ'!$E$6,if($F45=I45,0,0.5*'Thể lệ'!$E$6)),if(and($F45=I45,$G45=J45),"0",if(($F45-$G45)*(I45-J45)&gt;0,0.5*'Thể lệ'!$E$6,'Thể lệ'!$E$6)))</f>
        <v>0</v>
      </c>
      <c r="BO45" s="43"/>
      <c r="BP45" s="43">
        <f>if($F45=$G45,if(and($F45=$G45,K45&lt;&gt;L45),'Thể lệ'!$E$6,if($F45=K45,0,0.5*'Thể lệ'!$E$6)),if(and($F45=K45,$G45=L45),"0",if(($F45-$G45)*(K45-L45)&gt;0,0.5*'Thể lệ'!$E$6,'Thể lệ'!$E$6)))</f>
        <v>0</v>
      </c>
      <c r="BQ45" s="43"/>
      <c r="BR45" s="43">
        <f>if($F45=$G45,if(and($F45=$G45,M45&lt;&gt;N45),'Thể lệ'!$E$6,if($F45=M45,0,0.5*'Thể lệ'!$E$6)),if(and($F45=M45,$G45=N45),"0",if(($F45-$G45)*(M45-N45)&gt;0,0.5*'Thể lệ'!$E$6,'Thể lệ'!$E$6)))</f>
        <v>0</v>
      </c>
      <c r="BS45" s="43"/>
      <c r="BT45" s="43">
        <f>if($F45=$G45,if(and($F45=$G45,O45&lt;&gt;P45),'Thể lệ'!$E$6,if($F45=O45,0,0.5*'Thể lệ'!$E$6)),if(and($F45=O45,$G45=P45),"0",if(($F45-$G45)*(O45-P45)&gt;0,0.5*'Thể lệ'!$E$6,'Thể lệ'!$E$6)))</f>
        <v>0</v>
      </c>
      <c r="BU45" s="43"/>
      <c r="BV45" s="43">
        <f>if($F45=$G45,if(and($F45=$G45,Q45&lt;&gt;R45),'Thể lệ'!$E$6,if($F45=Q45,0,0.5*'Thể lệ'!$E$6)),if(and($F45=Q45,$G45=R45),"0",if(($F45-$G45)*(Q45-R45)&gt;0,0.5*'Thể lệ'!$E$6,'Thể lệ'!$E$6)))</f>
        <v>0</v>
      </c>
      <c r="BW45" s="43"/>
      <c r="BX45" s="43">
        <f>if($F45=$G45,if(and($F45=$G45,S45&lt;&gt;T45),'Thể lệ'!$E$6,if($F45=S45,0,0.5*'Thể lệ'!$E$6)),if(and($F45=S45,$G45=T45),"0",if(($F45-$G45)*(S45-T45)&gt;0,0.5*'Thể lệ'!$E$6,'Thể lệ'!$E$6)))</f>
        <v>0</v>
      </c>
      <c r="BY45" s="43"/>
      <c r="BZ45" s="43">
        <f>if($F45=$G45,if(and($F45=$G45,U45&lt;&gt;V45),'Thể lệ'!$E$6,if($F45=U45,0,0.5*'Thể lệ'!$E$6)),if(and($F45=U45,$G45=V45),"0",if(($F45-$G45)*(U45-V45)&gt;0,0.5*'Thể lệ'!$E$6,'Thể lệ'!$E$6)))</f>
        <v>0</v>
      </c>
      <c r="CA45" s="43"/>
      <c r="CB45" s="43">
        <f>if($F45=$G45,if(and($F45=$G45,W45&lt;&gt;X45),'Thể lệ'!$E$6,if($F45=W45,0,0.5*'Thể lệ'!$E$6)),if(and($F45=W45,$G45=X45),"0",if(($F45-$G45)*(W45-X45)&gt;0,0.5*'Thể lệ'!$E$6,'Thể lệ'!$E$6)))</f>
        <v>0</v>
      </c>
      <c r="CC45" s="43"/>
      <c r="CD45" s="43">
        <f>if($F45=$G45,if(and($F45=$G45,Y45&lt;&gt;Z45),'Thể lệ'!$E$6,if($F45=Y45,0,0.5*'Thể lệ'!$E$6)),if(and($F45=Y45,$G45=Z45),"0",if(($F45-$G45)*(Y45-Z45)&gt;0,0.5*'Thể lệ'!$E$6,'Thể lệ'!$E$6)))</f>
        <v>0</v>
      </c>
      <c r="CE45" s="43"/>
      <c r="CF45" s="43">
        <f>if($F45=$G45,if(and($F45=$G45,AA45&lt;&gt;AB45),'Thể lệ'!$E$6,if($F45=AA45,0,0.5*'Thể lệ'!$E$6)),if(and($F45=AA45,$G45=AB45),"0",if(($F45-$G45)*(AA45-AB45)&gt;0,0.5*'Thể lệ'!$E$6,'Thể lệ'!$E$6)))</f>
        <v>0</v>
      </c>
      <c r="CG45" s="43"/>
      <c r="CH45" s="43">
        <f>if($F45=$G45,if(and($F45=$G45,AC45&lt;&gt;AD45),'Thể lệ'!$E$6,if($F45=AC45,0,0.5*'Thể lệ'!$E$6)),if(and($F45=AC45,$G45=AD45),"0",if(($F45-$G45)*(AC45-AD45)&gt;0,0.5*'Thể lệ'!$E$6,'Thể lệ'!$E$6)))</f>
        <v>0</v>
      </c>
      <c r="CI45" s="43"/>
      <c r="CJ45" s="43">
        <f>if($F45=$G45,if(and($F45=$G45,AE45&lt;&gt;AF45),'Thể lệ'!$E$6,if($F45=AE45,0,0.5*'Thể lệ'!$E$6)),if(and($F45=AE45,$G45=AF45),"0",if(($F45-$G45)*(AE45-AF45)&gt;0,0.5*'Thể lệ'!$E$6,'Thể lệ'!$E$6)))</f>
        <v>0</v>
      </c>
      <c r="CK45" s="43"/>
      <c r="CL45" s="43">
        <f>if($F45=$G45,if(and($F45=$G45,AG45&lt;&gt;AH45),'Thể lệ'!$E$6,if($F45=AG45,0,0.5*'Thể lệ'!$E$6)),if(and($F45=AG45,$G45=AH45),"0",if(($F45-$G45)*(AG45-AH45)&gt;0,0.5*'Thể lệ'!$E$6,'Thể lệ'!$E$6)))</f>
        <v>0</v>
      </c>
      <c r="CM45" s="43"/>
      <c r="CN45" s="43">
        <f>if($F45=$G45,if(and($F45=$G45,AI45&lt;&gt;AJ45),'Thể lệ'!$E$6,if($F45=AI45,0,0.5*'Thể lệ'!$E$6)),if(and($F45=AI45,$G45=AJ45),"0",if(($F45-$G45)*(AI45-AJ45)&gt;0,0.5*'Thể lệ'!$E$6,'Thể lệ'!$E$6)))</f>
        <v>0</v>
      </c>
      <c r="CO45" s="43"/>
      <c r="CP45" s="43">
        <f>if($F45=$G45,if(and($F45=$G45,AK45&lt;&gt;AL45),'Thể lệ'!$E$6,if($F45=AK45,0,0.5*'Thể lệ'!$E$6)),if(and($F45=AK45,$G45=AL45),"0",if(($F45-$G45)*(AK45-AL45)&gt;0,0.5*'Thể lệ'!$E$6,'Thể lệ'!$E$6)))</f>
        <v>0</v>
      </c>
      <c r="CQ45" s="43"/>
      <c r="CR45" s="43">
        <f>if($F45=$G45,if(and($F45=$G45,AM45&lt;&gt;AN45),'Thể lệ'!$E$6,if($F45=AM45,0,0.5*'Thể lệ'!$E$6)),if(and($F45=AM45,$G45=AN45),"0",if(($F45-$G45)*(AM45-AN45)&gt;0,0.5*'Thể lệ'!$E$6,'Thể lệ'!$E$6)))</f>
        <v>0</v>
      </c>
      <c r="CS45" s="43"/>
      <c r="CT45" s="44">
        <f>if($F45=$G45,if(and($F45=$G45,AO45&lt;&gt;AP45),'Thể lệ'!$E$6,if($F45=AO45,0,0.5*'Thể lệ'!$E$6)),if(and($F45=AO45,$G45=AP45),"0",if(($F45-$G45)*(AO45-AP45)&gt;0,0.5*'Thể lệ'!$E$6,'Thể lệ'!$E$6)))</f>
        <v>10000</v>
      </c>
      <c r="CU45" s="43"/>
      <c r="CV45" s="43">
        <f>if($F45=$G45,if(and($F45=$G45,AQ45&lt;&gt;AR45),'Thể lệ'!$E$6,if($F45=AQ45,0,0.5*'Thể lệ'!$E$6)),if(and($F45=AQ45,$G45=AR45),"0",if(($F45-$G45)*(AQ45-AR45)&gt;0,0.5*'Thể lệ'!$E$6,'Thể lệ'!$E$6)))</f>
        <v>0</v>
      </c>
      <c r="CW45" s="43"/>
      <c r="CX45" s="44">
        <f>if($F45=$G45,if(and($F45=$G45,AS45&lt;&gt;AT45),'Thể lệ'!$E$6,if($F45=AS45,0,0.5*'Thể lệ'!$E$6)),if(and($F45=AS45,$G45=AT45),"0",if(($F45-$G45)*(AS45-AT45)&gt;0,0.5*'Thể lệ'!$E$6,'Thể lệ'!$E$6)))</f>
        <v>10000</v>
      </c>
      <c r="CY45" s="45"/>
      <c r="CZ45" s="43">
        <f>if($F45=$G45,if(and($F45=$G45,AU45&lt;&gt;AV45),'Thể lệ'!$E$6,if($F45=AU45,0,0.5*'Thể lệ'!$E$6)),if(and($F45=AU45,$G45=AV45),"0",if(($F45-$G45)*(AU45-AV45)&gt;0,0.5*'Thể lệ'!$E$6,'Thể lệ'!$E$6)))</f>
        <v>0</v>
      </c>
      <c r="DA45" s="45"/>
      <c r="DB45" s="43">
        <f>if($F45=$G45,if(and($F45=$G45,AW45&lt;&gt;AX45),'Thể lệ'!$E$6,if($F45=AW45,0,0.5*'Thể lệ'!$E$6)),if(and($F45=AW45,$G45=AX45),"0",if(($F45-$G45)*(AW45-AX45)&gt;0,0.5*'Thể lệ'!$E$6,'Thể lệ'!$E$6)))</f>
        <v>0</v>
      </c>
      <c r="DC45" s="45"/>
      <c r="DD45" s="43">
        <f>if($F45=$G45,if(and($F45=$G45,AY45&lt;&gt;AZ45),'Thể lệ'!$E$6,if($F45=AY45,0,0.5*'Thể lệ'!$E$6)),if(and($F45=AY45,$G45=AZ45),"0",if(($F45-$G45)*(AY45-AZ45)&gt;0,0.5*'Thể lệ'!$E$6,'Thể lệ'!$E$6)))</f>
        <v>0</v>
      </c>
      <c r="DE45" s="45"/>
      <c r="DF45" s="43">
        <f>if($F45=$G45,if(and($F45=$G45,BA45&lt;&gt;BB45),'Thể lệ'!$E$6,if($F45=BA45,0,0.5*'Thể lệ'!$E$6)),if(and($F45=BA45,$G45=BB45),"0",if(($F45-$G45)*(BA45-BB45)&gt;0,0.5*'Thể lệ'!$E$6,'Thể lệ'!$E$6)))</f>
        <v>0</v>
      </c>
      <c r="DG45" s="45"/>
      <c r="DH45" s="44">
        <f>if($F45=$G45,if(and($F45=$G45,BC45&lt;&gt;BD45),'Thể lệ'!$E$6,if($F45=BC45,0,0.5*'Thể lệ'!$E$6)),if(and($F45=BC45,$G45=BD45),"0",if(($F45-$G45)*(BC45-BD45)&gt;0,0.5*'Thể lệ'!$E$6,'Thể lệ'!$E$6)))</f>
        <v>10000</v>
      </c>
      <c r="DI45" s="45"/>
      <c r="DJ45" s="43">
        <f>if($F45=$G45,if(and($F45=$G45,BE45&lt;&gt;BF45),'Thể lệ'!$E$6,if($F45=BE45,0,0.5*'Thể lệ'!$E$6)),if(and($F45=BE45,$G45=BF45),"0",if(($F45-$G45)*(BE45-BF45)&gt;0,0.5*'Thể lệ'!$E$6,'Thể lệ'!$E$6)))</f>
        <v>0</v>
      </c>
      <c r="DK45" s="45"/>
      <c r="DL45" s="43">
        <f>if($F45=$G45,if(and($F45=$G45,BG45&lt;&gt;BH45),'Thể lệ'!$E$6,if($F45=BG45,0,0.5*'Thể lệ'!$E$6)),if(and($F45=BG45,$G45=BH45),"0",if(($F45-$G45)*(BG45-BH45)&gt;0,0.5*'Thể lệ'!$E$6,'Thể lệ'!$E$6)))</f>
        <v>0</v>
      </c>
      <c r="DM45" s="45"/>
      <c r="DN45" s="44">
        <f>if($F45=$G45,if(and($F45=$G45,BI45&lt;&gt;BJ45),'Thể lệ'!$E$6,if($F45=BI45,0,0.5*'Thể lệ'!$E$6)),if(and($F45=BI45,$G45=BJ45),"0",if(($F45-$G45)*(BI45-BJ45)&gt;0,0.5*'Thể lệ'!$E$6,'Thể lệ'!$E$6)))</f>
        <v>10000</v>
      </c>
      <c r="DO45" s="45"/>
      <c r="DP45" s="8"/>
    </row>
    <row r="46">
      <c r="B46" s="22">
        <v>40.0</v>
      </c>
      <c r="C46" s="56">
        <v>46195.33333333333</v>
      </c>
      <c r="D46" s="57">
        <v>46195.33333333333</v>
      </c>
      <c r="E46" s="58" t="s">
        <v>63</v>
      </c>
      <c r="F46" s="23"/>
      <c r="G46" s="23"/>
      <c r="H46" s="58" t="s">
        <v>59</v>
      </c>
      <c r="I46" s="37"/>
      <c r="J46" s="37"/>
      <c r="K46" s="37"/>
      <c r="L46" s="37"/>
      <c r="M46" s="37"/>
      <c r="N46" s="37"/>
      <c r="O46" s="37"/>
      <c r="P46" s="37"/>
      <c r="Q46" s="37" t="str">
        <f t="shared" si="4"/>
        <v/>
      </c>
      <c r="R46" s="37" t="str">
        <f t="shared" si="6"/>
        <v/>
      </c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>
        <v>3.0</v>
      </c>
      <c r="AP46" s="37">
        <v>3.0</v>
      </c>
      <c r="AQ46" s="37"/>
      <c r="AR46" s="37"/>
      <c r="AS46" s="40">
        <v>1.0</v>
      </c>
      <c r="AT46" s="40">
        <v>1.0</v>
      </c>
      <c r="AU46" s="37"/>
      <c r="AV46" s="37"/>
      <c r="AW46" s="37"/>
      <c r="AX46" s="37"/>
      <c r="AY46" s="37"/>
      <c r="AZ46" s="37"/>
      <c r="BA46" s="37"/>
      <c r="BB46" s="37"/>
      <c r="BC46" s="37">
        <v>0.0</v>
      </c>
      <c r="BD46" s="37">
        <v>2.0</v>
      </c>
      <c r="BE46" s="42"/>
      <c r="BF46" s="37"/>
      <c r="BG46" s="37"/>
      <c r="BH46" s="37"/>
      <c r="BI46" s="37">
        <f>H.Son!H46</f>
        <v>0</v>
      </c>
      <c r="BJ46" s="37">
        <f>H.Son!I46</f>
        <v>1</v>
      </c>
      <c r="BK46" s="37"/>
      <c r="BL46" s="37"/>
      <c r="BM46" s="9"/>
      <c r="BN46" s="43">
        <f>if($F46=$G46,if(and($F46=$G46,I46&lt;&gt;J46),'Thể lệ'!$E$6,if($F46=I46,0,0.5*'Thể lệ'!$E$6)),if(and($F46=I46,$G46=J46),"0",if(($F46-$G46)*(I46-J46)&gt;0,0.5*'Thể lệ'!$E$6,'Thể lệ'!$E$6)))</f>
        <v>0</v>
      </c>
      <c r="BO46" s="43"/>
      <c r="BP46" s="43">
        <f>if($F46=$G46,if(and($F46=$G46,K46&lt;&gt;L46),'Thể lệ'!$E$6,if($F46=K46,0,0.5*'Thể lệ'!$E$6)),if(and($F46=K46,$G46=L46),"0",if(($F46-$G46)*(K46-L46)&gt;0,0.5*'Thể lệ'!$E$6,'Thể lệ'!$E$6)))</f>
        <v>0</v>
      </c>
      <c r="BQ46" s="43"/>
      <c r="BR46" s="43">
        <f>if($F46=$G46,if(and($F46=$G46,M46&lt;&gt;N46),'Thể lệ'!$E$6,if($F46=M46,0,0.5*'Thể lệ'!$E$6)),if(and($F46=M46,$G46=N46),"0",if(($F46-$G46)*(M46-N46)&gt;0,0.5*'Thể lệ'!$E$6,'Thể lệ'!$E$6)))</f>
        <v>0</v>
      </c>
      <c r="BS46" s="43"/>
      <c r="BT46" s="43">
        <f>if($F46=$G46,if(and($F46=$G46,O46&lt;&gt;P46),'Thể lệ'!$E$6,if($F46=O46,0,0.5*'Thể lệ'!$E$6)),if(and($F46=O46,$G46=P46),"0",if(($F46-$G46)*(O46-P46)&gt;0,0.5*'Thể lệ'!$E$6,'Thể lệ'!$E$6)))</f>
        <v>0</v>
      </c>
      <c r="BU46" s="43"/>
      <c r="BV46" s="43">
        <f>if($F46=$G46,if(and($F46=$G46,Q46&lt;&gt;R46),'Thể lệ'!$E$6,if($F46=Q46,0,0.5*'Thể lệ'!$E$6)),if(and($F46=Q46,$G46=R46),"0",if(($F46-$G46)*(Q46-R46)&gt;0,0.5*'Thể lệ'!$E$6,'Thể lệ'!$E$6)))</f>
        <v>0</v>
      </c>
      <c r="BW46" s="43"/>
      <c r="BX46" s="43">
        <f>if($F46=$G46,if(and($F46=$G46,S46&lt;&gt;T46),'Thể lệ'!$E$6,if($F46=S46,0,0.5*'Thể lệ'!$E$6)),if(and($F46=S46,$G46=T46),"0",if(($F46-$G46)*(S46-T46)&gt;0,0.5*'Thể lệ'!$E$6,'Thể lệ'!$E$6)))</f>
        <v>0</v>
      </c>
      <c r="BY46" s="43"/>
      <c r="BZ46" s="43">
        <f>if($F46=$G46,if(and($F46=$G46,U46&lt;&gt;V46),'Thể lệ'!$E$6,if($F46=U46,0,0.5*'Thể lệ'!$E$6)),if(and($F46=U46,$G46=V46),"0",if(($F46-$G46)*(U46-V46)&gt;0,0.5*'Thể lệ'!$E$6,'Thể lệ'!$E$6)))</f>
        <v>0</v>
      </c>
      <c r="CA46" s="43"/>
      <c r="CB46" s="43">
        <f>if($F46=$G46,if(and($F46=$G46,W46&lt;&gt;X46),'Thể lệ'!$E$6,if($F46=W46,0,0.5*'Thể lệ'!$E$6)),if(and($F46=W46,$G46=X46),"0",if(($F46-$G46)*(W46-X46)&gt;0,0.5*'Thể lệ'!$E$6,'Thể lệ'!$E$6)))</f>
        <v>0</v>
      </c>
      <c r="CC46" s="43"/>
      <c r="CD46" s="43">
        <f>if($F46=$G46,if(and($F46=$G46,Y46&lt;&gt;Z46),'Thể lệ'!$E$6,if($F46=Y46,0,0.5*'Thể lệ'!$E$6)),if(and($F46=Y46,$G46=Z46),"0",if(($F46-$G46)*(Y46-Z46)&gt;0,0.5*'Thể lệ'!$E$6,'Thể lệ'!$E$6)))</f>
        <v>0</v>
      </c>
      <c r="CE46" s="43"/>
      <c r="CF46" s="43">
        <f>if($F46=$G46,if(and($F46=$G46,AA46&lt;&gt;AB46),'Thể lệ'!$E$6,if($F46=AA46,0,0.5*'Thể lệ'!$E$6)),if(and($F46=AA46,$G46=AB46),"0",if(($F46-$G46)*(AA46-AB46)&gt;0,0.5*'Thể lệ'!$E$6,'Thể lệ'!$E$6)))</f>
        <v>0</v>
      </c>
      <c r="CG46" s="43"/>
      <c r="CH46" s="43">
        <f>if($F46=$G46,if(and($F46=$G46,AC46&lt;&gt;AD46),'Thể lệ'!$E$6,if($F46=AC46,0,0.5*'Thể lệ'!$E$6)),if(and($F46=AC46,$G46=AD46),"0",if(($F46-$G46)*(AC46-AD46)&gt;0,0.5*'Thể lệ'!$E$6,'Thể lệ'!$E$6)))</f>
        <v>0</v>
      </c>
      <c r="CI46" s="43"/>
      <c r="CJ46" s="43">
        <f>if($F46=$G46,if(and($F46=$G46,AE46&lt;&gt;AF46),'Thể lệ'!$E$6,if($F46=AE46,0,0.5*'Thể lệ'!$E$6)),if(and($F46=AE46,$G46=AF46),"0",if(($F46-$G46)*(AE46-AF46)&gt;0,0.5*'Thể lệ'!$E$6,'Thể lệ'!$E$6)))</f>
        <v>0</v>
      </c>
      <c r="CK46" s="43"/>
      <c r="CL46" s="43">
        <f>if($F46=$G46,if(and($F46=$G46,AG46&lt;&gt;AH46),'Thể lệ'!$E$6,if($F46=AG46,0,0.5*'Thể lệ'!$E$6)),if(and($F46=AG46,$G46=AH46),"0",if(($F46-$G46)*(AG46-AH46)&gt;0,0.5*'Thể lệ'!$E$6,'Thể lệ'!$E$6)))</f>
        <v>0</v>
      </c>
      <c r="CM46" s="43"/>
      <c r="CN46" s="43">
        <f>if($F46=$G46,if(and($F46=$G46,AI46&lt;&gt;AJ46),'Thể lệ'!$E$6,if($F46=AI46,0,0.5*'Thể lệ'!$E$6)),if(and($F46=AI46,$G46=AJ46),"0",if(($F46-$G46)*(AI46-AJ46)&gt;0,0.5*'Thể lệ'!$E$6,'Thể lệ'!$E$6)))</f>
        <v>0</v>
      </c>
      <c r="CO46" s="43"/>
      <c r="CP46" s="43">
        <f>if($F46=$G46,if(and($F46=$G46,AK46&lt;&gt;AL46),'Thể lệ'!$E$6,if($F46=AK46,0,0.5*'Thể lệ'!$E$6)),if(and($F46=AK46,$G46=AL46),"0",if(($F46-$G46)*(AK46-AL46)&gt;0,0.5*'Thể lệ'!$E$6,'Thể lệ'!$E$6)))</f>
        <v>0</v>
      </c>
      <c r="CQ46" s="43"/>
      <c r="CR46" s="43">
        <f>if($F46=$G46,if(and($F46=$G46,AM46&lt;&gt;AN46),'Thể lệ'!$E$6,if($F46=AM46,0,0.5*'Thể lệ'!$E$6)),if(and($F46=AM46,$G46=AN46),"0",if(($F46-$G46)*(AM46-AN46)&gt;0,0.5*'Thể lệ'!$E$6,'Thể lệ'!$E$6)))</f>
        <v>0</v>
      </c>
      <c r="CS46" s="43"/>
      <c r="CT46" s="44">
        <f>if($F46=$G46,if(and($F46=$G46,AO46&lt;&gt;AP46),'Thể lệ'!$E$6,if($F46=AO46,0,0.5*'Thể lệ'!$E$6)),if(and($F46=AO46,$G46=AP46),"0",if(($F46-$G46)*(AO46-AP46)&gt;0,0.5*'Thể lệ'!$E$6,'Thể lệ'!$E$6)))</f>
        <v>5000</v>
      </c>
      <c r="CU46" s="43"/>
      <c r="CV46" s="43">
        <f>if($F46=$G46,if(and($F46=$G46,AQ46&lt;&gt;AR46),'Thể lệ'!$E$6,if($F46=AQ46,0,0.5*'Thể lệ'!$E$6)),if(and($F46=AQ46,$G46=AR46),"0",if(($F46-$G46)*(AQ46-AR46)&gt;0,0.5*'Thể lệ'!$E$6,'Thể lệ'!$E$6)))</f>
        <v>0</v>
      </c>
      <c r="CW46" s="43"/>
      <c r="CX46" s="44">
        <f>if($F46=$G46,if(and($F46=$G46,AS46&lt;&gt;AT46),'Thể lệ'!$E$6,if($F46=AS46,0,0.5*'Thể lệ'!$E$6)),if(and($F46=AS46,$G46=AT46),"0",if(($F46-$G46)*(AS46-AT46)&gt;0,0.5*'Thể lệ'!$E$6,'Thể lệ'!$E$6)))</f>
        <v>5000</v>
      </c>
      <c r="CY46" s="45"/>
      <c r="CZ46" s="43">
        <f>if($F46=$G46,if(and($F46=$G46,AU46&lt;&gt;AV46),'Thể lệ'!$E$6,if($F46=AU46,0,0.5*'Thể lệ'!$E$6)),if(and($F46=AU46,$G46=AV46),"0",if(($F46-$G46)*(AU46-AV46)&gt;0,0.5*'Thể lệ'!$E$6,'Thể lệ'!$E$6)))</f>
        <v>0</v>
      </c>
      <c r="DA46" s="45"/>
      <c r="DB46" s="43">
        <f>if($F46=$G46,if(and($F46=$G46,AW46&lt;&gt;AX46),'Thể lệ'!$E$6,if($F46=AW46,0,0.5*'Thể lệ'!$E$6)),if(and($F46=AW46,$G46=AX46),"0",if(($F46-$G46)*(AW46-AX46)&gt;0,0.5*'Thể lệ'!$E$6,'Thể lệ'!$E$6)))</f>
        <v>0</v>
      </c>
      <c r="DC46" s="45"/>
      <c r="DD46" s="43">
        <f>if($F46=$G46,if(and($F46=$G46,AY46&lt;&gt;AZ46),'Thể lệ'!$E$6,if($F46=AY46,0,0.5*'Thể lệ'!$E$6)),if(and($F46=AY46,$G46=AZ46),"0",if(($F46-$G46)*(AY46-AZ46)&gt;0,0.5*'Thể lệ'!$E$6,'Thể lệ'!$E$6)))</f>
        <v>0</v>
      </c>
      <c r="DE46" s="45"/>
      <c r="DF46" s="43">
        <f>if($F46=$G46,if(and($F46=$G46,BA46&lt;&gt;BB46),'Thể lệ'!$E$6,if($F46=BA46,0,0.5*'Thể lệ'!$E$6)),if(and($F46=BA46,$G46=BB46),"0",if(($F46-$G46)*(BA46-BB46)&gt;0,0.5*'Thể lệ'!$E$6,'Thể lệ'!$E$6)))</f>
        <v>0</v>
      </c>
      <c r="DG46" s="45"/>
      <c r="DH46" s="44">
        <f>if($F46=$G46,if(and($F46=$G46,BC46&lt;&gt;BD46),'Thể lệ'!$E$6,if($F46=BC46,0,0.5*'Thể lệ'!$E$6)),if(and($F46=BC46,$G46=BD46),"0",if(($F46-$G46)*(BC46-BD46)&gt;0,0.5*'Thể lệ'!$E$6,'Thể lệ'!$E$6)))</f>
        <v>10000</v>
      </c>
      <c r="DI46" s="45"/>
      <c r="DJ46" s="43">
        <f>if($F46=$G46,if(and($F46=$G46,BE46&lt;&gt;BF46),'Thể lệ'!$E$6,if($F46=BE46,0,0.5*'Thể lệ'!$E$6)),if(and($F46=BE46,$G46=BF46),"0",if(($F46-$G46)*(BE46-BF46)&gt;0,0.5*'Thể lệ'!$E$6,'Thể lệ'!$E$6)))</f>
        <v>0</v>
      </c>
      <c r="DK46" s="45"/>
      <c r="DL46" s="43">
        <f>if($F46=$G46,if(and($F46=$G46,BG46&lt;&gt;BH46),'Thể lệ'!$E$6,if($F46=BG46,0,0.5*'Thể lệ'!$E$6)),if(and($F46=BG46,$G46=BH46),"0",if(($F46-$G46)*(BG46-BH46)&gt;0,0.5*'Thể lệ'!$E$6,'Thể lệ'!$E$6)))</f>
        <v>0</v>
      </c>
      <c r="DM46" s="45"/>
      <c r="DN46" s="44">
        <f>if($F46=$G46,if(and($F46=$G46,BI46&lt;&gt;BJ46),'Thể lệ'!$E$6,if($F46=BI46,0,0.5*'Thể lệ'!$E$6)),if(and($F46=BI46,$G46=BJ46),"0",if(($F46-$G46)*(BI46-BJ46)&gt;0,0.5*'Thể lệ'!$E$6,'Thể lệ'!$E$6)))</f>
        <v>10000</v>
      </c>
      <c r="DO46" s="45"/>
      <c r="DP46" s="8"/>
    </row>
    <row r="47">
      <c r="B47" s="22">
        <v>41.0</v>
      </c>
      <c r="C47" s="56">
        <v>46195.99999999999</v>
      </c>
      <c r="D47" s="57">
        <v>46195.99999999999</v>
      </c>
      <c r="E47" s="58" t="s">
        <v>68</v>
      </c>
      <c r="F47" s="23"/>
      <c r="G47" s="23"/>
      <c r="H47" s="58" t="s">
        <v>70</v>
      </c>
      <c r="I47" s="37"/>
      <c r="J47" s="37"/>
      <c r="K47" s="37"/>
      <c r="L47" s="37"/>
      <c r="M47" s="37"/>
      <c r="N47" s="37"/>
      <c r="O47" s="37"/>
      <c r="P47" s="37"/>
      <c r="Q47" s="37" t="str">
        <f t="shared" si="4"/>
        <v/>
      </c>
      <c r="R47" s="37" t="str">
        <f t="shared" si="6"/>
        <v/>
      </c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>
        <v>2.0</v>
      </c>
      <c r="AP47" s="37">
        <v>0.0</v>
      </c>
      <c r="AQ47" s="37"/>
      <c r="AR47" s="37"/>
      <c r="AS47" s="40">
        <v>3.0</v>
      </c>
      <c r="AT47" s="40">
        <v>0.0</v>
      </c>
      <c r="AU47" s="37"/>
      <c r="AV47" s="37"/>
      <c r="AW47" s="37"/>
      <c r="AX47" s="37"/>
      <c r="AY47" s="37"/>
      <c r="AZ47" s="37"/>
      <c r="BA47" s="37"/>
      <c r="BB47" s="37"/>
      <c r="BC47" s="37">
        <v>2.0</v>
      </c>
      <c r="BD47" s="37">
        <v>0.0</v>
      </c>
      <c r="BE47" s="42"/>
      <c r="BF47" s="37"/>
      <c r="BG47" s="37"/>
      <c r="BH47" s="37"/>
      <c r="BI47" s="37">
        <f>H.Son!H47</f>
        <v>2</v>
      </c>
      <c r="BJ47" s="37">
        <f>H.Son!I47</f>
        <v>0</v>
      </c>
      <c r="BK47" s="37"/>
      <c r="BL47" s="37"/>
      <c r="BM47" s="9"/>
      <c r="BN47" s="43">
        <f>if($F47=$G47,if(and($F47=$G47,I47&lt;&gt;J47),'Thể lệ'!$E$6,if($F47=I47,0,0.5*'Thể lệ'!$E$6)),if(and($F47=I47,$G47=J47),"0",if(($F47-$G47)*(I47-J47)&gt;0,0.5*'Thể lệ'!$E$6,'Thể lệ'!$E$6)))</f>
        <v>0</v>
      </c>
      <c r="BO47" s="43"/>
      <c r="BP47" s="43">
        <f>if($F47=$G47,if(and($F47=$G47,K47&lt;&gt;L47),'Thể lệ'!$E$6,if($F47=K47,0,0.5*'Thể lệ'!$E$6)),if(and($F47=K47,$G47=L47),"0",if(($F47-$G47)*(K47-L47)&gt;0,0.5*'Thể lệ'!$E$6,'Thể lệ'!$E$6)))</f>
        <v>0</v>
      </c>
      <c r="BQ47" s="43"/>
      <c r="BR47" s="43">
        <f>if($F47=$G47,if(and($F47=$G47,M47&lt;&gt;N47),'Thể lệ'!$E$6,if($F47=M47,0,0.5*'Thể lệ'!$E$6)),if(and($F47=M47,$G47=N47),"0",if(($F47-$G47)*(M47-N47)&gt;0,0.5*'Thể lệ'!$E$6,'Thể lệ'!$E$6)))</f>
        <v>0</v>
      </c>
      <c r="BS47" s="43"/>
      <c r="BT47" s="43">
        <f>if($F47=$G47,if(and($F47=$G47,O47&lt;&gt;P47),'Thể lệ'!$E$6,if($F47=O47,0,0.5*'Thể lệ'!$E$6)),if(and($F47=O47,$G47=P47),"0",if(($F47-$G47)*(O47-P47)&gt;0,0.5*'Thể lệ'!$E$6,'Thể lệ'!$E$6)))</f>
        <v>0</v>
      </c>
      <c r="BU47" s="43"/>
      <c r="BV47" s="43">
        <f>if($F47=$G47,if(and($F47=$G47,Q47&lt;&gt;R47),'Thể lệ'!$E$6,if($F47=Q47,0,0.5*'Thể lệ'!$E$6)),if(and($F47=Q47,$G47=R47),"0",if(($F47-$G47)*(Q47-R47)&gt;0,0.5*'Thể lệ'!$E$6,'Thể lệ'!$E$6)))</f>
        <v>0</v>
      </c>
      <c r="BW47" s="43"/>
      <c r="BX47" s="43">
        <f>if($F47=$G47,if(and($F47=$G47,S47&lt;&gt;T47),'Thể lệ'!$E$6,if($F47=S47,0,0.5*'Thể lệ'!$E$6)),if(and($F47=S47,$G47=T47),"0",if(($F47-$G47)*(S47-T47)&gt;0,0.5*'Thể lệ'!$E$6,'Thể lệ'!$E$6)))</f>
        <v>0</v>
      </c>
      <c r="BY47" s="43"/>
      <c r="BZ47" s="43">
        <f>if($F47=$G47,if(and($F47=$G47,U47&lt;&gt;V47),'Thể lệ'!$E$6,if($F47=U47,0,0.5*'Thể lệ'!$E$6)),if(and($F47=U47,$G47=V47),"0",if(($F47-$G47)*(U47-V47)&gt;0,0.5*'Thể lệ'!$E$6,'Thể lệ'!$E$6)))</f>
        <v>0</v>
      </c>
      <c r="CA47" s="43"/>
      <c r="CB47" s="43">
        <f>if($F47=$G47,if(and($F47=$G47,W47&lt;&gt;X47),'Thể lệ'!$E$6,if($F47=W47,0,0.5*'Thể lệ'!$E$6)),if(and($F47=W47,$G47=X47),"0",if(($F47-$G47)*(W47-X47)&gt;0,0.5*'Thể lệ'!$E$6,'Thể lệ'!$E$6)))</f>
        <v>0</v>
      </c>
      <c r="CC47" s="43"/>
      <c r="CD47" s="43">
        <f>if($F47=$G47,if(and($F47=$G47,Y47&lt;&gt;Z47),'Thể lệ'!$E$6,if($F47=Y47,0,0.5*'Thể lệ'!$E$6)),if(and($F47=Y47,$G47=Z47),"0",if(($F47-$G47)*(Y47-Z47)&gt;0,0.5*'Thể lệ'!$E$6,'Thể lệ'!$E$6)))</f>
        <v>0</v>
      </c>
      <c r="CE47" s="43"/>
      <c r="CF47" s="43">
        <f>if($F47=$G47,if(and($F47=$G47,AA47&lt;&gt;AB47),'Thể lệ'!$E$6,if($F47=AA47,0,0.5*'Thể lệ'!$E$6)),if(and($F47=AA47,$G47=AB47),"0",if(($F47-$G47)*(AA47-AB47)&gt;0,0.5*'Thể lệ'!$E$6,'Thể lệ'!$E$6)))</f>
        <v>0</v>
      </c>
      <c r="CG47" s="43"/>
      <c r="CH47" s="43">
        <f>if($F47=$G47,if(and($F47=$G47,AC47&lt;&gt;AD47),'Thể lệ'!$E$6,if($F47=AC47,0,0.5*'Thể lệ'!$E$6)),if(and($F47=AC47,$G47=AD47),"0",if(($F47-$G47)*(AC47-AD47)&gt;0,0.5*'Thể lệ'!$E$6,'Thể lệ'!$E$6)))</f>
        <v>0</v>
      </c>
      <c r="CI47" s="43"/>
      <c r="CJ47" s="43">
        <f>if($F47=$G47,if(and($F47=$G47,AE47&lt;&gt;AF47),'Thể lệ'!$E$6,if($F47=AE47,0,0.5*'Thể lệ'!$E$6)),if(and($F47=AE47,$G47=AF47),"0",if(($F47-$G47)*(AE47-AF47)&gt;0,0.5*'Thể lệ'!$E$6,'Thể lệ'!$E$6)))</f>
        <v>0</v>
      </c>
      <c r="CK47" s="43"/>
      <c r="CL47" s="43">
        <f>if($F47=$G47,if(and($F47=$G47,AG47&lt;&gt;AH47),'Thể lệ'!$E$6,if($F47=AG47,0,0.5*'Thể lệ'!$E$6)),if(and($F47=AG47,$G47=AH47),"0",if(($F47-$G47)*(AG47-AH47)&gt;0,0.5*'Thể lệ'!$E$6,'Thể lệ'!$E$6)))</f>
        <v>0</v>
      </c>
      <c r="CM47" s="43"/>
      <c r="CN47" s="43">
        <f>if($F47=$G47,if(and($F47=$G47,AI47&lt;&gt;AJ47),'Thể lệ'!$E$6,if($F47=AI47,0,0.5*'Thể lệ'!$E$6)),if(and($F47=AI47,$G47=AJ47),"0",if(($F47-$G47)*(AI47-AJ47)&gt;0,0.5*'Thể lệ'!$E$6,'Thể lệ'!$E$6)))</f>
        <v>0</v>
      </c>
      <c r="CO47" s="43"/>
      <c r="CP47" s="43">
        <f>if($F47=$G47,if(and($F47=$G47,AK47&lt;&gt;AL47),'Thể lệ'!$E$6,if($F47=AK47,0,0.5*'Thể lệ'!$E$6)),if(and($F47=AK47,$G47=AL47),"0",if(($F47-$G47)*(AK47-AL47)&gt;0,0.5*'Thể lệ'!$E$6,'Thể lệ'!$E$6)))</f>
        <v>0</v>
      </c>
      <c r="CQ47" s="43"/>
      <c r="CR47" s="43">
        <f>if($F47=$G47,if(and($F47=$G47,AM47&lt;&gt;AN47),'Thể lệ'!$E$6,if($F47=AM47,0,0.5*'Thể lệ'!$E$6)),if(and($F47=AM47,$G47=AN47),"0",if(($F47-$G47)*(AM47-AN47)&gt;0,0.5*'Thể lệ'!$E$6,'Thể lệ'!$E$6)))</f>
        <v>0</v>
      </c>
      <c r="CS47" s="43"/>
      <c r="CT47" s="44">
        <f>if($F47=$G47,if(and($F47=$G47,AO47&lt;&gt;AP47),'Thể lệ'!$E$6,if($F47=AO47,0,0.5*'Thể lệ'!$E$6)),if(and($F47=AO47,$G47=AP47),"0",if(($F47-$G47)*(AO47-AP47)&gt;0,0.5*'Thể lệ'!$E$6,'Thể lệ'!$E$6)))</f>
        <v>10000</v>
      </c>
      <c r="CU47" s="43"/>
      <c r="CV47" s="43">
        <f>if($F47=$G47,if(and($F47=$G47,AQ47&lt;&gt;AR47),'Thể lệ'!$E$6,if($F47=AQ47,0,0.5*'Thể lệ'!$E$6)),if(and($F47=AQ47,$G47=AR47),"0",if(($F47-$G47)*(AQ47-AR47)&gt;0,0.5*'Thể lệ'!$E$6,'Thể lệ'!$E$6)))</f>
        <v>0</v>
      </c>
      <c r="CW47" s="43"/>
      <c r="CX47" s="44">
        <f>if($F47=$G47,if(and($F47=$G47,AS47&lt;&gt;AT47),'Thể lệ'!$E$6,if($F47=AS47,0,0.5*'Thể lệ'!$E$6)),if(and($F47=AS47,$G47=AT47),"0",if(($F47-$G47)*(AS47-AT47)&gt;0,0.5*'Thể lệ'!$E$6,'Thể lệ'!$E$6)))</f>
        <v>10000</v>
      </c>
      <c r="CY47" s="45"/>
      <c r="CZ47" s="43">
        <f>if($F47=$G47,if(and($F47=$G47,AU47&lt;&gt;AV47),'Thể lệ'!$E$6,if($F47=AU47,0,0.5*'Thể lệ'!$E$6)),if(and($F47=AU47,$G47=AV47),"0",if(($F47-$G47)*(AU47-AV47)&gt;0,0.5*'Thể lệ'!$E$6,'Thể lệ'!$E$6)))</f>
        <v>0</v>
      </c>
      <c r="DA47" s="45"/>
      <c r="DB47" s="43">
        <f>if($F47=$G47,if(and($F47=$G47,AW47&lt;&gt;AX47),'Thể lệ'!$E$6,if($F47=AW47,0,0.5*'Thể lệ'!$E$6)),if(and($F47=AW47,$G47=AX47),"0",if(($F47-$G47)*(AW47-AX47)&gt;0,0.5*'Thể lệ'!$E$6,'Thể lệ'!$E$6)))</f>
        <v>0</v>
      </c>
      <c r="DC47" s="45"/>
      <c r="DD47" s="43">
        <f>if($F47=$G47,if(and($F47=$G47,AY47&lt;&gt;AZ47),'Thể lệ'!$E$6,if($F47=AY47,0,0.5*'Thể lệ'!$E$6)),if(and($F47=AY47,$G47=AZ47),"0",if(($F47-$G47)*(AY47-AZ47)&gt;0,0.5*'Thể lệ'!$E$6,'Thể lệ'!$E$6)))</f>
        <v>0</v>
      </c>
      <c r="DE47" s="45"/>
      <c r="DF47" s="43">
        <f>if($F47=$G47,if(and($F47=$G47,BA47&lt;&gt;BB47),'Thể lệ'!$E$6,if($F47=BA47,0,0.5*'Thể lệ'!$E$6)),if(and($F47=BA47,$G47=BB47),"0",if(($F47-$G47)*(BA47-BB47)&gt;0,0.5*'Thể lệ'!$E$6,'Thể lệ'!$E$6)))</f>
        <v>0</v>
      </c>
      <c r="DG47" s="45"/>
      <c r="DH47" s="44">
        <f>if($F47=$G47,if(and($F47=$G47,BC47&lt;&gt;BD47),'Thể lệ'!$E$6,if($F47=BC47,0,0.5*'Thể lệ'!$E$6)),if(and($F47=BC47,$G47=BD47),"0",if(($F47-$G47)*(BC47-BD47)&gt;0,0.5*'Thể lệ'!$E$6,'Thể lệ'!$E$6)))</f>
        <v>10000</v>
      </c>
      <c r="DI47" s="45"/>
      <c r="DJ47" s="43">
        <f>if($F47=$G47,if(and($F47=$G47,BE47&lt;&gt;BF47),'Thể lệ'!$E$6,if($F47=BE47,0,0.5*'Thể lệ'!$E$6)),if(and($F47=BE47,$G47=BF47),"0",if(($F47-$G47)*(BE47-BF47)&gt;0,0.5*'Thể lệ'!$E$6,'Thể lệ'!$E$6)))</f>
        <v>0</v>
      </c>
      <c r="DK47" s="45"/>
      <c r="DL47" s="43">
        <f>if($F47=$G47,if(and($F47=$G47,BG47&lt;&gt;BH47),'Thể lệ'!$E$6,if($F47=BG47,0,0.5*'Thể lệ'!$E$6)),if(and($F47=BG47,$G47=BH47),"0",if(($F47-$G47)*(BG47-BH47)&gt;0,0.5*'Thể lệ'!$E$6,'Thể lệ'!$E$6)))</f>
        <v>0</v>
      </c>
      <c r="DM47" s="45"/>
      <c r="DN47" s="44">
        <f>if($F47=$G47,if(and($F47=$G47,BI47&lt;&gt;BJ47),'Thể lệ'!$E$6,if($F47=BI47,0,0.5*'Thể lệ'!$E$6)),if(and($F47=BI47,$G47=BJ47),"0",if(($F47-$G47)*(BI47-BJ47)&gt;0,0.5*'Thể lệ'!$E$6,'Thể lệ'!$E$6)))</f>
        <v>10000</v>
      </c>
      <c r="DO47" s="45"/>
      <c r="DP47" s="8"/>
    </row>
    <row r="48">
      <c r="B48" s="22">
        <v>42.0</v>
      </c>
      <c r="C48" s="56">
        <v>46196.166666666664</v>
      </c>
      <c r="D48" s="57">
        <v>46196.166666666664</v>
      </c>
      <c r="E48" s="58" t="s">
        <v>64</v>
      </c>
      <c r="F48" s="23"/>
      <c r="G48" s="23"/>
      <c r="H48" s="58" t="s">
        <v>66</v>
      </c>
      <c r="I48" s="37"/>
      <c r="J48" s="37"/>
      <c r="K48" s="37"/>
      <c r="L48" s="37"/>
      <c r="M48" s="37"/>
      <c r="N48" s="37"/>
      <c r="O48" s="37"/>
      <c r="P48" s="37"/>
      <c r="Q48" s="37" t="str">
        <f t="shared" si="4"/>
        <v/>
      </c>
      <c r="R48" s="37" t="str">
        <f t="shared" si="6"/>
        <v/>
      </c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>
        <v>2.0</v>
      </c>
      <c r="AP48" s="37">
        <v>2.0</v>
      </c>
      <c r="AQ48" s="37"/>
      <c r="AR48" s="37"/>
      <c r="AS48" s="40">
        <v>3.0</v>
      </c>
      <c r="AT48" s="40">
        <v>0.0</v>
      </c>
      <c r="AU48" s="37"/>
      <c r="AV48" s="37"/>
      <c r="AW48" s="37"/>
      <c r="AX48" s="37"/>
      <c r="AY48" s="37"/>
      <c r="AZ48" s="37"/>
      <c r="BA48" s="37"/>
      <c r="BB48" s="37"/>
      <c r="BC48" s="37">
        <v>4.0</v>
      </c>
      <c r="BD48" s="37">
        <v>0.0</v>
      </c>
      <c r="BE48" s="42"/>
      <c r="BF48" s="37"/>
      <c r="BG48" s="37"/>
      <c r="BH48" s="37"/>
      <c r="BI48" s="37">
        <f>H.Son!H48</f>
        <v>2</v>
      </c>
      <c r="BJ48" s="37">
        <f>H.Son!I48</f>
        <v>0</v>
      </c>
      <c r="BK48" s="37"/>
      <c r="BL48" s="37"/>
      <c r="BM48" s="9"/>
      <c r="BN48" s="43">
        <f>if($F48=$G48,if(and($F48=$G48,I48&lt;&gt;J48),'Thể lệ'!$E$6,if($F48=I48,0,0.5*'Thể lệ'!$E$6)),if(and($F48=I48,$G48=J48),"0",if(($F48-$G48)*(I48-J48)&gt;0,0.5*'Thể lệ'!$E$6,'Thể lệ'!$E$6)))</f>
        <v>0</v>
      </c>
      <c r="BO48" s="43"/>
      <c r="BP48" s="43">
        <f>if($F48=$G48,if(and($F48=$G48,K48&lt;&gt;L48),'Thể lệ'!$E$6,if($F48=K48,0,0.5*'Thể lệ'!$E$6)),if(and($F48=K48,$G48=L48),"0",if(($F48-$G48)*(K48-L48)&gt;0,0.5*'Thể lệ'!$E$6,'Thể lệ'!$E$6)))</f>
        <v>0</v>
      </c>
      <c r="BQ48" s="43"/>
      <c r="BR48" s="43">
        <f>if($F48=$G48,if(and($F48=$G48,M48&lt;&gt;N48),'Thể lệ'!$E$6,if($F48=M48,0,0.5*'Thể lệ'!$E$6)),if(and($F48=M48,$G48=N48),"0",if(($F48-$G48)*(M48-N48)&gt;0,0.5*'Thể lệ'!$E$6,'Thể lệ'!$E$6)))</f>
        <v>0</v>
      </c>
      <c r="BS48" s="43"/>
      <c r="BT48" s="43">
        <f>if($F48=$G48,if(and($F48=$G48,O48&lt;&gt;P48),'Thể lệ'!$E$6,if($F48=O48,0,0.5*'Thể lệ'!$E$6)),if(and($F48=O48,$G48=P48),"0",if(($F48-$G48)*(O48-P48)&gt;0,0.5*'Thể lệ'!$E$6,'Thể lệ'!$E$6)))</f>
        <v>0</v>
      </c>
      <c r="BU48" s="43"/>
      <c r="BV48" s="43">
        <f>if($F48=$G48,if(and($F48=$G48,Q48&lt;&gt;R48),'Thể lệ'!$E$6,if($F48=Q48,0,0.5*'Thể lệ'!$E$6)),if(and($F48=Q48,$G48=R48),"0",if(($F48-$G48)*(Q48-R48)&gt;0,0.5*'Thể lệ'!$E$6,'Thể lệ'!$E$6)))</f>
        <v>0</v>
      </c>
      <c r="BW48" s="43"/>
      <c r="BX48" s="43">
        <f>if($F48=$G48,if(and($F48=$G48,S48&lt;&gt;T48),'Thể lệ'!$E$6,if($F48=S48,0,0.5*'Thể lệ'!$E$6)),if(and($F48=S48,$G48=T48),"0",if(($F48-$G48)*(S48-T48)&gt;0,0.5*'Thể lệ'!$E$6,'Thể lệ'!$E$6)))</f>
        <v>0</v>
      </c>
      <c r="BY48" s="43"/>
      <c r="BZ48" s="43">
        <f>if($F48=$G48,if(and($F48=$G48,U48&lt;&gt;V48),'Thể lệ'!$E$6,if($F48=U48,0,0.5*'Thể lệ'!$E$6)),if(and($F48=U48,$G48=V48),"0",if(($F48-$G48)*(U48-V48)&gt;0,0.5*'Thể lệ'!$E$6,'Thể lệ'!$E$6)))</f>
        <v>0</v>
      </c>
      <c r="CA48" s="43"/>
      <c r="CB48" s="43">
        <f>if($F48=$G48,if(and($F48=$G48,W48&lt;&gt;X48),'Thể lệ'!$E$6,if($F48=W48,0,0.5*'Thể lệ'!$E$6)),if(and($F48=W48,$G48=X48),"0",if(($F48-$G48)*(W48-X48)&gt;0,0.5*'Thể lệ'!$E$6,'Thể lệ'!$E$6)))</f>
        <v>0</v>
      </c>
      <c r="CC48" s="43"/>
      <c r="CD48" s="43">
        <f>if($F48=$G48,if(and($F48=$G48,Y48&lt;&gt;Z48),'Thể lệ'!$E$6,if($F48=Y48,0,0.5*'Thể lệ'!$E$6)),if(and($F48=Y48,$G48=Z48),"0",if(($F48-$G48)*(Y48-Z48)&gt;0,0.5*'Thể lệ'!$E$6,'Thể lệ'!$E$6)))</f>
        <v>0</v>
      </c>
      <c r="CE48" s="43"/>
      <c r="CF48" s="43">
        <f>if($F48=$G48,if(and($F48=$G48,AA48&lt;&gt;AB48),'Thể lệ'!$E$6,if($F48=AA48,0,0.5*'Thể lệ'!$E$6)),if(and($F48=AA48,$G48=AB48),"0",if(($F48-$G48)*(AA48-AB48)&gt;0,0.5*'Thể lệ'!$E$6,'Thể lệ'!$E$6)))</f>
        <v>0</v>
      </c>
      <c r="CG48" s="43"/>
      <c r="CH48" s="43">
        <f>if($F48=$G48,if(and($F48=$G48,AC48&lt;&gt;AD48),'Thể lệ'!$E$6,if($F48=AC48,0,0.5*'Thể lệ'!$E$6)),if(and($F48=AC48,$G48=AD48),"0",if(($F48-$G48)*(AC48-AD48)&gt;0,0.5*'Thể lệ'!$E$6,'Thể lệ'!$E$6)))</f>
        <v>0</v>
      </c>
      <c r="CI48" s="43"/>
      <c r="CJ48" s="43">
        <f>if($F48=$G48,if(and($F48=$G48,AE48&lt;&gt;AF48),'Thể lệ'!$E$6,if($F48=AE48,0,0.5*'Thể lệ'!$E$6)),if(and($F48=AE48,$G48=AF48),"0",if(($F48-$G48)*(AE48-AF48)&gt;0,0.5*'Thể lệ'!$E$6,'Thể lệ'!$E$6)))</f>
        <v>0</v>
      </c>
      <c r="CK48" s="43"/>
      <c r="CL48" s="43">
        <f>if($F48=$G48,if(and($F48=$G48,AG48&lt;&gt;AH48),'Thể lệ'!$E$6,if($F48=AG48,0,0.5*'Thể lệ'!$E$6)),if(and($F48=AG48,$G48=AH48),"0",if(($F48-$G48)*(AG48-AH48)&gt;0,0.5*'Thể lệ'!$E$6,'Thể lệ'!$E$6)))</f>
        <v>0</v>
      </c>
      <c r="CM48" s="43"/>
      <c r="CN48" s="43">
        <f>if($F48=$G48,if(and($F48=$G48,AI48&lt;&gt;AJ48),'Thể lệ'!$E$6,if($F48=AI48,0,0.5*'Thể lệ'!$E$6)),if(and($F48=AI48,$G48=AJ48),"0",if(($F48-$G48)*(AI48-AJ48)&gt;0,0.5*'Thể lệ'!$E$6,'Thể lệ'!$E$6)))</f>
        <v>0</v>
      </c>
      <c r="CO48" s="43"/>
      <c r="CP48" s="43">
        <f>if($F48=$G48,if(and($F48=$G48,AK48&lt;&gt;AL48),'Thể lệ'!$E$6,if($F48=AK48,0,0.5*'Thể lệ'!$E$6)),if(and($F48=AK48,$G48=AL48),"0",if(($F48-$G48)*(AK48-AL48)&gt;0,0.5*'Thể lệ'!$E$6,'Thể lệ'!$E$6)))</f>
        <v>0</v>
      </c>
      <c r="CQ48" s="43"/>
      <c r="CR48" s="43">
        <f>if($F48=$G48,if(and($F48=$G48,AM48&lt;&gt;AN48),'Thể lệ'!$E$6,if($F48=AM48,0,0.5*'Thể lệ'!$E$6)),if(and($F48=AM48,$G48=AN48),"0",if(($F48-$G48)*(AM48-AN48)&gt;0,0.5*'Thể lệ'!$E$6,'Thể lệ'!$E$6)))</f>
        <v>0</v>
      </c>
      <c r="CS48" s="43"/>
      <c r="CT48" s="44">
        <f>if($F48=$G48,if(and($F48=$G48,AO48&lt;&gt;AP48),'Thể lệ'!$E$6,if($F48=AO48,0,0.5*'Thể lệ'!$E$6)),if(and($F48=AO48,$G48=AP48),"0",if(($F48-$G48)*(AO48-AP48)&gt;0,0.5*'Thể lệ'!$E$6,'Thể lệ'!$E$6)))</f>
        <v>5000</v>
      </c>
      <c r="CU48" s="43"/>
      <c r="CV48" s="43">
        <f>if($F48=$G48,if(and($F48=$G48,AQ48&lt;&gt;AR48),'Thể lệ'!$E$6,if($F48=AQ48,0,0.5*'Thể lệ'!$E$6)),if(and($F48=AQ48,$G48=AR48),"0",if(($F48-$G48)*(AQ48-AR48)&gt;0,0.5*'Thể lệ'!$E$6,'Thể lệ'!$E$6)))</f>
        <v>0</v>
      </c>
      <c r="CW48" s="43"/>
      <c r="CX48" s="44">
        <f>if($F48=$G48,if(and($F48=$G48,AS48&lt;&gt;AT48),'Thể lệ'!$E$6,if($F48=AS48,0,0.5*'Thể lệ'!$E$6)),if(and($F48=AS48,$G48=AT48),"0",if(($F48-$G48)*(AS48-AT48)&gt;0,0.5*'Thể lệ'!$E$6,'Thể lệ'!$E$6)))</f>
        <v>10000</v>
      </c>
      <c r="CY48" s="45"/>
      <c r="CZ48" s="43">
        <f>if($F48=$G48,if(and($F48=$G48,AU48&lt;&gt;AV48),'Thể lệ'!$E$6,if($F48=AU48,0,0.5*'Thể lệ'!$E$6)),if(and($F48=AU48,$G48=AV48),"0",if(($F48-$G48)*(AU48-AV48)&gt;0,0.5*'Thể lệ'!$E$6,'Thể lệ'!$E$6)))</f>
        <v>0</v>
      </c>
      <c r="DA48" s="45"/>
      <c r="DB48" s="43">
        <f>if($F48=$G48,if(and($F48=$G48,AW48&lt;&gt;AX48),'Thể lệ'!$E$6,if($F48=AW48,0,0.5*'Thể lệ'!$E$6)),if(and($F48=AW48,$G48=AX48),"0",if(($F48-$G48)*(AW48-AX48)&gt;0,0.5*'Thể lệ'!$E$6,'Thể lệ'!$E$6)))</f>
        <v>0</v>
      </c>
      <c r="DC48" s="45"/>
      <c r="DD48" s="43">
        <f>if($F48=$G48,if(and($F48=$G48,AY48&lt;&gt;AZ48),'Thể lệ'!$E$6,if($F48=AY48,0,0.5*'Thể lệ'!$E$6)),if(and($F48=AY48,$G48=AZ48),"0",if(($F48-$G48)*(AY48-AZ48)&gt;0,0.5*'Thể lệ'!$E$6,'Thể lệ'!$E$6)))</f>
        <v>0</v>
      </c>
      <c r="DE48" s="45"/>
      <c r="DF48" s="43">
        <f>if($F48=$G48,if(and($F48=$G48,BA48&lt;&gt;BB48),'Thể lệ'!$E$6,if($F48=BA48,0,0.5*'Thể lệ'!$E$6)),if(and($F48=BA48,$G48=BB48),"0",if(($F48-$G48)*(BA48-BB48)&gt;0,0.5*'Thể lệ'!$E$6,'Thể lệ'!$E$6)))</f>
        <v>0</v>
      </c>
      <c r="DG48" s="45"/>
      <c r="DH48" s="44">
        <f>if($F48=$G48,if(and($F48=$G48,BC48&lt;&gt;BD48),'Thể lệ'!$E$6,if($F48=BC48,0,0.5*'Thể lệ'!$E$6)),if(and($F48=BC48,$G48=BD48),"0",if(($F48-$G48)*(BC48-BD48)&gt;0,0.5*'Thể lệ'!$E$6,'Thể lệ'!$E$6)))</f>
        <v>10000</v>
      </c>
      <c r="DI48" s="45"/>
      <c r="DJ48" s="43">
        <f>if($F48=$G48,if(and($F48=$G48,BE48&lt;&gt;BF48),'Thể lệ'!$E$6,if($F48=BE48,0,0.5*'Thể lệ'!$E$6)),if(and($F48=BE48,$G48=BF48),"0",if(($F48-$G48)*(BE48-BF48)&gt;0,0.5*'Thể lệ'!$E$6,'Thể lệ'!$E$6)))</f>
        <v>0</v>
      </c>
      <c r="DK48" s="45"/>
      <c r="DL48" s="43">
        <f>if($F48=$G48,if(and($F48=$G48,BG48&lt;&gt;BH48),'Thể lệ'!$E$6,if($F48=BG48,0,0.5*'Thể lệ'!$E$6)),if(and($F48=BG48,$G48=BH48),"0",if(($F48-$G48)*(BG48-BH48)&gt;0,0.5*'Thể lệ'!$E$6,'Thể lệ'!$E$6)))</f>
        <v>0</v>
      </c>
      <c r="DM48" s="45"/>
      <c r="DN48" s="44">
        <f>if($F48=$G48,if(and($F48=$G48,BI48&lt;&gt;BJ48),'Thể lệ'!$E$6,if($F48=BI48,0,0.5*'Thể lệ'!$E$6)),if(and($F48=BI48,$G48=BJ48),"0",if(($F48-$G48)*(BI48-BJ48)&gt;0,0.5*'Thể lệ'!$E$6,'Thể lệ'!$E$6)))</f>
        <v>10000</v>
      </c>
      <c r="DO48" s="45"/>
      <c r="DP48" s="8"/>
    </row>
    <row r="49">
      <c r="B49" s="22">
        <v>43.0</v>
      </c>
      <c r="C49" s="56">
        <v>46196.291666666664</v>
      </c>
      <c r="D49" s="57">
        <v>46196.291666666664</v>
      </c>
      <c r="E49" s="58" t="s">
        <v>67</v>
      </c>
      <c r="F49" s="23"/>
      <c r="G49" s="23"/>
      <c r="H49" s="58" t="s">
        <v>65</v>
      </c>
      <c r="I49" s="37"/>
      <c r="J49" s="37"/>
      <c r="K49" s="37"/>
      <c r="L49" s="37"/>
      <c r="M49" s="37"/>
      <c r="N49" s="37"/>
      <c r="O49" s="37"/>
      <c r="P49" s="37"/>
      <c r="Q49" s="37" t="str">
        <f t="shared" si="4"/>
        <v/>
      </c>
      <c r="R49" s="37" t="str">
        <f t="shared" si="6"/>
        <v/>
      </c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>
        <v>1.0</v>
      </c>
      <c r="AP49" s="37">
        <v>3.0</v>
      </c>
      <c r="AQ49" s="37"/>
      <c r="AR49" s="37"/>
      <c r="AS49" s="40">
        <v>1.0</v>
      </c>
      <c r="AT49" s="40">
        <v>1.0</v>
      </c>
      <c r="AU49" s="37"/>
      <c r="AV49" s="37"/>
      <c r="AW49" s="37"/>
      <c r="AX49" s="37"/>
      <c r="AY49" s="37"/>
      <c r="AZ49" s="37"/>
      <c r="BA49" s="37"/>
      <c r="BB49" s="37"/>
      <c r="BC49" s="37">
        <v>2.0</v>
      </c>
      <c r="BD49" s="37">
        <v>1.0</v>
      </c>
      <c r="BE49" s="42"/>
      <c r="BF49" s="37"/>
      <c r="BG49" s="37"/>
      <c r="BH49" s="37"/>
      <c r="BI49" s="37">
        <f>H.Son!H49</f>
        <v>1</v>
      </c>
      <c r="BJ49" s="37">
        <f>H.Son!I49</f>
        <v>1</v>
      </c>
      <c r="BK49" s="37"/>
      <c r="BL49" s="37"/>
      <c r="BM49" s="9"/>
      <c r="BN49" s="43">
        <f>if($F49=$G49,if(and($F49=$G49,I49&lt;&gt;J49),'Thể lệ'!$E$6,if($F49=I49,0,0.5*'Thể lệ'!$E$6)),if(and($F49=I49,$G49=J49),"0",if(($F49-$G49)*(I49-J49)&gt;0,0.5*'Thể lệ'!$E$6,'Thể lệ'!$E$6)))</f>
        <v>0</v>
      </c>
      <c r="BO49" s="43"/>
      <c r="BP49" s="43">
        <f>if($F49=$G49,if(and($F49=$G49,K49&lt;&gt;L49),'Thể lệ'!$E$6,if($F49=K49,0,0.5*'Thể lệ'!$E$6)),if(and($F49=K49,$G49=L49),"0",if(($F49-$G49)*(K49-L49)&gt;0,0.5*'Thể lệ'!$E$6,'Thể lệ'!$E$6)))</f>
        <v>0</v>
      </c>
      <c r="BQ49" s="43"/>
      <c r="BR49" s="43">
        <f>if($F49=$G49,if(and($F49=$G49,M49&lt;&gt;N49),'Thể lệ'!$E$6,if($F49=M49,0,0.5*'Thể lệ'!$E$6)),if(and($F49=M49,$G49=N49),"0",if(($F49-$G49)*(M49-N49)&gt;0,0.5*'Thể lệ'!$E$6,'Thể lệ'!$E$6)))</f>
        <v>0</v>
      </c>
      <c r="BS49" s="43"/>
      <c r="BT49" s="43">
        <f>if($F49=$G49,if(and($F49=$G49,O49&lt;&gt;P49),'Thể lệ'!$E$6,if($F49=O49,0,0.5*'Thể lệ'!$E$6)),if(and($F49=O49,$G49=P49),"0",if(($F49-$G49)*(O49-P49)&gt;0,0.5*'Thể lệ'!$E$6,'Thể lệ'!$E$6)))</f>
        <v>0</v>
      </c>
      <c r="BU49" s="43"/>
      <c r="BV49" s="43">
        <f>if($F49=$G49,if(and($F49=$G49,Q49&lt;&gt;R49),'Thể lệ'!$E$6,if($F49=Q49,0,0.5*'Thể lệ'!$E$6)),if(and($F49=Q49,$G49=R49),"0",if(($F49-$G49)*(Q49-R49)&gt;0,0.5*'Thể lệ'!$E$6,'Thể lệ'!$E$6)))</f>
        <v>0</v>
      </c>
      <c r="BW49" s="43"/>
      <c r="BX49" s="43">
        <f>if($F49=$G49,if(and($F49=$G49,S49&lt;&gt;T49),'Thể lệ'!$E$6,if($F49=S49,0,0.5*'Thể lệ'!$E$6)),if(and($F49=S49,$G49=T49),"0",if(($F49-$G49)*(S49-T49)&gt;0,0.5*'Thể lệ'!$E$6,'Thể lệ'!$E$6)))</f>
        <v>0</v>
      </c>
      <c r="BY49" s="43"/>
      <c r="BZ49" s="43">
        <f>if($F49=$G49,if(and($F49=$G49,U49&lt;&gt;V49),'Thể lệ'!$E$6,if($F49=U49,0,0.5*'Thể lệ'!$E$6)),if(and($F49=U49,$G49=V49),"0",if(($F49-$G49)*(U49-V49)&gt;0,0.5*'Thể lệ'!$E$6,'Thể lệ'!$E$6)))</f>
        <v>0</v>
      </c>
      <c r="CA49" s="43"/>
      <c r="CB49" s="43">
        <f>if($F49=$G49,if(and($F49=$G49,W49&lt;&gt;X49),'Thể lệ'!$E$6,if($F49=W49,0,0.5*'Thể lệ'!$E$6)),if(and($F49=W49,$G49=X49),"0",if(($F49-$G49)*(W49-X49)&gt;0,0.5*'Thể lệ'!$E$6,'Thể lệ'!$E$6)))</f>
        <v>0</v>
      </c>
      <c r="CC49" s="43"/>
      <c r="CD49" s="43">
        <f>if($F49=$G49,if(and($F49=$G49,Y49&lt;&gt;Z49),'Thể lệ'!$E$6,if($F49=Y49,0,0.5*'Thể lệ'!$E$6)),if(and($F49=Y49,$G49=Z49),"0",if(($F49-$G49)*(Y49-Z49)&gt;0,0.5*'Thể lệ'!$E$6,'Thể lệ'!$E$6)))</f>
        <v>0</v>
      </c>
      <c r="CE49" s="43"/>
      <c r="CF49" s="43">
        <f>if($F49=$G49,if(and($F49=$G49,AA49&lt;&gt;AB49),'Thể lệ'!$E$6,if($F49=AA49,0,0.5*'Thể lệ'!$E$6)),if(and($F49=AA49,$G49=AB49),"0",if(($F49-$G49)*(AA49-AB49)&gt;0,0.5*'Thể lệ'!$E$6,'Thể lệ'!$E$6)))</f>
        <v>0</v>
      </c>
      <c r="CG49" s="43"/>
      <c r="CH49" s="43">
        <f>if($F49=$G49,if(and($F49=$G49,AC49&lt;&gt;AD49),'Thể lệ'!$E$6,if($F49=AC49,0,0.5*'Thể lệ'!$E$6)),if(and($F49=AC49,$G49=AD49),"0",if(($F49-$G49)*(AC49-AD49)&gt;0,0.5*'Thể lệ'!$E$6,'Thể lệ'!$E$6)))</f>
        <v>0</v>
      </c>
      <c r="CI49" s="43"/>
      <c r="CJ49" s="43">
        <f>if($F49=$G49,if(and($F49=$G49,AE49&lt;&gt;AF49),'Thể lệ'!$E$6,if($F49=AE49,0,0.5*'Thể lệ'!$E$6)),if(and($F49=AE49,$G49=AF49),"0",if(($F49-$G49)*(AE49-AF49)&gt;0,0.5*'Thể lệ'!$E$6,'Thể lệ'!$E$6)))</f>
        <v>0</v>
      </c>
      <c r="CK49" s="43"/>
      <c r="CL49" s="43">
        <f>if($F49=$G49,if(and($F49=$G49,AG49&lt;&gt;AH49),'Thể lệ'!$E$6,if($F49=AG49,0,0.5*'Thể lệ'!$E$6)),if(and($F49=AG49,$G49=AH49),"0",if(($F49-$G49)*(AG49-AH49)&gt;0,0.5*'Thể lệ'!$E$6,'Thể lệ'!$E$6)))</f>
        <v>0</v>
      </c>
      <c r="CM49" s="43"/>
      <c r="CN49" s="43">
        <f>if($F49=$G49,if(and($F49=$G49,AI49&lt;&gt;AJ49),'Thể lệ'!$E$6,if($F49=AI49,0,0.5*'Thể lệ'!$E$6)),if(and($F49=AI49,$G49=AJ49),"0",if(($F49-$G49)*(AI49-AJ49)&gt;0,0.5*'Thể lệ'!$E$6,'Thể lệ'!$E$6)))</f>
        <v>0</v>
      </c>
      <c r="CO49" s="43"/>
      <c r="CP49" s="43">
        <f>if($F49=$G49,if(and($F49=$G49,AK49&lt;&gt;AL49),'Thể lệ'!$E$6,if($F49=AK49,0,0.5*'Thể lệ'!$E$6)),if(and($F49=AK49,$G49=AL49),"0",if(($F49-$G49)*(AK49-AL49)&gt;0,0.5*'Thể lệ'!$E$6,'Thể lệ'!$E$6)))</f>
        <v>0</v>
      </c>
      <c r="CQ49" s="43"/>
      <c r="CR49" s="43">
        <f>if($F49=$G49,if(and($F49=$G49,AM49&lt;&gt;AN49),'Thể lệ'!$E$6,if($F49=AM49,0,0.5*'Thể lệ'!$E$6)),if(and($F49=AM49,$G49=AN49),"0",if(($F49-$G49)*(AM49-AN49)&gt;0,0.5*'Thể lệ'!$E$6,'Thể lệ'!$E$6)))</f>
        <v>0</v>
      </c>
      <c r="CS49" s="43"/>
      <c r="CT49" s="44">
        <f>if($F49=$G49,if(and($F49=$G49,AO49&lt;&gt;AP49),'Thể lệ'!$E$6,if($F49=AO49,0,0.5*'Thể lệ'!$E$6)),if(and($F49=AO49,$G49=AP49),"0",if(($F49-$G49)*(AO49-AP49)&gt;0,0.5*'Thể lệ'!$E$6,'Thể lệ'!$E$6)))</f>
        <v>10000</v>
      </c>
      <c r="CU49" s="43"/>
      <c r="CV49" s="43">
        <f>if($F49=$G49,if(and($F49=$G49,AQ49&lt;&gt;AR49),'Thể lệ'!$E$6,if($F49=AQ49,0,0.5*'Thể lệ'!$E$6)),if(and($F49=AQ49,$G49=AR49),"0",if(($F49-$G49)*(AQ49-AR49)&gt;0,0.5*'Thể lệ'!$E$6,'Thể lệ'!$E$6)))</f>
        <v>0</v>
      </c>
      <c r="CW49" s="43"/>
      <c r="CX49" s="44">
        <f>if($F49=$G49,if(and($F49=$G49,AS49&lt;&gt;AT49),'Thể lệ'!$E$6,if($F49=AS49,0,0.5*'Thể lệ'!$E$6)),if(and($F49=AS49,$G49=AT49),"0",if(($F49-$G49)*(AS49-AT49)&gt;0,0.5*'Thể lệ'!$E$6,'Thể lệ'!$E$6)))</f>
        <v>5000</v>
      </c>
      <c r="CY49" s="45"/>
      <c r="CZ49" s="43">
        <f>if($F49=$G49,if(and($F49=$G49,AU49&lt;&gt;AV49),'Thể lệ'!$E$6,if($F49=AU49,0,0.5*'Thể lệ'!$E$6)),if(and($F49=AU49,$G49=AV49),"0",if(($F49-$G49)*(AU49-AV49)&gt;0,0.5*'Thể lệ'!$E$6,'Thể lệ'!$E$6)))</f>
        <v>0</v>
      </c>
      <c r="DA49" s="45"/>
      <c r="DB49" s="43">
        <f>if($F49=$G49,if(and($F49=$G49,AW49&lt;&gt;AX49),'Thể lệ'!$E$6,if($F49=AW49,0,0.5*'Thể lệ'!$E$6)),if(and($F49=AW49,$G49=AX49),"0",if(($F49-$G49)*(AW49-AX49)&gt;0,0.5*'Thể lệ'!$E$6,'Thể lệ'!$E$6)))</f>
        <v>0</v>
      </c>
      <c r="DC49" s="45"/>
      <c r="DD49" s="43">
        <f>if($F49=$G49,if(and($F49=$G49,AY49&lt;&gt;AZ49),'Thể lệ'!$E$6,if($F49=AY49,0,0.5*'Thể lệ'!$E$6)),if(and($F49=AY49,$G49=AZ49),"0",if(($F49-$G49)*(AY49-AZ49)&gt;0,0.5*'Thể lệ'!$E$6,'Thể lệ'!$E$6)))</f>
        <v>0</v>
      </c>
      <c r="DE49" s="45"/>
      <c r="DF49" s="43">
        <f>if($F49=$G49,if(and($F49=$G49,BA49&lt;&gt;BB49),'Thể lệ'!$E$6,if($F49=BA49,0,0.5*'Thể lệ'!$E$6)),if(and($F49=BA49,$G49=BB49),"0",if(($F49-$G49)*(BA49-BB49)&gt;0,0.5*'Thể lệ'!$E$6,'Thể lệ'!$E$6)))</f>
        <v>0</v>
      </c>
      <c r="DG49" s="45"/>
      <c r="DH49" s="44">
        <f>if($F49=$G49,if(and($F49=$G49,BC49&lt;&gt;BD49),'Thể lệ'!$E$6,if($F49=BC49,0,0.5*'Thể lệ'!$E$6)),if(and($F49=BC49,$G49=BD49),"0",if(($F49-$G49)*(BC49-BD49)&gt;0,0.5*'Thể lệ'!$E$6,'Thể lệ'!$E$6)))</f>
        <v>10000</v>
      </c>
      <c r="DI49" s="45"/>
      <c r="DJ49" s="43">
        <f>if($F49=$G49,if(and($F49=$G49,BE49&lt;&gt;BF49),'Thể lệ'!$E$6,if($F49=BE49,0,0.5*'Thể lệ'!$E$6)),if(and($F49=BE49,$G49=BF49),"0",if(($F49-$G49)*(BE49-BF49)&gt;0,0.5*'Thể lệ'!$E$6,'Thể lệ'!$E$6)))</f>
        <v>0</v>
      </c>
      <c r="DK49" s="45"/>
      <c r="DL49" s="43">
        <f>if($F49=$G49,if(and($F49=$G49,BG49&lt;&gt;BH49),'Thể lệ'!$E$6,if($F49=BG49,0,0.5*'Thể lệ'!$E$6)),if(and($F49=BG49,$G49=BH49),"0",if(($F49-$G49)*(BG49-BH49)&gt;0,0.5*'Thể lệ'!$E$6,'Thể lệ'!$E$6)))</f>
        <v>0</v>
      </c>
      <c r="DM49" s="45"/>
      <c r="DN49" s="44">
        <f>if($F49=$G49,if(and($F49=$G49,BI49&lt;&gt;BJ49),'Thể lệ'!$E$6,if($F49=BI49,0,0.5*'Thể lệ'!$E$6)),if(and($F49=BI49,$G49=BJ49),"0",if(($F49-$G49)*(BI49-BJ49)&gt;0,0.5*'Thể lệ'!$E$6,'Thể lệ'!$E$6)))</f>
        <v>5000</v>
      </c>
      <c r="DO49" s="45"/>
      <c r="DP49" s="8"/>
    </row>
    <row r="50">
      <c r="B50" s="22">
        <v>44.0</v>
      </c>
      <c r="C50" s="56">
        <v>46196.416666666664</v>
      </c>
      <c r="D50" s="57">
        <v>46196.416666666664</v>
      </c>
      <c r="E50" s="58" t="s">
        <v>71</v>
      </c>
      <c r="F50" s="23"/>
      <c r="G50" s="23"/>
      <c r="H50" s="61" t="s">
        <v>69</v>
      </c>
      <c r="I50" s="37"/>
      <c r="J50" s="37"/>
      <c r="K50" s="37"/>
      <c r="L50" s="37"/>
      <c r="M50" s="37"/>
      <c r="N50" s="37"/>
      <c r="O50" s="37"/>
      <c r="P50" s="37"/>
      <c r="Q50" s="37" t="str">
        <f t="shared" si="4"/>
        <v/>
      </c>
      <c r="R50" s="37" t="str">
        <f t="shared" si="6"/>
        <v/>
      </c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>
        <v>2.0</v>
      </c>
      <c r="AP50" s="37">
        <v>2.0</v>
      </c>
      <c r="AQ50" s="37"/>
      <c r="AR50" s="37"/>
      <c r="AS50" s="40">
        <v>1.0</v>
      </c>
      <c r="AT50" s="40">
        <v>1.0</v>
      </c>
      <c r="AU50" s="37"/>
      <c r="AV50" s="37"/>
      <c r="AW50" s="37"/>
      <c r="AX50" s="37"/>
      <c r="AY50" s="37"/>
      <c r="AZ50" s="37"/>
      <c r="BA50" s="37"/>
      <c r="BB50" s="37"/>
      <c r="BC50" s="37">
        <v>1.0</v>
      </c>
      <c r="BD50" s="37">
        <v>1.0</v>
      </c>
      <c r="BE50" s="42"/>
      <c r="BF50" s="37"/>
      <c r="BG50" s="37"/>
      <c r="BH50" s="37"/>
      <c r="BI50" s="37">
        <f>H.Son!H50</f>
        <v>0</v>
      </c>
      <c r="BJ50" s="37">
        <f>H.Son!I50</f>
        <v>1</v>
      </c>
      <c r="BK50" s="37"/>
      <c r="BL50" s="37"/>
      <c r="BM50" s="9"/>
      <c r="BN50" s="43">
        <f>if($F50=$G50,if(and($F50=$G50,I50&lt;&gt;J50),'Thể lệ'!$E$6,if($F50=I50,0,0.5*'Thể lệ'!$E$6)),if(and($F50=I50,$G50=J50),"0",if(($F50-$G50)*(I50-J50)&gt;0,0.5*'Thể lệ'!$E$6,'Thể lệ'!$E$6)))</f>
        <v>0</v>
      </c>
      <c r="BO50" s="43"/>
      <c r="BP50" s="43">
        <f>if($F50=$G50,if(and($F50=$G50,K50&lt;&gt;L50),'Thể lệ'!$E$6,if($F50=K50,0,0.5*'Thể lệ'!$E$6)),if(and($F50=K50,$G50=L50),"0",if(($F50-$G50)*(K50-L50)&gt;0,0.5*'Thể lệ'!$E$6,'Thể lệ'!$E$6)))</f>
        <v>0</v>
      </c>
      <c r="BQ50" s="43"/>
      <c r="BR50" s="43">
        <f>if($F50=$G50,if(and($F50=$G50,M50&lt;&gt;N50),'Thể lệ'!$E$6,if($F50=M50,0,0.5*'Thể lệ'!$E$6)),if(and($F50=M50,$G50=N50),"0",if(($F50-$G50)*(M50-N50)&gt;0,0.5*'Thể lệ'!$E$6,'Thể lệ'!$E$6)))</f>
        <v>0</v>
      </c>
      <c r="BS50" s="43"/>
      <c r="BT50" s="43">
        <f>if($F50=$G50,if(and($F50=$G50,O50&lt;&gt;P50),'Thể lệ'!$E$6,if($F50=O50,0,0.5*'Thể lệ'!$E$6)),if(and($F50=O50,$G50=P50),"0",if(($F50-$G50)*(O50-P50)&gt;0,0.5*'Thể lệ'!$E$6,'Thể lệ'!$E$6)))</f>
        <v>0</v>
      </c>
      <c r="BU50" s="43"/>
      <c r="BV50" s="43">
        <f>if($F50=$G50,if(and($F50=$G50,Q50&lt;&gt;R50),'Thể lệ'!$E$6,if($F50=Q50,0,0.5*'Thể lệ'!$E$6)),if(and($F50=Q50,$G50=R50),"0",if(($F50-$G50)*(Q50-R50)&gt;0,0.5*'Thể lệ'!$E$6,'Thể lệ'!$E$6)))</f>
        <v>0</v>
      </c>
      <c r="BW50" s="43"/>
      <c r="BX50" s="43">
        <f>if($F50=$G50,if(and($F50=$G50,S50&lt;&gt;T50),'Thể lệ'!$E$6,if($F50=S50,0,0.5*'Thể lệ'!$E$6)),if(and($F50=S50,$G50=T50),"0",if(($F50-$G50)*(S50-T50)&gt;0,0.5*'Thể lệ'!$E$6,'Thể lệ'!$E$6)))</f>
        <v>0</v>
      </c>
      <c r="BY50" s="43"/>
      <c r="BZ50" s="43">
        <f>if($F50=$G50,if(and($F50=$G50,U50&lt;&gt;V50),'Thể lệ'!$E$6,if($F50=U50,0,0.5*'Thể lệ'!$E$6)),if(and($F50=U50,$G50=V50),"0",if(($F50-$G50)*(U50-V50)&gt;0,0.5*'Thể lệ'!$E$6,'Thể lệ'!$E$6)))</f>
        <v>0</v>
      </c>
      <c r="CA50" s="43"/>
      <c r="CB50" s="43">
        <f>if($F50=$G50,if(and($F50=$G50,W50&lt;&gt;X50),'Thể lệ'!$E$6,if($F50=W50,0,0.5*'Thể lệ'!$E$6)),if(and($F50=W50,$G50=X50),"0",if(($F50-$G50)*(W50-X50)&gt;0,0.5*'Thể lệ'!$E$6,'Thể lệ'!$E$6)))</f>
        <v>0</v>
      </c>
      <c r="CC50" s="43"/>
      <c r="CD50" s="43">
        <f>if($F50=$G50,if(and($F50=$G50,Y50&lt;&gt;Z50),'Thể lệ'!$E$6,if($F50=Y50,0,0.5*'Thể lệ'!$E$6)),if(and($F50=Y50,$G50=Z50),"0",if(($F50-$G50)*(Y50-Z50)&gt;0,0.5*'Thể lệ'!$E$6,'Thể lệ'!$E$6)))</f>
        <v>0</v>
      </c>
      <c r="CE50" s="43"/>
      <c r="CF50" s="43">
        <f>if($F50=$G50,if(and($F50=$G50,AA50&lt;&gt;AB50),'Thể lệ'!$E$6,if($F50=AA50,0,0.5*'Thể lệ'!$E$6)),if(and($F50=AA50,$G50=AB50),"0",if(($F50-$G50)*(AA50-AB50)&gt;0,0.5*'Thể lệ'!$E$6,'Thể lệ'!$E$6)))</f>
        <v>0</v>
      </c>
      <c r="CG50" s="43"/>
      <c r="CH50" s="43">
        <f>if($F50=$G50,if(and($F50=$G50,AC50&lt;&gt;AD50),'Thể lệ'!$E$6,if($F50=AC50,0,0.5*'Thể lệ'!$E$6)),if(and($F50=AC50,$G50=AD50),"0",if(($F50-$G50)*(AC50-AD50)&gt;0,0.5*'Thể lệ'!$E$6,'Thể lệ'!$E$6)))</f>
        <v>0</v>
      </c>
      <c r="CI50" s="43"/>
      <c r="CJ50" s="43">
        <f>if($F50=$G50,if(and($F50=$G50,AE50&lt;&gt;AF50),'Thể lệ'!$E$6,if($F50=AE50,0,0.5*'Thể lệ'!$E$6)),if(and($F50=AE50,$G50=AF50),"0",if(($F50-$G50)*(AE50-AF50)&gt;0,0.5*'Thể lệ'!$E$6,'Thể lệ'!$E$6)))</f>
        <v>0</v>
      </c>
      <c r="CK50" s="43"/>
      <c r="CL50" s="43">
        <f>if($F50=$G50,if(and($F50=$G50,AG50&lt;&gt;AH50),'Thể lệ'!$E$6,if($F50=AG50,0,0.5*'Thể lệ'!$E$6)),if(and($F50=AG50,$G50=AH50),"0",if(($F50-$G50)*(AG50-AH50)&gt;0,0.5*'Thể lệ'!$E$6,'Thể lệ'!$E$6)))</f>
        <v>0</v>
      </c>
      <c r="CM50" s="43"/>
      <c r="CN50" s="43">
        <f>if($F50=$G50,if(and($F50=$G50,AI50&lt;&gt;AJ50),'Thể lệ'!$E$6,if($F50=AI50,0,0.5*'Thể lệ'!$E$6)),if(and($F50=AI50,$G50=AJ50),"0",if(($F50-$G50)*(AI50-AJ50)&gt;0,0.5*'Thể lệ'!$E$6,'Thể lệ'!$E$6)))</f>
        <v>0</v>
      </c>
      <c r="CO50" s="43"/>
      <c r="CP50" s="43">
        <f>if($F50=$G50,if(and($F50=$G50,AK50&lt;&gt;AL50),'Thể lệ'!$E$6,if($F50=AK50,0,0.5*'Thể lệ'!$E$6)),if(and($F50=AK50,$G50=AL50),"0",if(($F50-$G50)*(AK50-AL50)&gt;0,0.5*'Thể lệ'!$E$6,'Thể lệ'!$E$6)))</f>
        <v>0</v>
      </c>
      <c r="CQ50" s="43"/>
      <c r="CR50" s="43">
        <f>if($F50=$G50,if(and($F50=$G50,AM50&lt;&gt;AN50),'Thể lệ'!$E$6,if($F50=AM50,0,0.5*'Thể lệ'!$E$6)),if(and($F50=AM50,$G50=AN50),"0",if(($F50-$G50)*(AM50-AN50)&gt;0,0.5*'Thể lệ'!$E$6,'Thể lệ'!$E$6)))</f>
        <v>0</v>
      </c>
      <c r="CS50" s="43"/>
      <c r="CT50" s="44">
        <f>if($F50=$G50,if(and($F50=$G50,AO50&lt;&gt;AP50),'Thể lệ'!$E$6,if($F50=AO50,0,0.5*'Thể lệ'!$E$6)),if(and($F50=AO50,$G50=AP50),"0",if(($F50-$G50)*(AO50-AP50)&gt;0,0.5*'Thể lệ'!$E$6,'Thể lệ'!$E$6)))</f>
        <v>5000</v>
      </c>
      <c r="CU50" s="43"/>
      <c r="CV50" s="43">
        <f>if($F50=$G50,if(and($F50=$G50,AQ50&lt;&gt;AR50),'Thể lệ'!$E$6,if($F50=AQ50,0,0.5*'Thể lệ'!$E$6)),if(and($F50=AQ50,$G50=AR50),"0",if(($F50-$G50)*(AQ50-AR50)&gt;0,0.5*'Thể lệ'!$E$6,'Thể lệ'!$E$6)))</f>
        <v>0</v>
      </c>
      <c r="CW50" s="43"/>
      <c r="CX50" s="44">
        <f>if($F50=$G50,if(and($F50=$G50,AS50&lt;&gt;AT50),'Thể lệ'!$E$6,if($F50=AS50,0,0.5*'Thể lệ'!$E$6)),if(and($F50=AS50,$G50=AT50),"0",if(($F50-$G50)*(AS50-AT50)&gt;0,0.5*'Thể lệ'!$E$6,'Thể lệ'!$E$6)))</f>
        <v>5000</v>
      </c>
      <c r="CY50" s="45"/>
      <c r="CZ50" s="43">
        <f>if($F50=$G50,if(and($F50=$G50,AU50&lt;&gt;AV50),'Thể lệ'!$E$6,if($F50=AU50,0,0.5*'Thể lệ'!$E$6)),if(and($F50=AU50,$G50=AV50),"0",if(($F50-$G50)*(AU50-AV50)&gt;0,0.5*'Thể lệ'!$E$6,'Thể lệ'!$E$6)))</f>
        <v>0</v>
      </c>
      <c r="DA50" s="45"/>
      <c r="DB50" s="43">
        <f>if($F50=$G50,if(and($F50=$G50,AW50&lt;&gt;AX50),'Thể lệ'!$E$6,if($F50=AW50,0,0.5*'Thể lệ'!$E$6)),if(and($F50=AW50,$G50=AX50),"0",if(($F50-$G50)*(AW50-AX50)&gt;0,0.5*'Thể lệ'!$E$6,'Thể lệ'!$E$6)))</f>
        <v>0</v>
      </c>
      <c r="DC50" s="45"/>
      <c r="DD50" s="43">
        <f>if($F50=$G50,if(and($F50=$G50,AY50&lt;&gt;AZ50),'Thể lệ'!$E$6,if($F50=AY50,0,0.5*'Thể lệ'!$E$6)),if(and($F50=AY50,$G50=AZ50),"0",if(($F50-$G50)*(AY50-AZ50)&gt;0,0.5*'Thể lệ'!$E$6,'Thể lệ'!$E$6)))</f>
        <v>0</v>
      </c>
      <c r="DE50" s="45"/>
      <c r="DF50" s="43">
        <f>if($F50=$G50,if(and($F50=$G50,BA50&lt;&gt;BB50),'Thể lệ'!$E$6,if($F50=BA50,0,0.5*'Thể lệ'!$E$6)),if(and($F50=BA50,$G50=BB50),"0",if(($F50-$G50)*(BA50-BB50)&gt;0,0.5*'Thể lệ'!$E$6,'Thể lệ'!$E$6)))</f>
        <v>0</v>
      </c>
      <c r="DG50" s="45"/>
      <c r="DH50" s="44">
        <f>if($F50=$G50,if(and($F50=$G50,BC50&lt;&gt;BD50),'Thể lệ'!$E$6,if($F50=BC50,0,0.5*'Thể lệ'!$E$6)),if(and($F50=BC50,$G50=BD50),"0",if(($F50-$G50)*(BC50-BD50)&gt;0,0.5*'Thể lệ'!$E$6,'Thể lệ'!$E$6)))</f>
        <v>5000</v>
      </c>
      <c r="DI50" s="45"/>
      <c r="DJ50" s="43">
        <f>if($F50=$G50,if(and($F50=$G50,BE50&lt;&gt;BF50),'Thể lệ'!$E$6,if($F50=BE50,0,0.5*'Thể lệ'!$E$6)),if(and($F50=BE50,$G50=BF50),"0",if(($F50-$G50)*(BE50-BF50)&gt;0,0.5*'Thể lệ'!$E$6,'Thể lệ'!$E$6)))</f>
        <v>0</v>
      </c>
      <c r="DK50" s="45"/>
      <c r="DL50" s="43">
        <f>if($F50=$G50,if(and($F50=$G50,BG50&lt;&gt;BH50),'Thể lệ'!$E$6,if($F50=BG50,0,0.5*'Thể lệ'!$E$6)),if(and($F50=BG50,$G50=BH50),"0",if(($F50-$G50)*(BG50-BH50)&gt;0,0.5*'Thể lệ'!$E$6,'Thể lệ'!$E$6)))</f>
        <v>0</v>
      </c>
      <c r="DM50" s="45"/>
      <c r="DN50" s="44">
        <f>if($F50=$G50,if(and($F50=$G50,BI50&lt;&gt;BJ50),'Thể lệ'!$E$6,if($F50=BI50,0,0.5*'Thể lệ'!$E$6)),if(and($F50=BI50,$G50=BJ50),"0",if(($F50-$G50)*(BI50-BJ50)&gt;0,0.5*'Thể lệ'!$E$6,'Thể lệ'!$E$6)))</f>
        <v>10000</v>
      </c>
      <c r="DO50" s="45"/>
      <c r="DP50" s="8"/>
    </row>
    <row r="51">
      <c r="B51" s="22">
        <v>45.0</v>
      </c>
      <c r="C51" s="56">
        <v>46196.99999999999</v>
      </c>
      <c r="D51" s="57">
        <v>46196.99999999999</v>
      </c>
      <c r="E51" s="58" t="s">
        <v>72</v>
      </c>
      <c r="F51" s="23"/>
      <c r="G51" s="23"/>
      <c r="H51" s="62" t="s">
        <v>78</v>
      </c>
      <c r="I51" s="37"/>
      <c r="J51" s="37"/>
      <c r="K51" s="37"/>
      <c r="L51" s="37"/>
      <c r="M51" s="37"/>
      <c r="N51" s="37"/>
      <c r="O51" s="37"/>
      <c r="P51" s="37"/>
      <c r="Q51" s="37" t="str">
        <f t="shared" si="4"/>
        <v/>
      </c>
      <c r="R51" s="37" t="str">
        <f t="shared" si="6"/>
        <v/>
      </c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>
        <v>2.0</v>
      </c>
      <c r="AP51" s="37">
        <v>1.0</v>
      </c>
      <c r="AQ51" s="37"/>
      <c r="AR51" s="37"/>
      <c r="AS51" s="40">
        <v>3.0</v>
      </c>
      <c r="AT51" s="40">
        <v>0.0</v>
      </c>
      <c r="AU51" s="37"/>
      <c r="AV51" s="37"/>
      <c r="AW51" s="37"/>
      <c r="AX51" s="37"/>
      <c r="AY51" s="37"/>
      <c r="AZ51" s="37"/>
      <c r="BA51" s="37"/>
      <c r="BB51" s="37"/>
      <c r="BC51" s="37">
        <v>4.0</v>
      </c>
      <c r="BD51" s="37">
        <v>0.0</v>
      </c>
      <c r="BE51" s="42"/>
      <c r="BF51" s="37"/>
      <c r="BG51" s="37"/>
      <c r="BH51" s="37"/>
      <c r="BI51" s="37">
        <f>H.Son!H51</f>
        <v>2</v>
      </c>
      <c r="BJ51" s="37">
        <f>H.Son!I51</f>
        <v>0</v>
      </c>
      <c r="BK51" s="37"/>
      <c r="BL51" s="37"/>
      <c r="BM51" s="9"/>
      <c r="BN51" s="43">
        <f>if($F51=$G51,if(and($F51=$G51,I51&lt;&gt;J51),'Thể lệ'!$E$6,if($F51=I51,0,0.5*'Thể lệ'!$E$6)),if(and($F51=I51,$G51=J51),"0",if(($F51-$G51)*(I51-J51)&gt;0,0.5*'Thể lệ'!$E$6,'Thể lệ'!$E$6)))</f>
        <v>0</v>
      </c>
      <c r="BO51" s="43"/>
      <c r="BP51" s="43">
        <f>if($F51=$G51,if(and($F51=$G51,K51&lt;&gt;L51),'Thể lệ'!$E$6,if($F51=K51,0,0.5*'Thể lệ'!$E$6)),if(and($F51=K51,$G51=L51),"0",if(($F51-$G51)*(K51-L51)&gt;0,0.5*'Thể lệ'!$E$6,'Thể lệ'!$E$6)))</f>
        <v>0</v>
      </c>
      <c r="BQ51" s="43"/>
      <c r="BR51" s="43">
        <f>if($F51=$G51,if(and($F51=$G51,M51&lt;&gt;N51),'Thể lệ'!$E$6,if($F51=M51,0,0.5*'Thể lệ'!$E$6)),if(and($F51=M51,$G51=N51),"0",if(($F51-$G51)*(M51-N51)&gt;0,0.5*'Thể lệ'!$E$6,'Thể lệ'!$E$6)))</f>
        <v>0</v>
      </c>
      <c r="BS51" s="43"/>
      <c r="BT51" s="43">
        <f>if($F51=$G51,if(and($F51=$G51,O51&lt;&gt;P51),'Thể lệ'!$E$6,if($F51=O51,0,0.5*'Thể lệ'!$E$6)),if(and($F51=O51,$G51=P51),"0",if(($F51-$G51)*(O51-P51)&gt;0,0.5*'Thể lệ'!$E$6,'Thể lệ'!$E$6)))</f>
        <v>0</v>
      </c>
      <c r="BU51" s="43"/>
      <c r="BV51" s="43">
        <f>if($F51=$G51,if(and($F51=$G51,Q51&lt;&gt;R51),'Thể lệ'!$E$6,if($F51=Q51,0,0.5*'Thể lệ'!$E$6)),if(and($F51=Q51,$G51=R51),"0",if(($F51-$G51)*(Q51-R51)&gt;0,0.5*'Thể lệ'!$E$6,'Thể lệ'!$E$6)))</f>
        <v>0</v>
      </c>
      <c r="BW51" s="43"/>
      <c r="BX51" s="43">
        <f>if($F51=$G51,if(and($F51=$G51,S51&lt;&gt;T51),'Thể lệ'!$E$6,if($F51=S51,0,0.5*'Thể lệ'!$E$6)),if(and($F51=S51,$G51=T51),"0",if(($F51-$G51)*(S51-T51)&gt;0,0.5*'Thể lệ'!$E$6,'Thể lệ'!$E$6)))</f>
        <v>0</v>
      </c>
      <c r="BY51" s="43"/>
      <c r="BZ51" s="43">
        <f>if($F51=$G51,if(and($F51=$G51,U51&lt;&gt;V51),'Thể lệ'!$E$6,if($F51=U51,0,0.5*'Thể lệ'!$E$6)),if(and($F51=U51,$G51=V51),"0",if(($F51-$G51)*(U51-V51)&gt;0,0.5*'Thể lệ'!$E$6,'Thể lệ'!$E$6)))</f>
        <v>0</v>
      </c>
      <c r="CA51" s="43"/>
      <c r="CB51" s="43">
        <f>if($F51=$G51,if(and($F51=$G51,W51&lt;&gt;X51),'Thể lệ'!$E$6,if($F51=W51,0,0.5*'Thể lệ'!$E$6)),if(and($F51=W51,$G51=X51),"0",if(($F51-$G51)*(W51-X51)&gt;0,0.5*'Thể lệ'!$E$6,'Thể lệ'!$E$6)))</f>
        <v>0</v>
      </c>
      <c r="CC51" s="43"/>
      <c r="CD51" s="43">
        <f>if($F51=$G51,if(and($F51=$G51,Y51&lt;&gt;Z51),'Thể lệ'!$E$6,if($F51=Y51,0,0.5*'Thể lệ'!$E$6)),if(and($F51=Y51,$G51=Z51),"0",if(($F51-$G51)*(Y51-Z51)&gt;0,0.5*'Thể lệ'!$E$6,'Thể lệ'!$E$6)))</f>
        <v>0</v>
      </c>
      <c r="CE51" s="43"/>
      <c r="CF51" s="43">
        <f>if($F51=$G51,if(and($F51=$G51,AA51&lt;&gt;AB51),'Thể lệ'!$E$6,if($F51=AA51,0,0.5*'Thể lệ'!$E$6)),if(and($F51=AA51,$G51=AB51),"0",if(($F51-$G51)*(AA51-AB51)&gt;0,0.5*'Thể lệ'!$E$6,'Thể lệ'!$E$6)))</f>
        <v>0</v>
      </c>
      <c r="CG51" s="43"/>
      <c r="CH51" s="43">
        <f>if($F51=$G51,if(and($F51=$G51,AC51&lt;&gt;AD51),'Thể lệ'!$E$6,if($F51=AC51,0,0.5*'Thể lệ'!$E$6)),if(and($F51=AC51,$G51=AD51),"0",if(($F51-$G51)*(AC51-AD51)&gt;0,0.5*'Thể lệ'!$E$6,'Thể lệ'!$E$6)))</f>
        <v>0</v>
      </c>
      <c r="CI51" s="43"/>
      <c r="CJ51" s="43">
        <f>if($F51=$G51,if(and($F51=$G51,AE51&lt;&gt;AF51),'Thể lệ'!$E$6,if($F51=AE51,0,0.5*'Thể lệ'!$E$6)),if(and($F51=AE51,$G51=AF51),"0",if(($F51-$G51)*(AE51-AF51)&gt;0,0.5*'Thể lệ'!$E$6,'Thể lệ'!$E$6)))</f>
        <v>0</v>
      </c>
      <c r="CK51" s="43"/>
      <c r="CL51" s="43">
        <f>if($F51=$G51,if(and($F51=$G51,AG51&lt;&gt;AH51),'Thể lệ'!$E$6,if($F51=AG51,0,0.5*'Thể lệ'!$E$6)),if(and($F51=AG51,$G51=AH51),"0",if(($F51-$G51)*(AG51-AH51)&gt;0,0.5*'Thể lệ'!$E$6,'Thể lệ'!$E$6)))</f>
        <v>0</v>
      </c>
      <c r="CM51" s="43"/>
      <c r="CN51" s="43">
        <f>if($F51=$G51,if(and($F51=$G51,AI51&lt;&gt;AJ51),'Thể lệ'!$E$6,if($F51=AI51,0,0.5*'Thể lệ'!$E$6)),if(and($F51=AI51,$G51=AJ51),"0",if(($F51-$G51)*(AI51-AJ51)&gt;0,0.5*'Thể lệ'!$E$6,'Thể lệ'!$E$6)))</f>
        <v>0</v>
      </c>
      <c r="CO51" s="43"/>
      <c r="CP51" s="43">
        <f>if($F51=$G51,if(and($F51=$G51,AK51&lt;&gt;AL51),'Thể lệ'!$E$6,if($F51=AK51,0,0.5*'Thể lệ'!$E$6)),if(and($F51=AK51,$G51=AL51),"0",if(($F51-$G51)*(AK51-AL51)&gt;0,0.5*'Thể lệ'!$E$6,'Thể lệ'!$E$6)))</f>
        <v>0</v>
      </c>
      <c r="CQ51" s="43"/>
      <c r="CR51" s="43">
        <f>if($F51=$G51,if(and($F51=$G51,AM51&lt;&gt;AN51),'Thể lệ'!$E$6,if($F51=AM51,0,0.5*'Thể lệ'!$E$6)),if(and($F51=AM51,$G51=AN51),"0",if(($F51-$G51)*(AM51-AN51)&gt;0,0.5*'Thể lệ'!$E$6,'Thể lệ'!$E$6)))</f>
        <v>0</v>
      </c>
      <c r="CS51" s="43"/>
      <c r="CT51" s="44">
        <f>if($F51=$G51,if(and($F51=$G51,AO51&lt;&gt;AP51),'Thể lệ'!$E$6,if($F51=AO51,0,0.5*'Thể lệ'!$E$6)),if(and($F51=AO51,$G51=AP51),"0",if(($F51-$G51)*(AO51-AP51)&gt;0,0.5*'Thể lệ'!$E$6,'Thể lệ'!$E$6)))</f>
        <v>10000</v>
      </c>
      <c r="CU51" s="43"/>
      <c r="CV51" s="43">
        <f>if($F51=$G51,if(and($F51=$G51,AQ51&lt;&gt;AR51),'Thể lệ'!$E$6,if($F51=AQ51,0,0.5*'Thể lệ'!$E$6)),if(and($F51=AQ51,$G51=AR51),"0",if(($F51-$G51)*(AQ51-AR51)&gt;0,0.5*'Thể lệ'!$E$6,'Thể lệ'!$E$6)))</f>
        <v>0</v>
      </c>
      <c r="CW51" s="43"/>
      <c r="CX51" s="44">
        <f>if($F51=$G51,if(and($F51=$G51,AS51&lt;&gt;AT51),'Thể lệ'!$E$6,if($F51=AS51,0,0.5*'Thể lệ'!$E$6)),if(and($F51=AS51,$G51=AT51),"0",if(($F51-$G51)*(AS51-AT51)&gt;0,0.5*'Thể lệ'!$E$6,'Thể lệ'!$E$6)))</f>
        <v>10000</v>
      </c>
      <c r="CY51" s="45"/>
      <c r="CZ51" s="43">
        <f>if($F51=$G51,if(and($F51=$G51,AU51&lt;&gt;AV51),'Thể lệ'!$E$6,if($F51=AU51,0,0.5*'Thể lệ'!$E$6)),if(and($F51=AU51,$G51=AV51),"0",if(($F51-$G51)*(AU51-AV51)&gt;0,0.5*'Thể lệ'!$E$6,'Thể lệ'!$E$6)))</f>
        <v>0</v>
      </c>
      <c r="DA51" s="45"/>
      <c r="DB51" s="43">
        <f>if($F51=$G51,if(and($F51=$G51,AW51&lt;&gt;AX51),'Thể lệ'!$E$6,if($F51=AW51,0,0.5*'Thể lệ'!$E$6)),if(and($F51=AW51,$G51=AX51),"0",if(($F51-$G51)*(AW51-AX51)&gt;0,0.5*'Thể lệ'!$E$6,'Thể lệ'!$E$6)))</f>
        <v>0</v>
      </c>
      <c r="DC51" s="45"/>
      <c r="DD51" s="43">
        <f>if($F51=$G51,if(and($F51=$G51,AY51&lt;&gt;AZ51),'Thể lệ'!$E$6,if($F51=AY51,0,0.5*'Thể lệ'!$E$6)),if(and($F51=AY51,$G51=AZ51),"0",if(($F51-$G51)*(AY51-AZ51)&gt;0,0.5*'Thể lệ'!$E$6,'Thể lệ'!$E$6)))</f>
        <v>0</v>
      </c>
      <c r="DE51" s="45"/>
      <c r="DF51" s="43">
        <f>if($F51=$G51,if(and($F51=$G51,BA51&lt;&gt;BB51),'Thể lệ'!$E$6,if($F51=BA51,0,0.5*'Thể lệ'!$E$6)),if(and($F51=BA51,$G51=BB51),"0",if(($F51-$G51)*(BA51-BB51)&gt;0,0.5*'Thể lệ'!$E$6,'Thể lệ'!$E$6)))</f>
        <v>0</v>
      </c>
      <c r="DG51" s="45"/>
      <c r="DH51" s="44">
        <f>if($F51=$G51,if(and($F51=$G51,BC51&lt;&gt;BD51),'Thể lệ'!$E$6,if($F51=BC51,0,0.5*'Thể lệ'!$E$6)),if(and($F51=BC51,$G51=BD51),"0",if(($F51-$G51)*(BC51-BD51)&gt;0,0.5*'Thể lệ'!$E$6,'Thể lệ'!$E$6)))</f>
        <v>10000</v>
      </c>
      <c r="DI51" s="45"/>
      <c r="DJ51" s="43">
        <f>if($F51=$G51,if(and($F51=$G51,BE51&lt;&gt;BF51),'Thể lệ'!$E$6,if($F51=BE51,0,0.5*'Thể lệ'!$E$6)),if(and($F51=BE51,$G51=BF51),"0",if(($F51-$G51)*(BE51-BF51)&gt;0,0.5*'Thể lệ'!$E$6,'Thể lệ'!$E$6)))</f>
        <v>0</v>
      </c>
      <c r="DK51" s="45"/>
      <c r="DL51" s="43">
        <f>if($F51=$G51,if(and($F51=$G51,BG51&lt;&gt;BH51),'Thể lệ'!$E$6,if($F51=BG51,0,0.5*'Thể lệ'!$E$6)),if(and($F51=BG51,$G51=BH51),"0",if(($F51-$G51)*(BG51-BH51)&gt;0,0.5*'Thể lệ'!$E$6,'Thể lệ'!$E$6)))</f>
        <v>0</v>
      </c>
      <c r="DM51" s="45"/>
      <c r="DN51" s="44">
        <f>if($F51=$G51,if(and($F51=$G51,BI51&lt;&gt;BJ51),'Thể lệ'!$E$6,if($F51=BI51,0,0.5*'Thể lệ'!$E$6)),if(and($F51=BI51,$G51=BJ51),"0",if(($F51-$G51)*(BI51-BJ51)&gt;0,0.5*'Thể lệ'!$E$6,'Thể lệ'!$E$6)))</f>
        <v>10000</v>
      </c>
      <c r="DO51" s="45"/>
      <c r="DP51" s="8"/>
    </row>
    <row r="52">
      <c r="B52" s="22">
        <v>46.0</v>
      </c>
      <c r="C52" s="56">
        <v>46197.12499999999</v>
      </c>
      <c r="D52" s="57">
        <v>46197.12499999999</v>
      </c>
      <c r="E52" s="58" t="s">
        <v>74</v>
      </c>
      <c r="F52" s="23"/>
      <c r="G52" s="23"/>
      <c r="H52" s="58" t="s">
        <v>76</v>
      </c>
      <c r="I52" s="37"/>
      <c r="J52" s="37"/>
      <c r="K52" s="37"/>
      <c r="L52" s="37"/>
      <c r="M52" s="37"/>
      <c r="N52" s="37"/>
      <c r="O52" s="37"/>
      <c r="P52" s="37"/>
      <c r="Q52" s="37" t="str">
        <f t="shared" si="4"/>
        <v/>
      </c>
      <c r="R52" s="37" t="str">
        <f t="shared" si="6"/>
        <v/>
      </c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>
        <v>1.0</v>
      </c>
      <c r="AP52" s="37">
        <v>2.0</v>
      </c>
      <c r="AQ52" s="37"/>
      <c r="AR52" s="37"/>
      <c r="AS52" s="40">
        <v>3.0</v>
      </c>
      <c r="AT52" s="40">
        <v>0.0</v>
      </c>
      <c r="AU52" s="37"/>
      <c r="AV52" s="37"/>
      <c r="AW52" s="37"/>
      <c r="AX52" s="37"/>
      <c r="AY52" s="37"/>
      <c r="AZ52" s="37"/>
      <c r="BA52" s="37"/>
      <c r="BB52" s="37"/>
      <c r="BC52" s="37">
        <v>3.0</v>
      </c>
      <c r="BD52" s="37">
        <v>0.0</v>
      </c>
      <c r="BE52" s="42"/>
      <c r="BF52" s="37"/>
      <c r="BG52" s="37"/>
      <c r="BH52" s="37"/>
      <c r="BI52" s="37">
        <f>H.Son!H52</f>
        <v>2</v>
      </c>
      <c r="BJ52" s="37">
        <f>H.Son!I52</f>
        <v>0</v>
      </c>
      <c r="BK52" s="37"/>
      <c r="BL52" s="37"/>
      <c r="BM52" s="9"/>
      <c r="BN52" s="43">
        <f>if($F52=$G52,if(and($F52=$G52,I52&lt;&gt;J52),'Thể lệ'!$E$6,if($F52=I52,0,0.5*'Thể lệ'!$E$6)),if(and($F52=I52,$G52=J52),"0",if(($F52-$G52)*(I52-J52)&gt;0,0.5*'Thể lệ'!$E$6,'Thể lệ'!$E$6)))</f>
        <v>0</v>
      </c>
      <c r="BO52" s="43"/>
      <c r="BP52" s="43">
        <f>if($F52=$G52,if(and($F52=$G52,K52&lt;&gt;L52),'Thể lệ'!$E$6,if($F52=K52,0,0.5*'Thể lệ'!$E$6)),if(and($F52=K52,$G52=L52),"0",if(($F52-$G52)*(K52-L52)&gt;0,0.5*'Thể lệ'!$E$6,'Thể lệ'!$E$6)))</f>
        <v>0</v>
      </c>
      <c r="BQ52" s="43"/>
      <c r="BR52" s="43">
        <f>if($F52=$G52,if(and($F52=$G52,M52&lt;&gt;N52),'Thể lệ'!$E$6,if($F52=M52,0,0.5*'Thể lệ'!$E$6)),if(and($F52=M52,$G52=N52),"0",if(($F52-$G52)*(M52-N52)&gt;0,0.5*'Thể lệ'!$E$6,'Thể lệ'!$E$6)))</f>
        <v>0</v>
      </c>
      <c r="BS52" s="43"/>
      <c r="BT52" s="43">
        <f>if($F52=$G52,if(and($F52=$G52,O52&lt;&gt;P52),'Thể lệ'!$E$6,if($F52=O52,0,0.5*'Thể lệ'!$E$6)),if(and($F52=O52,$G52=P52),"0",if(($F52-$G52)*(O52-P52)&gt;0,0.5*'Thể lệ'!$E$6,'Thể lệ'!$E$6)))</f>
        <v>0</v>
      </c>
      <c r="BU52" s="43"/>
      <c r="BV52" s="43">
        <f>if($F52=$G52,if(and($F52=$G52,Q52&lt;&gt;R52),'Thể lệ'!$E$6,if($F52=Q52,0,0.5*'Thể lệ'!$E$6)),if(and($F52=Q52,$G52=R52),"0",if(($F52-$G52)*(Q52-R52)&gt;0,0.5*'Thể lệ'!$E$6,'Thể lệ'!$E$6)))</f>
        <v>0</v>
      </c>
      <c r="BW52" s="43"/>
      <c r="BX52" s="43">
        <f>if($F52=$G52,if(and($F52=$G52,S52&lt;&gt;T52),'Thể lệ'!$E$6,if($F52=S52,0,0.5*'Thể lệ'!$E$6)),if(and($F52=S52,$G52=T52),"0",if(($F52-$G52)*(S52-T52)&gt;0,0.5*'Thể lệ'!$E$6,'Thể lệ'!$E$6)))</f>
        <v>0</v>
      </c>
      <c r="BY52" s="43"/>
      <c r="BZ52" s="43">
        <f>if($F52=$G52,if(and($F52=$G52,U52&lt;&gt;V52),'Thể lệ'!$E$6,if($F52=U52,0,0.5*'Thể lệ'!$E$6)),if(and($F52=U52,$G52=V52),"0",if(($F52-$G52)*(U52-V52)&gt;0,0.5*'Thể lệ'!$E$6,'Thể lệ'!$E$6)))</f>
        <v>0</v>
      </c>
      <c r="CA52" s="43"/>
      <c r="CB52" s="43">
        <f>if($F52=$G52,if(and($F52=$G52,W52&lt;&gt;X52),'Thể lệ'!$E$6,if($F52=W52,0,0.5*'Thể lệ'!$E$6)),if(and($F52=W52,$G52=X52),"0",if(($F52-$G52)*(W52-X52)&gt;0,0.5*'Thể lệ'!$E$6,'Thể lệ'!$E$6)))</f>
        <v>0</v>
      </c>
      <c r="CC52" s="43"/>
      <c r="CD52" s="43">
        <f>if($F52=$G52,if(and($F52=$G52,Y52&lt;&gt;Z52),'Thể lệ'!$E$6,if($F52=Y52,0,0.5*'Thể lệ'!$E$6)),if(and($F52=Y52,$G52=Z52),"0",if(($F52-$G52)*(Y52-Z52)&gt;0,0.5*'Thể lệ'!$E$6,'Thể lệ'!$E$6)))</f>
        <v>0</v>
      </c>
      <c r="CE52" s="43"/>
      <c r="CF52" s="43">
        <f>if($F52=$G52,if(and($F52=$G52,AA52&lt;&gt;AB52),'Thể lệ'!$E$6,if($F52=AA52,0,0.5*'Thể lệ'!$E$6)),if(and($F52=AA52,$G52=AB52),"0",if(($F52-$G52)*(AA52-AB52)&gt;0,0.5*'Thể lệ'!$E$6,'Thể lệ'!$E$6)))</f>
        <v>0</v>
      </c>
      <c r="CG52" s="43"/>
      <c r="CH52" s="43">
        <f>if($F52=$G52,if(and($F52=$G52,AC52&lt;&gt;AD52),'Thể lệ'!$E$6,if($F52=AC52,0,0.5*'Thể lệ'!$E$6)),if(and($F52=AC52,$G52=AD52),"0",if(($F52-$G52)*(AC52-AD52)&gt;0,0.5*'Thể lệ'!$E$6,'Thể lệ'!$E$6)))</f>
        <v>0</v>
      </c>
      <c r="CI52" s="43"/>
      <c r="CJ52" s="43">
        <f>if($F52=$G52,if(and($F52=$G52,AE52&lt;&gt;AF52),'Thể lệ'!$E$6,if($F52=AE52,0,0.5*'Thể lệ'!$E$6)),if(and($F52=AE52,$G52=AF52),"0",if(($F52-$G52)*(AE52-AF52)&gt;0,0.5*'Thể lệ'!$E$6,'Thể lệ'!$E$6)))</f>
        <v>0</v>
      </c>
      <c r="CK52" s="43"/>
      <c r="CL52" s="43">
        <f>if($F52=$G52,if(and($F52=$G52,AG52&lt;&gt;AH52),'Thể lệ'!$E$6,if($F52=AG52,0,0.5*'Thể lệ'!$E$6)),if(and($F52=AG52,$G52=AH52),"0",if(($F52-$G52)*(AG52-AH52)&gt;0,0.5*'Thể lệ'!$E$6,'Thể lệ'!$E$6)))</f>
        <v>0</v>
      </c>
      <c r="CM52" s="43"/>
      <c r="CN52" s="43">
        <f>if($F52=$G52,if(and($F52=$G52,AI52&lt;&gt;AJ52),'Thể lệ'!$E$6,if($F52=AI52,0,0.5*'Thể lệ'!$E$6)),if(and($F52=AI52,$G52=AJ52),"0",if(($F52-$G52)*(AI52-AJ52)&gt;0,0.5*'Thể lệ'!$E$6,'Thể lệ'!$E$6)))</f>
        <v>0</v>
      </c>
      <c r="CO52" s="43"/>
      <c r="CP52" s="43">
        <f>if($F52=$G52,if(and($F52=$G52,AK52&lt;&gt;AL52),'Thể lệ'!$E$6,if($F52=AK52,0,0.5*'Thể lệ'!$E$6)),if(and($F52=AK52,$G52=AL52),"0",if(($F52-$G52)*(AK52-AL52)&gt;0,0.5*'Thể lệ'!$E$6,'Thể lệ'!$E$6)))</f>
        <v>0</v>
      </c>
      <c r="CQ52" s="43"/>
      <c r="CR52" s="43">
        <f>if($F52=$G52,if(and($F52=$G52,AM52&lt;&gt;AN52),'Thể lệ'!$E$6,if($F52=AM52,0,0.5*'Thể lệ'!$E$6)),if(and($F52=AM52,$G52=AN52),"0",if(($F52-$G52)*(AM52-AN52)&gt;0,0.5*'Thể lệ'!$E$6,'Thể lệ'!$E$6)))</f>
        <v>0</v>
      </c>
      <c r="CS52" s="43"/>
      <c r="CT52" s="44">
        <f>if($F52=$G52,if(and($F52=$G52,AO52&lt;&gt;AP52),'Thể lệ'!$E$6,if($F52=AO52,0,0.5*'Thể lệ'!$E$6)),if(and($F52=AO52,$G52=AP52),"0",if(($F52-$G52)*(AO52-AP52)&gt;0,0.5*'Thể lệ'!$E$6,'Thể lệ'!$E$6)))</f>
        <v>10000</v>
      </c>
      <c r="CU52" s="43"/>
      <c r="CV52" s="43">
        <f>if($F52=$G52,if(and($F52=$G52,AQ52&lt;&gt;AR52),'Thể lệ'!$E$6,if($F52=AQ52,0,0.5*'Thể lệ'!$E$6)),if(and($F52=AQ52,$G52=AR52),"0",if(($F52-$G52)*(AQ52-AR52)&gt;0,0.5*'Thể lệ'!$E$6,'Thể lệ'!$E$6)))</f>
        <v>0</v>
      </c>
      <c r="CW52" s="43"/>
      <c r="CX52" s="44">
        <f>if($F52=$G52,if(and($F52=$G52,AS52&lt;&gt;AT52),'Thể lệ'!$E$6,if($F52=AS52,0,0.5*'Thể lệ'!$E$6)),if(and($F52=AS52,$G52=AT52),"0",if(($F52-$G52)*(AS52-AT52)&gt;0,0.5*'Thể lệ'!$E$6,'Thể lệ'!$E$6)))</f>
        <v>10000</v>
      </c>
      <c r="CY52" s="45"/>
      <c r="CZ52" s="43">
        <f>if($F52=$G52,if(and($F52=$G52,AU52&lt;&gt;AV52),'Thể lệ'!$E$6,if($F52=AU52,0,0.5*'Thể lệ'!$E$6)),if(and($F52=AU52,$G52=AV52),"0",if(($F52-$G52)*(AU52-AV52)&gt;0,0.5*'Thể lệ'!$E$6,'Thể lệ'!$E$6)))</f>
        <v>0</v>
      </c>
      <c r="DA52" s="45"/>
      <c r="DB52" s="43">
        <f>if($F52=$G52,if(and($F52=$G52,AW52&lt;&gt;AX52),'Thể lệ'!$E$6,if($F52=AW52,0,0.5*'Thể lệ'!$E$6)),if(and($F52=AW52,$G52=AX52),"0",if(($F52-$G52)*(AW52-AX52)&gt;0,0.5*'Thể lệ'!$E$6,'Thể lệ'!$E$6)))</f>
        <v>0</v>
      </c>
      <c r="DC52" s="45"/>
      <c r="DD52" s="43">
        <f>if($F52=$G52,if(and($F52=$G52,AY52&lt;&gt;AZ52),'Thể lệ'!$E$6,if($F52=AY52,0,0.5*'Thể lệ'!$E$6)),if(and($F52=AY52,$G52=AZ52),"0",if(($F52-$G52)*(AY52-AZ52)&gt;0,0.5*'Thể lệ'!$E$6,'Thể lệ'!$E$6)))</f>
        <v>0</v>
      </c>
      <c r="DE52" s="45"/>
      <c r="DF52" s="43">
        <f>if($F52=$G52,if(and($F52=$G52,BA52&lt;&gt;BB52),'Thể lệ'!$E$6,if($F52=BA52,0,0.5*'Thể lệ'!$E$6)),if(and($F52=BA52,$G52=BB52),"0",if(($F52-$G52)*(BA52-BB52)&gt;0,0.5*'Thể lệ'!$E$6,'Thể lệ'!$E$6)))</f>
        <v>0</v>
      </c>
      <c r="DG52" s="45"/>
      <c r="DH52" s="44">
        <f>if($F52=$G52,if(and($F52=$G52,BC52&lt;&gt;BD52),'Thể lệ'!$E$6,if($F52=BC52,0,0.5*'Thể lệ'!$E$6)),if(and($F52=BC52,$G52=BD52),"0",if(($F52-$G52)*(BC52-BD52)&gt;0,0.5*'Thể lệ'!$E$6,'Thể lệ'!$E$6)))</f>
        <v>10000</v>
      </c>
      <c r="DI52" s="45"/>
      <c r="DJ52" s="43">
        <f>if($F52=$G52,if(and($F52=$G52,BE52&lt;&gt;BF52),'Thể lệ'!$E$6,if($F52=BE52,0,0.5*'Thể lệ'!$E$6)),if(and($F52=BE52,$G52=BF52),"0",if(($F52-$G52)*(BE52-BF52)&gt;0,0.5*'Thể lệ'!$E$6,'Thể lệ'!$E$6)))</f>
        <v>0</v>
      </c>
      <c r="DK52" s="45"/>
      <c r="DL52" s="43">
        <f>if($F52=$G52,if(and($F52=$G52,BG52&lt;&gt;BH52),'Thể lệ'!$E$6,if($F52=BG52,0,0.5*'Thể lệ'!$E$6)),if(and($F52=BG52,$G52=BH52),"0",if(($F52-$G52)*(BG52-BH52)&gt;0,0.5*'Thể lệ'!$E$6,'Thể lệ'!$E$6)))</f>
        <v>0</v>
      </c>
      <c r="DM52" s="45"/>
      <c r="DN52" s="44">
        <f>if($F52=$G52,if(and($F52=$G52,BI52&lt;&gt;BJ52),'Thể lệ'!$E$6,if($F52=BI52,0,0.5*'Thể lệ'!$E$6)),if(and($F52=BI52,$G52=BJ52),"0",if(($F52-$G52)*(BI52-BJ52)&gt;0,0.5*'Thể lệ'!$E$6,'Thể lệ'!$E$6)))</f>
        <v>10000</v>
      </c>
      <c r="DO52" s="45"/>
      <c r="DP52" s="8"/>
    </row>
    <row r="53">
      <c r="A53" s="6"/>
      <c r="B53" s="22">
        <v>47.0</v>
      </c>
      <c r="C53" s="56">
        <v>46197.24999999999</v>
      </c>
      <c r="D53" s="57">
        <v>46197.24999999999</v>
      </c>
      <c r="E53" s="58" t="s">
        <v>77</v>
      </c>
      <c r="F53" s="23"/>
      <c r="G53" s="23"/>
      <c r="H53" s="58" t="s">
        <v>75</v>
      </c>
      <c r="I53" s="37"/>
      <c r="J53" s="37"/>
      <c r="K53" s="37"/>
      <c r="L53" s="37"/>
      <c r="M53" s="37"/>
      <c r="N53" s="37"/>
      <c r="O53" s="37"/>
      <c r="P53" s="37"/>
      <c r="Q53" s="37" t="str">
        <f t="shared" si="4"/>
        <v/>
      </c>
      <c r="R53" s="37" t="str">
        <f t="shared" si="6"/>
        <v/>
      </c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>
        <v>1.0</v>
      </c>
      <c r="AP53" s="37">
        <v>2.0</v>
      </c>
      <c r="AQ53" s="37"/>
      <c r="AR53" s="37"/>
      <c r="AS53" s="40">
        <v>0.0</v>
      </c>
      <c r="AT53" s="40">
        <v>3.0</v>
      </c>
      <c r="AU53" s="37"/>
      <c r="AV53" s="37"/>
      <c r="AW53" s="37"/>
      <c r="AX53" s="37"/>
      <c r="AY53" s="37"/>
      <c r="AZ53" s="37"/>
      <c r="BA53" s="37"/>
      <c r="BB53" s="37"/>
      <c r="BC53" s="37">
        <v>0.0</v>
      </c>
      <c r="BD53" s="37">
        <v>3.0</v>
      </c>
      <c r="BE53" s="42"/>
      <c r="BF53" s="37"/>
      <c r="BG53" s="37"/>
      <c r="BH53" s="37"/>
      <c r="BI53" s="37">
        <f>H.Son!H53</f>
        <v>0</v>
      </c>
      <c r="BJ53" s="37">
        <f>H.Son!I53</f>
        <v>1</v>
      </c>
      <c r="BK53" s="37"/>
      <c r="BL53" s="37"/>
      <c r="BM53" s="15"/>
      <c r="BN53" s="43">
        <f>if($F53=$G53,if(and($F53=$G53,I53&lt;&gt;J53),'Thể lệ'!$E$6,if($F53=I53,0,0.5*'Thể lệ'!$E$6)),if(and($F53=I53,$G53=J53),"0",if(($F53-$G53)*(I53-J53)&gt;0,0.5*'Thể lệ'!$E$6,'Thể lệ'!$E$6)))</f>
        <v>0</v>
      </c>
      <c r="BO53" s="43"/>
      <c r="BP53" s="43">
        <f>if($F53=$G53,if(and($F53=$G53,K53&lt;&gt;L53),'Thể lệ'!$E$6,if($F53=K53,0,0.5*'Thể lệ'!$E$6)),if(and($F53=K53,$G53=L53),"0",if(($F53-$G53)*(K53-L53)&gt;0,0.5*'Thể lệ'!$E$6,'Thể lệ'!$E$6)))</f>
        <v>0</v>
      </c>
      <c r="BQ53" s="43"/>
      <c r="BR53" s="43">
        <f>if($F53=$G53,if(and($F53=$G53,M53&lt;&gt;N53),'Thể lệ'!$E$6,if($F53=M53,0,0.5*'Thể lệ'!$E$6)),if(and($F53=M53,$G53=N53),"0",if(($F53-$G53)*(M53-N53)&gt;0,0.5*'Thể lệ'!$E$6,'Thể lệ'!$E$6)))</f>
        <v>0</v>
      </c>
      <c r="BS53" s="43"/>
      <c r="BT53" s="43">
        <f>if($F53=$G53,if(and($F53=$G53,O53&lt;&gt;P53),'Thể lệ'!$E$6,if($F53=O53,0,0.5*'Thể lệ'!$E$6)),if(and($F53=O53,$G53=P53),"0",if(($F53-$G53)*(O53-P53)&gt;0,0.5*'Thể lệ'!$E$6,'Thể lệ'!$E$6)))</f>
        <v>0</v>
      </c>
      <c r="BU53" s="43"/>
      <c r="BV53" s="43">
        <f>if($F53=$G53,if(and($F53=$G53,Q53&lt;&gt;R53),'Thể lệ'!$E$6,if($F53=Q53,0,0.5*'Thể lệ'!$E$6)),if(and($F53=Q53,$G53=R53),"0",if(($F53-$G53)*(Q53-R53)&gt;0,0.5*'Thể lệ'!$E$6,'Thể lệ'!$E$6)))</f>
        <v>0</v>
      </c>
      <c r="BW53" s="43"/>
      <c r="BX53" s="43">
        <f>if($F53=$G53,if(and($F53=$G53,S53&lt;&gt;T53),'Thể lệ'!$E$6,if($F53=S53,0,0.5*'Thể lệ'!$E$6)),if(and($F53=S53,$G53=T53),"0",if(($F53-$G53)*(S53-T53)&gt;0,0.5*'Thể lệ'!$E$6,'Thể lệ'!$E$6)))</f>
        <v>0</v>
      </c>
      <c r="BY53" s="43"/>
      <c r="BZ53" s="43">
        <f>if($F53=$G53,if(and($F53=$G53,U53&lt;&gt;V53),'Thể lệ'!$E$6,if($F53=U53,0,0.5*'Thể lệ'!$E$6)),if(and($F53=U53,$G53=V53),"0",if(($F53-$G53)*(U53-V53)&gt;0,0.5*'Thể lệ'!$E$6,'Thể lệ'!$E$6)))</f>
        <v>0</v>
      </c>
      <c r="CA53" s="43"/>
      <c r="CB53" s="43">
        <f>if($F53=$G53,if(and($F53=$G53,W53&lt;&gt;X53),'Thể lệ'!$E$6,if($F53=W53,0,0.5*'Thể lệ'!$E$6)),if(and($F53=W53,$G53=X53),"0",if(($F53-$G53)*(W53-X53)&gt;0,0.5*'Thể lệ'!$E$6,'Thể lệ'!$E$6)))</f>
        <v>0</v>
      </c>
      <c r="CC53" s="43"/>
      <c r="CD53" s="43">
        <f>if($F53=$G53,if(and($F53=$G53,Y53&lt;&gt;Z53),'Thể lệ'!$E$6,if($F53=Y53,0,0.5*'Thể lệ'!$E$6)),if(and($F53=Y53,$G53=Z53),"0",if(($F53-$G53)*(Y53-Z53)&gt;0,0.5*'Thể lệ'!$E$6,'Thể lệ'!$E$6)))</f>
        <v>0</v>
      </c>
      <c r="CE53" s="43"/>
      <c r="CF53" s="43">
        <f>if($F53=$G53,if(and($F53=$G53,AA53&lt;&gt;AB53),'Thể lệ'!$E$6,if($F53=AA53,0,0.5*'Thể lệ'!$E$6)),if(and($F53=AA53,$G53=AB53),"0",if(($F53-$G53)*(AA53-AB53)&gt;0,0.5*'Thể lệ'!$E$6,'Thể lệ'!$E$6)))</f>
        <v>0</v>
      </c>
      <c r="CG53" s="43"/>
      <c r="CH53" s="43">
        <f>if($F53=$G53,if(and($F53=$G53,AC53&lt;&gt;AD53),'Thể lệ'!$E$6,if($F53=AC53,0,0.5*'Thể lệ'!$E$6)),if(and($F53=AC53,$G53=AD53),"0",if(($F53-$G53)*(AC53-AD53)&gt;0,0.5*'Thể lệ'!$E$6,'Thể lệ'!$E$6)))</f>
        <v>0</v>
      </c>
      <c r="CI53" s="43"/>
      <c r="CJ53" s="43">
        <f>if($F53=$G53,if(and($F53=$G53,AE53&lt;&gt;AF53),'Thể lệ'!$E$6,if($F53=AE53,0,0.5*'Thể lệ'!$E$6)),if(and($F53=AE53,$G53=AF53),"0",if(($F53-$G53)*(AE53-AF53)&gt;0,0.5*'Thể lệ'!$E$6,'Thể lệ'!$E$6)))</f>
        <v>0</v>
      </c>
      <c r="CK53" s="43"/>
      <c r="CL53" s="43">
        <f>if($F53=$G53,if(and($F53=$G53,AG53&lt;&gt;AH53),'Thể lệ'!$E$6,if($F53=AG53,0,0.5*'Thể lệ'!$E$6)),if(and($F53=AG53,$G53=AH53),"0",if(($F53-$G53)*(AG53-AH53)&gt;0,0.5*'Thể lệ'!$E$6,'Thể lệ'!$E$6)))</f>
        <v>0</v>
      </c>
      <c r="CM53" s="43"/>
      <c r="CN53" s="43">
        <f>if($F53=$G53,if(and($F53=$G53,AI53&lt;&gt;AJ53),'Thể lệ'!$E$6,if($F53=AI53,0,0.5*'Thể lệ'!$E$6)),if(and($F53=AI53,$G53=AJ53),"0",if(($F53-$G53)*(AI53-AJ53)&gt;0,0.5*'Thể lệ'!$E$6,'Thể lệ'!$E$6)))</f>
        <v>0</v>
      </c>
      <c r="CO53" s="43"/>
      <c r="CP53" s="43">
        <f>if($F53=$G53,if(and($F53=$G53,AK53&lt;&gt;AL53),'Thể lệ'!$E$6,if($F53=AK53,0,0.5*'Thể lệ'!$E$6)),if(and($F53=AK53,$G53=AL53),"0",if(($F53-$G53)*(AK53-AL53)&gt;0,0.5*'Thể lệ'!$E$6,'Thể lệ'!$E$6)))</f>
        <v>0</v>
      </c>
      <c r="CQ53" s="43"/>
      <c r="CR53" s="43">
        <f>if($F53=$G53,if(and($F53=$G53,AM53&lt;&gt;AN53),'Thể lệ'!$E$6,if($F53=AM53,0,0.5*'Thể lệ'!$E$6)),if(and($F53=AM53,$G53=AN53),"0",if(($F53-$G53)*(AM53-AN53)&gt;0,0.5*'Thể lệ'!$E$6,'Thể lệ'!$E$6)))</f>
        <v>0</v>
      </c>
      <c r="CS53" s="43"/>
      <c r="CT53" s="44">
        <f>if($F53=$G53,if(and($F53=$G53,AO53&lt;&gt;AP53),'Thể lệ'!$E$6,if($F53=AO53,0,0.5*'Thể lệ'!$E$6)),if(and($F53=AO53,$G53=AP53),"0",if(($F53-$G53)*(AO53-AP53)&gt;0,0.5*'Thể lệ'!$E$6,'Thể lệ'!$E$6)))</f>
        <v>10000</v>
      </c>
      <c r="CU53" s="43"/>
      <c r="CV53" s="43">
        <f>if($F53=$G53,if(and($F53=$G53,AQ53&lt;&gt;AR53),'Thể lệ'!$E$6,if($F53=AQ53,0,0.5*'Thể lệ'!$E$6)),if(and($F53=AQ53,$G53=AR53),"0",if(($F53-$G53)*(AQ53-AR53)&gt;0,0.5*'Thể lệ'!$E$6,'Thể lệ'!$E$6)))</f>
        <v>0</v>
      </c>
      <c r="CW53" s="43"/>
      <c r="CX53" s="44">
        <f>if($F53=$G53,if(and($F53=$G53,AS53&lt;&gt;AT53),'Thể lệ'!$E$6,if($F53=AS53,0,0.5*'Thể lệ'!$E$6)),if(and($F53=AS53,$G53=AT53),"0",if(($F53-$G53)*(AS53-AT53)&gt;0,0.5*'Thể lệ'!$E$6,'Thể lệ'!$E$6)))</f>
        <v>10000</v>
      </c>
      <c r="CY53" s="43"/>
      <c r="CZ53" s="43">
        <f>if($F53=$G53,if(and($F53=$G53,AU53&lt;&gt;AV53),'Thể lệ'!$E$6,if($F53=AU53,0,0.5*'Thể lệ'!$E$6)),if(and($F53=AU53,$G53=AV53),"0",if(($F53-$G53)*(AU53-AV53)&gt;0,0.5*'Thể lệ'!$E$6,'Thể lệ'!$E$6)))</f>
        <v>0</v>
      </c>
      <c r="DA53" s="43"/>
      <c r="DB53" s="43">
        <f>if($F53=$G53,if(and($F53=$G53,AW53&lt;&gt;AX53),'Thể lệ'!$E$6,if($F53=AW53,0,0.5*'Thể lệ'!$E$6)),if(and($F53=AW53,$G53=AX53),"0",if(($F53-$G53)*(AW53-AX53)&gt;0,0.5*'Thể lệ'!$E$6,'Thể lệ'!$E$6)))</f>
        <v>0</v>
      </c>
      <c r="DC53" s="43"/>
      <c r="DD53" s="43">
        <f>if($F53=$G53,if(and($F53=$G53,AY53&lt;&gt;AZ53),'Thể lệ'!$E$6,if($F53=AY53,0,0.5*'Thể lệ'!$E$6)),if(and($F53=AY53,$G53=AZ53),"0",if(($F53-$G53)*(AY53-AZ53)&gt;0,0.5*'Thể lệ'!$E$6,'Thể lệ'!$E$6)))</f>
        <v>0</v>
      </c>
      <c r="DE53" s="43"/>
      <c r="DF53" s="43">
        <f>if($F53=$G53,if(and($F53=$G53,BA53&lt;&gt;BB53),'Thể lệ'!$E$6,if($F53=BA53,0,0.5*'Thể lệ'!$E$6)),if(and($F53=BA53,$G53=BB53),"0",if(($F53-$G53)*(BA53-BB53)&gt;0,0.5*'Thể lệ'!$E$6,'Thể lệ'!$E$6)))</f>
        <v>0</v>
      </c>
      <c r="DG53" s="43"/>
      <c r="DH53" s="44">
        <f>if($F53=$G53,if(and($F53=$G53,BC53&lt;&gt;BD53),'Thể lệ'!$E$6,if($F53=BC53,0,0.5*'Thể lệ'!$E$6)),if(and($F53=BC53,$G53=BD53),"0",if(($F53-$G53)*(BC53-BD53)&gt;0,0.5*'Thể lệ'!$E$6,'Thể lệ'!$E$6)))</f>
        <v>10000</v>
      </c>
      <c r="DI53" s="43"/>
      <c r="DJ53" s="43">
        <f>if($F53=$G53,if(and($F53=$G53,BE53&lt;&gt;BF53),'Thể lệ'!$E$6,if($F53=BE53,0,0.5*'Thể lệ'!$E$6)),if(and($F53=BE53,$G53=BF53),"0",if(($F53-$G53)*(BE53-BF53)&gt;0,0.5*'Thể lệ'!$E$6,'Thể lệ'!$E$6)))</f>
        <v>0</v>
      </c>
      <c r="DK53" s="43"/>
      <c r="DL53" s="43">
        <f>if($F53=$G53,if(and($F53=$G53,BG53&lt;&gt;BH53),'Thể lệ'!$E$6,if($F53=BG53,0,0.5*'Thể lệ'!$E$6)),if(and($F53=BG53,$G53=BH53),"0",if(($F53-$G53)*(BG53-BH53)&gt;0,0.5*'Thể lệ'!$E$6,'Thể lệ'!$E$6)))</f>
        <v>0</v>
      </c>
      <c r="DM53" s="43"/>
      <c r="DN53" s="44">
        <f>if($F53=$G53,if(and($F53=$G53,BI53&lt;&gt;BJ53),'Thể lệ'!$E$6,if($F53=BI53,0,0.5*'Thể lệ'!$E$6)),if(and($F53=BI53,$G53=BJ53),"0",if(($F53-$G53)*(BI53-BJ53)&gt;0,0.5*'Thể lệ'!$E$6,'Thể lệ'!$E$6)))</f>
        <v>10000</v>
      </c>
      <c r="DO53" s="43"/>
      <c r="DP53" s="43"/>
    </row>
    <row r="54">
      <c r="B54" s="22">
        <v>48.0</v>
      </c>
      <c r="C54" s="56">
        <v>46197.37499999999</v>
      </c>
      <c r="D54" s="57">
        <v>46197.37499999999</v>
      </c>
      <c r="E54" s="58" t="s">
        <v>79</v>
      </c>
      <c r="F54" s="23"/>
      <c r="G54" s="23"/>
      <c r="H54" s="58" t="s">
        <v>73</v>
      </c>
      <c r="I54" s="37"/>
      <c r="J54" s="37"/>
      <c r="K54" s="37"/>
      <c r="L54" s="37"/>
      <c r="M54" s="37"/>
      <c r="N54" s="37"/>
      <c r="O54" s="37"/>
      <c r="P54" s="37"/>
      <c r="Q54" s="37" t="str">
        <f t="shared" si="4"/>
        <v/>
      </c>
      <c r="R54" s="37" t="str">
        <f t="shared" si="6"/>
        <v/>
      </c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>
        <v>2.0</v>
      </c>
      <c r="AP54" s="37">
        <v>2.0</v>
      </c>
      <c r="AQ54" s="37"/>
      <c r="AR54" s="37"/>
      <c r="AS54" s="40">
        <v>3.0</v>
      </c>
      <c r="AT54" s="40">
        <v>0.0</v>
      </c>
      <c r="AU54" s="37"/>
      <c r="AV54" s="37"/>
      <c r="AW54" s="37"/>
      <c r="AX54" s="37"/>
      <c r="AY54" s="37"/>
      <c r="AZ54" s="37"/>
      <c r="BA54" s="37"/>
      <c r="BB54" s="37"/>
      <c r="BC54" s="37">
        <v>2.0</v>
      </c>
      <c r="BD54" s="37">
        <v>0.0</v>
      </c>
      <c r="BE54" s="42"/>
      <c r="BF54" s="37"/>
      <c r="BG54" s="37"/>
      <c r="BH54" s="37"/>
      <c r="BI54" s="37">
        <f>H.Son!H54</f>
        <v>2</v>
      </c>
      <c r="BJ54" s="37">
        <f>H.Son!I54</f>
        <v>0</v>
      </c>
      <c r="BK54" s="37"/>
      <c r="BL54" s="37"/>
      <c r="BM54" s="15"/>
      <c r="BN54" s="43">
        <f>if($F54=$G54,if(and($F54=$G54,I54&lt;&gt;J54),'Thể lệ'!$E$6,if($F54=I54,0,0.5*'Thể lệ'!$E$6)),if(and($F54=I54,$G54=J54),"0",if(($F54-$G54)*(I54-J54)&gt;0,0.5*'Thể lệ'!$E$6,'Thể lệ'!$E$6)))</f>
        <v>0</v>
      </c>
      <c r="BO54" s="43"/>
      <c r="BP54" s="43">
        <f>if($F54=$G54,if(and($F54=$G54,K54&lt;&gt;L54),'Thể lệ'!$E$6,if($F54=K54,0,0.5*'Thể lệ'!$E$6)),if(and($F54=K54,$G54=L54),"0",if(($F54-$G54)*(K54-L54)&gt;0,0.5*'Thể lệ'!$E$6,'Thể lệ'!$E$6)))</f>
        <v>0</v>
      </c>
      <c r="BQ54" s="43"/>
      <c r="BR54" s="43">
        <f>if($F54=$G54,if(and($F54=$G54,M54&lt;&gt;N54),'Thể lệ'!$E$6,if($F54=M54,0,0.5*'Thể lệ'!$E$6)),if(and($F54=M54,$G54=N54),"0",if(($F54-$G54)*(M54-N54)&gt;0,0.5*'Thể lệ'!$E$6,'Thể lệ'!$E$6)))</f>
        <v>0</v>
      </c>
      <c r="BS54" s="43"/>
      <c r="BT54" s="43">
        <f>if($F54=$G54,if(and($F54=$G54,O54&lt;&gt;P54),'Thể lệ'!$E$6,if($F54=O54,0,0.5*'Thể lệ'!$E$6)),if(and($F54=O54,$G54=P54),"0",if(($F54-$G54)*(O54-P54)&gt;0,0.5*'Thể lệ'!$E$6,'Thể lệ'!$E$6)))</f>
        <v>0</v>
      </c>
      <c r="BU54" s="43"/>
      <c r="BV54" s="43">
        <f>if($F54=$G54,if(and($F54=$G54,Q54&lt;&gt;R54),'Thể lệ'!$E$6,if($F54=Q54,0,0.5*'Thể lệ'!$E$6)),if(and($F54=Q54,$G54=R54),"0",if(($F54-$G54)*(Q54-R54)&gt;0,0.5*'Thể lệ'!$E$6,'Thể lệ'!$E$6)))</f>
        <v>0</v>
      </c>
      <c r="BW54" s="43"/>
      <c r="BX54" s="43">
        <f>if($F54=$G54,if(and($F54=$G54,S54&lt;&gt;T54),'Thể lệ'!$E$6,if($F54=S54,0,0.5*'Thể lệ'!$E$6)),if(and($F54=S54,$G54=T54),"0",if(($F54-$G54)*(S54-T54)&gt;0,0.5*'Thể lệ'!$E$6,'Thể lệ'!$E$6)))</f>
        <v>0</v>
      </c>
      <c r="BY54" s="43"/>
      <c r="BZ54" s="43">
        <f>if($F54=$G54,if(and($F54=$G54,U54&lt;&gt;V54),'Thể lệ'!$E$6,if($F54=U54,0,0.5*'Thể lệ'!$E$6)),if(and($F54=U54,$G54=V54),"0",if(($F54-$G54)*(U54-V54)&gt;0,0.5*'Thể lệ'!$E$6,'Thể lệ'!$E$6)))</f>
        <v>0</v>
      </c>
      <c r="CA54" s="43"/>
      <c r="CB54" s="43">
        <f>if($F54=$G54,if(and($F54=$G54,W54&lt;&gt;X54),'Thể lệ'!$E$6,if($F54=W54,0,0.5*'Thể lệ'!$E$6)),if(and($F54=W54,$G54=X54),"0",if(($F54-$G54)*(W54-X54)&gt;0,0.5*'Thể lệ'!$E$6,'Thể lệ'!$E$6)))</f>
        <v>0</v>
      </c>
      <c r="CC54" s="43"/>
      <c r="CD54" s="43">
        <f>if($F54=$G54,if(and($F54=$G54,Y54&lt;&gt;Z54),'Thể lệ'!$E$6,if($F54=Y54,0,0.5*'Thể lệ'!$E$6)),if(and($F54=Y54,$G54=Z54),"0",if(($F54-$G54)*(Y54-Z54)&gt;0,0.5*'Thể lệ'!$E$6,'Thể lệ'!$E$6)))</f>
        <v>0</v>
      </c>
      <c r="CE54" s="43"/>
      <c r="CF54" s="43">
        <f>if($F54=$G54,if(and($F54=$G54,AA54&lt;&gt;AB54),'Thể lệ'!$E$6,if($F54=AA54,0,0.5*'Thể lệ'!$E$6)),if(and($F54=AA54,$G54=AB54),"0",if(($F54-$G54)*(AA54-AB54)&gt;0,0.5*'Thể lệ'!$E$6,'Thể lệ'!$E$6)))</f>
        <v>0</v>
      </c>
      <c r="CG54" s="43"/>
      <c r="CH54" s="43">
        <f>if($F54=$G54,if(and($F54=$G54,AC54&lt;&gt;AD54),'Thể lệ'!$E$6,if($F54=AC54,0,0.5*'Thể lệ'!$E$6)),if(and($F54=AC54,$G54=AD54),"0",if(($F54-$G54)*(AC54-AD54)&gt;0,0.5*'Thể lệ'!$E$6,'Thể lệ'!$E$6)))</f>
        <v>0</v>
      </c>
      <c r="CI54" s="43"/>
      <c r="CJ54" s="43">
        <f>if($F54=$G54,if(and($F54=$G54,AE54&lt;&gt;AF54),'Thể lệ'!$E$6,if($F54=AE54,0,0.5*'Thể lệ'!$E$6)),if(and($F54=AE54,$G54=AF54),"0",if(($F54-$G54)*(AE54-AF54)&gt;0,0.5*'Thể lệ'!$E$6,'Thể lệ'!$E$6)))</f>
        <v>0</v>
      </c>
      <c r="CK54" s="43"/>
      <c r="CL54" s="43">
        <f>if($F54=$G54,if(and($F54=$G54,AG54&lt;&gt;AH54),'Thể lệ'!$E$6,if($F54=AG54,0,0.5*'Thể lệ'!$E$6)),if(and($F54=AG54,$G54=AH54),"0",if(($F54-$G54)*(AG54-AH54)&gt;0,0.5*'Thể lệ'!$E$6,'Thể lệ'!$E$6)))</f>
        <v>0</v>
      </c>
      <c r="CM54" s="43"/>
      <c r="CN54" s="43">
        <f>if($F54=$G54,if(and($F54=$G54,AI54&lt;&gt;AJ54),'Thể lệ'!$E$6,if($F54=AI54,0,0.5*'Thể lệ'!$E$6)),if(and($F54=AI54,$G54=AJ54),"0",if(($F54-$G54)*(AI54-AJ54)&gt;0,0.5*'Thể lệ'!$E$6,'Thể lệ'!$E$6)))</f>
        <v>0</v>
      </c>
      <c r="CO54" s="43"/>
      <c r="CP54" s="43">
        <f>if($F54=$G54,if(and($F54=$G54,AK54&lt;&gt;AL54),'Thể lệ'!$E$6,if($F54=AK54,0,0.5*'Thể lệ'!$E$6)),if(and($F54=AK54,$G54=AL54),"0",if(($F54-$G54)*(AK54-AL54)&gt;0,0.5*'Thể lệ'!$E$6,'Thể lệ'!$E$6)))</f>
        <v>0</v>
      </c>
      <c r="CQ54" s="43"/>
      <c r="CR54" s="43">
        <f>if($F54=$G54,if(and($F54=$G54,AM54&lt;&gt;AN54),'Thể lệ'!$E$6,if($F54=AM54,0,0.5*'Thể lệ'!$E$6)),if(and($F54=AM54,$G54=AN54),"0",if(($F54-$G54)*(AM54-AN54)&gt;0,0.5*'Thể lệ'!$E$6,'Thể lệ'!$E$6)))</f>
        <v>0</v>
      </c>
      <c r="CS54" s="43"/>
      <c r="CT54" s="44">
        <f>if($F54=$G54,if(and($F54=$G54,AO54&lt;&gt;AP54),'Thể lệ'!$E$6,if($F54=AO54,0,0.5*'Thể lệ'!$E$6)),if(and($F54=AO54,$G54=AP54),"0",if(($F54-$G54)*(AO54-AP54)&gt;0,0.5*'Thể lệ'!$E$6,'Thể lệ'!$E$6)))</f>
        <v>5000</v>
      </c>
      <c r="CU54" s="43"/>
      <c r="CV54" s="43">
        <f>if($F54=$G54,if(and($F54=$G54,AQ54&lt;&gt;AR54),'Thể lệ'!$E$6,if($F54=AQ54,0,0.5*'Thể lệ'!$E$6)),if(and($F54=AQ54,$G54=AR54),"0",if(($F54-$G54)*(AQ54-AR54)&gt;0,0.5*'Thể lệ'!$E$6,'Thể lệ'!$E$6)))</f>
        <v>0</v>
      </c>
      <c r="CW54" s="43"/>
      <c r="CX54" s="44">
        <f>if($F54=$G54,if(and($F54=$G54,AS54&lt;&gt;AT54),'Thể lệ'!$E$6,if($F54=AS54,0,0.5*'Thể lệ'!$E$6)),if(and($F54=AS54,$G54=AT54),"0",if(($F54-$G54)*(AS54-AT54)&gt;0,0.5*'Thể lệ'!$E$6,'Thể lệ'!$E$6)))</f>
        <v>10000</v>
      </c>
      <c r="CY54" s="43"/>
      <c r="CZ54" s="43">
        <f>if($F54=$G54,if(and($F54=$G54,AU54&lt;&gt;AV54),'Thể lệ'!$E$6,if($F54=AU54,0,0.5*'Thể lệ'!$E$6)),if(and($F54=AU54,$G54=AV54),"0",if(($F54-$G54)*(AU54-AV54)&gt;0,0.5*'Thể lệ'!$E$6,'Thể lệ'!$E$6)))</f>
        <v>0</v>
      </c>
      <c r="DA54" s="43"/>
      <c r="DB54" s="43">
        <f>if($F54=$G54,if(and($F54=$G54,AW54&lt;&gt;AX54),'Thể lệ'!$E$6,if($F54=AW54,0,0.5*'Thể lệ'!$E$6)),if(and($F54=AW54,$G54=AX54),"0",if(($F54-$G54)*(AW54-AX54)&gt;0,0.5*'Thể lệ'!$E$6,'Thể lệ'!$E$6)))</f>
        <v>0</v>
      </c>
      <c r="DC54" s="43"/>
      <c r="DD54" s="43">
        <f>if($F54=$G54,if(and($F54=$G54,AY54&lt;&gt;AZ54),'Thể lệ'!$E$6,if($F54=AY54,0,0.5*'Thể lệ'!$E$6)),if(and($F54=AY54,$G54=AZ54),"0",if(($F54-$G54)*(AY54-AZ54)&gt;0,0.5*'Thể lệ'!$E$6,'Thể lệ'!$E$6)))</f>
        <v>0</v>
      </c>
      <c r="DE54" s="43"/>
      <c r="DF54" s="43">
        <f>if($F54=$G54,if(and($F54=$G54,BA54&lt;&gt;BB54),'Thể lệ'!$E$6,if($F54=BA54,0,0.5*'Thể lệ'!$E$6)),if(and($F54=BA54,$G54=BB54),"0",if(($F54-$G54)*(BA54-BB54)&gt;0,0.5*'Thể lệ'!$E$6,'Thể lệ'!$E$6)))</f>
        <v>0</v>
      </c>
      <c r="DG54" s="43"/>
      <c r="DH54" s="44">
        <f>if($F54=$G54,if(and($F54=$G54,BC54&lt;&gt;BD54),'Thể lệ'!$E$6,if($F54=BC54,0,0.5*'Thể lệ'!$E$6)),if(and($F54=BC54,$G54=BD54),"0",if(($F54-$G54)*(BC54-BD54)&gt;0,0.5*'Thể lệ'!$E$6,'Thể lệ'!$E$6)))</f>
        <v>10000</v>
      </c>
      <c r="DI54" s="43"/>
      <c r="DJ54" s="43">
        <f>if($F54=$G54,if(and($F54=$G54,BE54&lt;&gt;BF54),'Thể lệ'!$E$6,if($F54=BE54,0,0.5*'Thể lệ'!$E$6)),if(and($F54=BE54,$G54=BF54),"0",if(($F54-$G54)*(BE54-BF54)&gt;0,0.5*'Thể lệ'!$E$6,'Thể lệ'!$E$6)))</f>
        <v>0</v>
      </c>
      <c r="DK54" s="43"/>
      <c r="DL54" s="43">
        <f>if($F54=$G54,if(and($F54=$G54,BG54&lt;&gt;BH54),'Thể lệ'!$E$6,if($F54=BG54,0,0.5*'Thể lệ'!$E$6)),if(and($F54=BG54,$G54=BH54),"0",if(($F54-$G54)*(BG54-BH54)&gt;0,0.5*'Thể lệ'!$E$6,'Thể lệ'!$E$6)))</f>
        <v>0</v>
      </c>
      <c r="DM54" s="43"/>
      <c r="DN54" s="44">
        <f>if($F54=$G54,if(and($F54=$G54,BI54&lt;&gt;BJ54),'Thể lệ'!$E$6,if($F54=BI54,0,0.5*'Thể lệ'!$E$6)),if(and($F54=BI54,$G54=BJ54),"0",if(($F54-$G54)*(BI54-BJ54)&gt;0,0.5*'Thể lệ'!$E$6,'Thể lệ'!$E$6)))</f>
        <v>10000</v>
      </c>
      <c r="DO54" s="43"/>
      <c r="DP54" s="43"/>
    </row>
    <row r="55">
      <c r="B55" s="22">
        <v>49.0</v>
      </c>
      <c r="C55" s="56">
        <v>46198.08333333333</v>
      </c>
      <c r="D55" s="57">
        <v>46198.08333333333</v>
      </c>
      <c r="E55" s="58" t="s">
        <v>41</v>
      </c>
      <c r="F55" s="23"/>
      <c r="G55" s="23"/>
      <c r="H55" s="58" t="s">
        <v>36</v>
      </c>
      <c r="I55" s="37"/>
      <c r="J55" s="37"/>
      <c r="K55" s="37"/>
      <c r="L55" s="37"/>
      <c r="M55" s="37"/>
      <c r="N55" s="37"/>
      <c r="O55" s="37"/>
      <c r="P55" s="37"/>
      <c r="Q55" s="37" t="str">
        <f t="shared" si="4"/>
        <v/>
      </c>
      <c r="R55" s="37" t="str">
        <f t="shared" si="6"/>
        <v/>
      </c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>
        <v>2.0</v>
      </c>
      <c r="AP55" s="37">
        <v>2.0</v>
      </c>
      <c r="AQ55" s="37"/>
      <c r="AR55" s="37"/>
      <c r="AS55" s="40">
        <v>2.0</v>
      </c>
      <c r="AT55" s="40">
        <v>0.0</v>
      </c>
      <c r="AU55" s="37"/>
      <c r="AV55" s="37"/>
      <c r="AW55" s="37"/>
      <c r="AX55" s="37"/>
      <c r="AY55" s="37"/>
      <c r="AZ55" s="37"/>
      <c r="BA55" s="37"/>
      <c r="BB55" s="37"/>
      <c r="BC55" s="37">
        <v>2.0</v>
      </c>
      <c r="BD55" s="37">
        <v>1.0</v>
      </c>
      <c r="BE55" s="42"/>
      <c r="BF55" s="37"/>
      <c r="BG55" s="37"/>
      <c r="BH55" s="37"/>
      <c r="BI55" s="37">
        <f>H.Son!H55</f>
        <v>1</v>
      </c>
      <c r="BJ55" s="37">
        <f>H.Son!I55</f>
        <v>0</v>
      </c>
      <c r="BK55" s="37"/>
      <c r="BL55" s="37"/>
      <c r="BM55" s="15"/>
      <c r="BN55" s="43">
        <f>if($F55=$G55,if(and($F55=$G55,I55&lt;&gt;J55),'Thể lệ'!$E$6,if($F55=I55,0,0.5*'Thể lệ'!$E$6)),if(and($F55=I55,$G55=J55),"0",if(($F55-$G55)*(I55-J55)&gt;0,0.5*'Thể lệ'!$E$6,'Thể lệ'!$E$6)))</f>
        <v>0</v>
      </c>
      <c r="BO55" s="43"/>
      <c r="BP55" s="43">
        <f>if($F55=$G55,if(and($F55=$G55,K55&lt;&gt;L55),'Thể lệ'!$E$6,if($F55=K55,0,0.5*'Thể lệ'!$E$6)),if(and($F55=K55,$G55=L55),"0",if(($F55-$G55)*(K55-L55)&gt;0,0.5*'Thể lệ'!$E$6,'Thể lệ'!$E$6)))</f>
        <v>0</v>
      </c>
      <c r="BQ55" s="43"/>
      <c r="BR55" s="43">
        <f>if($F55=$G55,if(and($F55=$G55,M55&lt;&gt;N55),'Thể lệ'!$E$6,if($F55=M55,0,0.5*'Thể lệ'!$E$6)),if(and($F55=M55,$G55=N55),"0",if(($F55-$G55)*(M55-N55)&gt;0,0.5*'Thể lệ'!$E$6,'Thể lệ'!$E$6)))</f>
        <v>0</v>
      </c>
      <c r="BS55" s="43"/>
      <c r="BT55" s="43">
        <f>if($F55=$G55,if(and($F55=$G55,O55&lt;&gt;P55),'Thể lệ'!$E$6,if($F55=O55,0,0.5*'Thể lệ'!$E$6)),if(and($F55=O55,$G55=P55),"0",if(($F55-$G55)*(O55-P55)&gt;0,0.5*'Thể lệ'!$E$6,'Thể lệ'!$E$6)))</f>
        <v>0</v>
      </c>
      <c r="BU55" s="43"/>
      <c r="BV55" s="43">
        <f>if($F55=$G55,if(and($F55=$G55,Q55&lt;&gt;R55),'Thể lệ'!$E$6,if($F55=Q55,0,0.5*'Thể lệ'!$E$6)),if(and($F55=Q55,$G55=R55),"0",if(($F55-$G55)*(Q55-R55)&gt;0,0.5*'Thể lệ'!$E$6,'Thể lệ'!$E$6)))</f>
        <v>0</v>
      </c>
      <c r="BW55" s="43"/>
      <c r="BX55" s="43">
        <f>if($F55=$G55,if(and($F55=$G55,S55&lt;&gt;T55),'Thể lệ'!$E$6,if($F55=S55,0,0.5*'Thể lệ'!$E$6)),if(and($F55=S55,$G55=T55),"0",if(($F55-$G55)*(S55-T55)&gt;0,0.5*'Thể lệ'!$E$6,'Thể lệ'!$E$6)))</f>
        <v>0</v>
      </c>
      <c r="BY55" s="43"/>
      <c r="BZ55" s="43">
        <f>if($F55=$G55,if(and($F55=$G55,U55&lt;&gt;V55),'Thể lệ'!$E$6,if($F55=U55,0,0.5*'Thể lệ'!$E$6)),if(and($F55=U55,$G55=V55),"0",if(($F55-$G55)*(U55-V55)&gt;0,0.5*'Thể lệ'!$E$6,'Thể lệ'!$E$6)))</f>
        <v>0</v>
      </c>
      <c r="CA55" s="43"/>
      <c r="CB55" s="43">
        <f>if($F55=$G55,if(and($F55=$G55,W55&lt;&gt;X55),'Thể lệ'!$E$6,if($F55=W55,0,0.5*'Thể lệ'!$E$6)),if(and($F55=W55,$G55=X55),"0",if(($F55-$G55)*(W55-X55)&gt;0,0.5*'Thể lệ'!$E$6,'Thể lệ'!$E$6)))</f>
        <v>0</v>
      </c>
      <c r="CC55" s="43"/>
      <c r="CD55" s="43">
        <f>if($F55=$G55,if(and($F55=$G55,Y55&lt;&gt;Z55),'Thể lệ'!$E$6,if($F55=Y55,0,0.5*'Thể lệ'!$E$6)),if(and($F55=Y55,$G55=Z55),"0",if(($F55-$G55)*(Y55-Z55)&gt;0,0.5*'Thể lệ'!$E$6,'Thể lệ'!$E$6)))</f>
        <v>0</v>
      </c>
      <c r="CE55" s="43"/>
      <c r="CF55" s="43">
        <f>if($F55=$G55,if(and($F55=$G55,AA55&lt;&gt;AB55),'Thể lệ'!$E$6,if($F55=AA55,0,0.5*'Thể lệ'!$E$6)),if(and($F55=AA55,$G55=AB55),"0",if(($F55-$G55)*(AA55-AB55)&gt;0,0.5*'Thể lệ'!$E$6,'Thể lệ'!$E$6)))</f>
        <v>0</v>
      </c>
      <c r="CG55" s="43"/>
      <c r="CH55" s="43">
        <f>if($F55=$G55,if(and($F55=$G55,AC55&lt;&gt;AD55),'Thể lệ'!$E$6,if($F55=AC55,0,0.5*'Thể lệ'!$E$6)),if(and($F55=AC55,$G55=AD55),"0",if(($F55-$G55)*(AC55-AD55)&gt;0,0.5*'Thể lệ'!$E$6,'Thể lệ'!$E$6)))</f>
        <v>0</v>
      </c>
      <c r="CI55" s="43"/>
      <c r="CJ55" s="43">
        <f>if($F55=$G55,if(and($F55=$G55,AE55&lt;&gt;AF55),'Thể lệ'!$E$6,if($F55=AE55,0,0.5*'Thể lệ'!$E$6)),if(and($F55=AE55,$G55=AF55),"0",if(($F55-$G55)*(AE55-AF55)&gt;0,0.5*'Thể lệ'!$E$6,'Thể lệ'!$E$6)))</f>
        <v>0</v>
      </c>
      <c r="CK55" s="43"/>
      <c r="CL55" s="43">
        <f>if($F55=$G55,if(and($F55=$G55,AG55&lt;&gt;AH55),'Thể lệ'!$E$6,if($F55=AG55,0,0.5*'Thể lệ'!$E$6)),if(and($F55=AG55,$G55=AH55),"0",if(($F55-$G55)*(AG55-AH55)&gt;0,0.5*'Thể lệ'!$E$6,'Thể lệ'!$E$6)))</f>
        <v>0</v>
      </c>
      <c r="CM55" s="43"/>
      <c r="CN55" s="43">
        <f>if($F55=$G55,if(and($F55=$G55,AI55&lt;&gt;AJ55),'Thể lệ'!$E$6,if($F55=AI55,0,0.5*'Thể lệ'!$E$6)),if(and($F55=AI55,$G55=AJ55),"0",if(($F55-$G55)*(AI55-AJ55)&gt;0,0.5*'Thể lệ'!$E$6,'Thể lệ'!$E$6)))</f>
        <v>0</v>
      </c>
      <c r="CO55" s="43"/>
      <c r="CP55" s="43">
        <f>if($F55=$G55,if(and($F55=$G55,AK55&lt;&gt;AL55),'Thể lệ'!$E$6,if($F55=AK55,0,0.5*'Thể lệ'!$E$6)),if(and($F55=AK55,$G55=AL55),"0",if(($F55-$G55)*(AK55-AL55)&gt;0,0.5*'Thể lệ'!$E$6,'Thể lệ'!$E$6)))</f>
        <v>0</v>
      </c>
      <c r="CQ55" s="43"/>
      <c r="CR55" s="43">
        <f>if($F55=$G55,if(and($F55=$G55,AM55&lt;&gt;AN55),'Thể lệ'!$E$6,if($F55=AM55,0,0.5*'Thể lệ'!$E$6)),if(and($F55=AM55,$G55=AN55),"0",if(($F55-$G55)*(AM55-AN55)&gt;0,0.5*'Thể lệ'!$E$6,'Thể lệ'!$E$6)))</f>
        <v>0</v>
      </c>
      <c r="CS55" s="43"/>
      <c r="CT55" s="44">
        <f>if($F55=$G55,if(and($F55=$G55,AO55&lt;&gt;AP55),'Thể lệ'!$E$6,if($F55=AO55,0,0.5*'Thể lệ'!$E$6)),if(and($F55=AO55,$G55=AP55),"0",if(($F55-$G55)*(AO55-AP55)&gt;0,0.5*'Thể lệ'!$E$6,'Thể lệ'!$E$6)))</f>
        <v>5000</v>
      </c>
      <c r="CU55" s="43"/>
      <c r="CV55" s="43">
        <f>if($F55=$G55,if(and($F55=$G55,AQ55&lt;&gt;AR55),'Thể lệ'!$E$6,if($F55=AQ55,0,0.5*'Thể lệ'!$E$6)),if(and($F55=AQ55,$G55=AR55),"0",if(($F55-$G55)*(AQ55-AR55)&gt;0,0.5*'Thể lệ'!$E$6,'Thể lệ'!$E$6)))</f>
        <v>0</v>
      </c>
      <c r="CW55" s="43"/>
      <c r="CX55" s="44">
        <f>if($F55=$G55,if(and($F55=$G55,AS55&lt;&gt;AT55),'Thể lệ'!$E$6,if($F55=AS55,0,0.5*'Thể lệ'!$E$6)),if(and($F55=AS55,$G55=AT55),"0",if(($F55-$G55)*(AS55-AT55)&gt;0,0.5*'Thể lệ'!$E$6,'Thể lệ'!$E$6)))</f>
        <v>10000</v>
      </c>
      <c r="CY55" s="43"/>
      <c r="CZ55" s="43">
        <f>if($F55=$G55,if(and($F55=$G55,AU55&lt;&gt;AV55),'Thể lệ'!$E$6,if($F55=AU55,0,0.5*'Thể lệ'!$E$6)),if(and($F55=AU55,$G55=AV55),"0",if(($F55-$G55)*(AU55-AV55)&gt;0,0.5*'Thể lệ'!$E$6,'Thể lệ'!$E$6)))</f>
        <v>0</v>
      </c>
      <c r="DA55" s="43"/>
      <c r="DB55" s="43">
        <f>if($F55=$G55,if(and($F55=$G55,AW55&lt;&gt;AX55),'Thể lệ'!$E$6,if($F55=AW55,0,0.5*'Thể lệ'!$E$6)),if(and($F55=AW55,$G55=AX55),"0",if(($F55-$G55)*(AW55-AX55)&gt;0,0.5*'Thể lệ'!$E$6,'Thể lệ'!$E$6)))</f>
        <v>0</v>
      </c>
      <c r="DC55" s="43"/>
      <c r="DD55" s="43">
        <f>if($F55=$G55,if(and($F55=$G55,AY55&lt;&gt;AZ55),'Thể lệ'!$E$6,if($F55=AY55,0,0.5*'Thể lệ'!$E$6)),if(and($F55=AY55,$G55=AZ55),"0",if(($F55-$G55)*(AY55-AZ55)&gt;0,0.5*'Thể lệ'!$E$6,'Thể lệ'!$E$6)))</f>
        <v>0</v>
      </c>
      <c r="DE55" s="43"/>
      <c r="DF55" s="43">
        <f>if($F55=$G55,if(and($F55=$G55,BA55&lt;&gt;BB55),'Thể lệ'!$E$6,if($F55=BA55,0,0.5*'Thể lệ'!$E$6)),if(and($F55=BA55,$G55=BB55),"0",if(($F55-$G55)*(BA55-BB55)&gt;0,0.5*'Thể lệ'!$E$6,'Thể lệ'!$E$6)))</f>
        <v>0</v>
      </c>
      <c r="DG55" s="43"/>
      <c r="DH55" s="44">
        <f>if($F55=$G55,if(and($F55=$G55,BC55&lt;&gt;BD55),'Thể lệ'!$E$6,if($F55=BC55,0,0.5*'Thể lệ'!$E$6)),if(and($F55=BC55,$G55=BD55),"0",if(($F55-$G55)*(BC55-BD55)&gt;0,0.5*'Thể lệ'!$E$6,'Thể lệ'!$E$6)))</f>
        <v>10000</v>
      </c>
      <c r="DI55" s="43"/>
      <c r="DJ55" s="43">
        <f>if($F55=$G55,if(and($F55=$G55,BE55&lt;&gt;BF55),'Thể lệ'!$E$6,if($F55=BE55,0,0.5*'Thể lệ'!$E$6)),if(and($F55=BE55,$G55=BF55),"0",if(($F55-$G55)*(BE55-BF55)&gt;0,0.5*'Thể lệ'!$E$6,'Thể lệ'!$E$6)))</f>
        <v>0</v>
      </c>
      <c r="DK55" s="43"/>
      <c r="DL55" s="43">
        <f>if($F55=$G55,if(and($F55=$G55,BG55&lt;&gt;BH55),'Thể lệ'!$E$6,if($F55=BG55,0,0.5*'Thể lệ'!$E$6)),if(and($F55=BG55,$G55=BH55),"0",if(($F55-$G55)*(BG55-BH55)&gt;0,0.5*'Thể lệ'!$E$6,'Thể lệ'!$E$6)))</f>
        <v>0</v>
      </c>
      <c r="DM55" s="43"/>
      <c r="DN55" s="44">
        <f>if($F55=$G55,if(and($F55=$G55,BI55&lt;&gt;BJ55),'Thể lệ'!$E$6,if($F55=BI55,0,0.5*'Thể lệ'!$E$6)),if(and($F55=BI55,$G55=BJ55),"0",if(($F55-$G55)*(BI55-BJ55)&gt;0,0.5*'Thể lệ'!$E$6,'Thể lệ'!$E$6)))</f>
        <v>10000</v>
      </c>
      <c r="DO55" s="43"/>
      <c r="DP55" s="43"/>
    </row>
    <row r="56">
      <c r="B56" s="22">
        <v>50.0</v>
      </c>
      <c r="C56" s="56">
        <v>46198.08333333333</v>
      </c>
      <c r="D56" s="57">
        <v>46198.08333333333</v>
      </c>
      <c r="E56" s="58" t="s">
        <v>37</v>
      </c>
      <c r="F56" s="23"/>
      <c r="G56" s="23"/>
      <c r="H56" s="58" t="s">
        <v>40</v>
      </c>
      <c r="I56" s="37"/>
      <c r="J56" s="37"/>
      <c r="K56" s="37"/>
      <c r="L56" s="37"/>
      <c r="M56" s="37"/>
      <c r="N56" s="37"/>
      <c r="O56" s="37"/>
      <c r="P56" s="37"/>
      <c r="Q56" s="37" t="str">
        <f t="shared" si="4"/>
        <v/>
      </c>
      <c r="R56" s="37" t="str">
        <f t="shared" si="6"/>
        <v/>
      </c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>
        <v>2.0</v>
      </c>
      <c r="AP56" s="37">
        <v>1.0</v>
      </c>
      <c r="AQ56" s="37"/>
      <c r="AR56" s="37"/>
      <c r="AS56" s="40">
        <v>1.0</v>
      </c>
      <c r="AT56" s="40">
        <v>1.0</v>
      </c>
      <c r="AU56" s="37"/>
      <c r="AV56" s="37"/>
      <c r="AW56" s="37"/>
      <c r="AX56" s="37"/>
      <c r="AY56" s="37"/>
      <c r="AZ56" s="37"/>
      <c r="BA56" s="37"/>
      <c r="BB56" s="37"/>
      <c r="BC56" s="37">
        <v>2.0</v>
      </c>
      <c r="BD56" s="37">
        <v>0.0</v>
      </c>
      <c r="BE56" s="42"/>
      <c r="BF56" s="37"/>
      <c r="BG56" s="37"/>
      <c r="BH56" s="37"/>
      <c r="BI56" s="37">
        <f>H.Son!H56</f>
        <v>1</v>
      </c>
      <c r="BJ56" s="37">
        <f>H.Son!I56</f>
        <v>1</v>
      </c>
      <c r="BK56" s="37"/>
      <c r="BL56" s="37"/>
      <c r="BM56" s="15"/>
      <c r="BN56" s="43">
        <f>if($F56=$G56,if(and($F56=$G56,I56&lt;&gt;J56),'Thể lệ'!$E$6,if($F56=I56,0,0.5*'Thể lệ'!$E$6)),if(and($F56=I56,$G56=J56),"0",if(($F56-$G56)*(I56-J56)&gt;0,0.5*'Thể lệ'!$E$6,'Thể lệ'!$E$6)))</f>
        <v>0</v>
      </c>
      <c r="BO56" s="43"/>
      <c r="BP56" s="43">
        <f>if($F56=$G56,if(and($F56=$G56,K56&lt;&gt;L56),'Thể lệ'!$E$6,if($F56=K56,0,0.5*'Thể lệ'!$E$6)),if(and($F56=K56,$G56=L56),"0",if(($F56-$G56)*(K56-L56)&gt;0,0.5*'Thể lệ'!$E$6,'Thể lệ'!$E$6)))</f>
        <v>0</v>
      </c>
      <c r="BQ56" s="43"/>
      <c r="BR56" s="43">
        <f>if($F56=$G56,if(and($F56=$G56,M56&lt;&gt;N56),'Thể lệ'!$E$6,if($F56=M56,0,0.5*'Thể lệ'!$E$6)),if(and($F56=M56,$G56=N56),"0",if(($F56-$G56)*(M56-N56)&gt;0,0.5*'Thể lệ'!$E$6,'Thể lệ'!$E$6)))</f>
        <v>0</v>
      </c>
      <c r="BS56" s="43"/>
      <c r="BT56" s="43">
        <f>if($F56=$G56,if(and($F56=$G56,O56&lt;&gt;P56),'Thể lệ'!$E$6,if($F56=O56,0,0.5*'Thể lệ'!$E$6)),if(and($F56=O56,$G56=P56),"0",if(($F56-$G56)*(O56-P56)&gt;0,0.5*'Thể lệ'!$E$6,'Thể lệ'!$E$6)))</f>
        <v>0</v>
      </c>
      <c r="BU56" s="43"/>
      <c r="BV56" s="43">
        <f>if($F56=$G56,if(and($F56=$G56,Q56&lt;&gt;R56),'Thể lệ'!$E$6,if($F56=Q56,0,0.5*'Thể lệ'!$E$6)),if(and($F56=Q56,$G56=R56),"0",if(($F56-$G56)*(Q56-R56)&gt;0,0.5*'Thể lệ'!$E$6,'Thể lệ'!$E$6)))</f>
        <v>0</v>
      </c>
      <c r="BW56" s="43"/>
      <c r="BX56" s="43">
        <f>if($F56=$G56,if(and($F56=$G56,S56&lt;&gt;T56),'Thể lệ'!$E$6,if($F56=S56,0,0.5*'Thể lệ'!$E$6)),if(and($F56=S56,$G56=T56),"0",if(($F56-$G56)*(S56-T56)&gt;0,0.5*'Thể lệ'!$E$6,'Thể lệ'!$E$6)))</f>
        <v>0</v>
      </c>
      <c r="BY56" s="43"/>
      <c r="BZ56" s="43">
        <f>if($F56=$G56,if(and($F56=$G56,U56&lt;&gt;V56),'Thể lệ'!$E$6,if($F56=U56,0,0.5*'Thể lệ'!$E$6)),if(and($F56=U56,$G56=V56),"0",if(($F56-$G56)*(U56-V56)&gt;0,0.5*'Thể lệ'!$E$6,'Thể lệ'!$E$6)))</f>
        <v>0</v>
      </c>
      <c r="CA56" s="43"/>
      <c r="CB56" s="43">
        <f>if($F56=$G56,if(and($F56=$G56,W56&lt;&gt;X56),'Thể lệ'!$E$6,if($F56=W56,0,0.5*'Thể lệ'!$E$6)),if(and($F56=W56,$G56=X56),"0",if(($F56-$G56)*(W56-X56)&gt;0,0.5*'Thể lệ'!$E$6,'Thể lệ'!$E$6)))</f>
        <v>0</v>
      </c>
      <c r="CC56" s="43"/>
      <c r="CD56" s="43">
        <f>if($F56=$G56,if(and($F56=$G56,Y56&lt;&gt;Z56),'Thể lệ'!$E$6,if($F56=Y56,0,0.5*'Thể lệ'!$E$6)),if(and($F56=Y56,$G56=Z56),"0",if(($F56-$G56)*(Y56-Z56)&gt;0,0.5*'Thể lệ'!$E$6,'Thể lệ'!$E$6)))</f>
        <v>0</v>
      </c>
      <c r="CE56" s="43"/>
      <c r="CF56" s="43">
        <f>if($F56=$G56,if(and($F56=$G56,AA56&lt;&gt;AB56),'Thể lệ'!$E$6,if($F56=AA56,0,0.5*'Thể lệ'!$E$6)),if(and($F56=AA56,$G56=AB56),"0",if(($F56-$G56)*(AA56-AB56)&gt;0,0.5*'Thể lệ'!$E$6,'Thể lệ'!$E$6)))</f>
        <v>0</v>
      </c>
      <c r="CG56" s="43"/>
      <c r="CH56" s="43">
        <f>if($F56=$G56,if(and($F56=$G56,AC56&lt;&gt;AD56),'Thể lệ'!$E$6,if($F56=AC56,0,0.5*'Thể lệ'!$E$6)),if(and($F56=AC56,$G56=AD56),"0",if(($F56-$G56)*(AC56-AD56)&gt;0,0.5*'Thể lệ'!$E$6,'Thể lệ'!$E$6)))</f>
        <v>0</v>
      </c>
      <c r="CI56" s="43"/>
      <c r="CJ56" s="43">
        <f>if($F56=$G56,if(and($F56=$G56,AE56&lt;&gt;AF56),'Thể lệ'!$E$6,if($F56=AE56,0,0.5*'Thể lệ'!$E$6)),if(and($F56=AE56,$G56=AF56),"0",if(($F56-$G56)*(AE56-AF56)&gt;0,0.5*'Thể lệ'!$E$6,'Thể lệ'!$E$6)))</f>
        <v>0</v>
      </c>
      <c r="CK56" s="43"/>
      <c r="CL56" s="43">
        <f>if($F56=$G56,if(and($F56=$G56,AG56&lt;&gt;AH56),'Thể lệ'!$E$6,if($F56=AG56,0,0.5*'Thể lệ'!$E$6)),if(and($F56=AG56,$G56=AH56),"0",if(($F56-$G56)*(AG56-AH56)&gt;0,0.5*'Thể lệ'!$E$6,'Thể lệ'!$E$6)))</f>
        <v>0</v>
      </c>
      <c r="CM56" s="43"/>
      <c r="CN56" s="43">
        <f>if($F56=$G56,if(and($F56=$G56,AI56&lt;&gt;AJ56),'Thể lệ'!$E$6,if($F56=AI56,0,0.5*'Thể lệ'!$E$6)),if(and($F56=AI56,$G56=AJ56),"0",if(($F56-$G56)*(AI56-AJ56)&gt;0,0.5*'Thể lệ'!$E$6,'Thể lệ'!$E$6)))</f>
        <v>0</v>
      </c>
      <c r="CO56" s="43"/>
      <c r="CP56" s="43">
        <f>if($F56=$G56,if(and($F56=$G56,AK56&lt;&gt;AL56),'Thể lệ'!$E$6,if($F56=AK56,0,0.5*'Thể lệ'!$E$6)),if(and($F56=AK56,$G56=AL56),"0",if(($F56-$G56)*(AK56-AL56)&gt;0,0.5*'Thể lệ'!$E$6,'Thể lệ'!$E$6)))</f>
        <v>0</v>
      </c>
      <c r="CQ56" s="43"/>
      <c r="CR56" s="43">
        <f>if($F56=$G56,if(and($F56=$G56,AM56&lt;&gt;AN56),'Thể lệ'!$E$6,if($F56=AM56,0,0.5*'Thể lệ'!$E$6)),if(and($F56=AM56,$G56=AN56),"0",if(($F56-$G56)*(AM56-AN56)&gt;0,0.5*'Thể lệ'!$E$6,'Thể lệ'!$E$6)))</f>
        <v>0</v>
      </c>
      <c r="CS56" s="43"/>
      <c r="CT56" s="44">
        <f>if($F56=$G56,if(and($F56=$G56,AO56&lt;&gt;AP56),'Thể lệ'!$E$6,if($F56=AO56,0,0.5*'Thể lệ'!$E$6)),if(and($F56=AO56,$G56=AP56),"0",if(($F56-$G56)*(AO56-AP56)&gt;0,0.5*'Thể lệ'!$E$6,'Thể lệ'!$E$6)))</f>
        <v>10000</v>
      </c>
      <c r="CU56" s="43"/>
      <c r="CV56" s="43">
        <f>if($F56=$G56,if(and($F56=$G56,AQ56&lt;&gt;AR56),'Thể lệ'!$E$6,if($F56=AQ56,0,0.5*'Thể lệ'!$E$6)),if(and($F56=AQ56,$G56=AR56),"0",if(($F56-$G56)*(AQ56-AR56)&gt;0,0.5*'Thể lệ'!$E$6,'Thể lệ'!$E$6)))</f>
        <v>0</v>
      </c>
      <c r="CW56" s="43"/>
      <c r="CX56" s="44">
        <f>if($F56=$G56,if(and($F56=$G56,AS56&lt;&gt;AT56),'Thể lệ'!$E$6,if($F56=AS56,0,0.5*'Thể lệ'!$E$6)),if(and($F56=AS56,$G56=AT56),"0",if(($F56-$G56)*(AS56-AT56)&gt;0,0.5*'Thể lệ'!$E$6,'Thể lệ'!$E$6)))</f>
        <v>5000</v>
      </c>
      <c r="CY56" s="43"/>
      <c r="CZ56" s="43">
        <f>if($F56=$G56,if(and($F56=$G56,AU56&lt;&gt;AV56),'Thể lệ'!$E$6,if($F56=AU56,0,0.5*'Thể lệ'!$E$6)),if(and($F56=AU56,$G56=AV56),"0",if(($F56-$G56)*(AU56-AV56)&gt;0,0.5*'Thể lệ'!$E$6,'Thể lệ'!$E$6)))</f>
        <v>0</v>
      </c>
      <c r="DA56" s="43"/>
      <c r="DB56" s="43">
        <f>if($F56=$G56,if(and($F56=$G56,AW56&lt;&gt;AX56),'Thể lệ'!$E$6,if($F56=AW56,0,0.5*'Thể lệ'!$E$6)),if(and($F56=AW56,$G56=AX56),"0",if(($F56-$G56)*(AW56-AX56)&gt;0,0.5*'Thể lệ'!$E$6,'Thể lệ'!$E$6)))</f>
        <v>0</v>
      </c>
      <c r="DC56" s="43"/>
      <c r="DD56" s="43">
        <f>if($F56=$G56,if(and($F56=$G56,AY56&lt;&gt;AZ56),'Thể lệ'!$E$6,if($F56=AY56,0,0.5*'Thể lệ'!$E$6)),if(and($F56=AY56,$G56=AZ56),"0",if(($F56-$G56)*(AY56-AZ56)&gt;0,0.5*'Thể lệ'!$E$6,'Thể lệ'!$E$6)))</f>
        <v>0</v>
      </c>
      <c r="DE56" s="43"/>
      <c r="DF56" s="43">
        <f>if($F56=$G56,if(and($F56=$G56,BA56&lt;&gt;BB56),'Thể lệ'!$E$6,if($F56=BA56,0,0.5*'Thể lệ'!$E$6)),if(and($F56=BA56,$G56=BB56),"0",if(($F56-$G56)*(BA56-BB56)&gt;0,0.5*'Thể lệ'!$E$6,'Thể lệ'!$E$6)))</f>
        <v>0</v>
      </c>
      <c r="DG56" s="43"/>
      <c r="DH56" s="44">
        <f>if($F56=$G56,if(and($F56=$G56,BC56&lt;&gt;BD56),'Thể lệ'!$E$6,if($F56=BC56,0,0.5*'Thể lệ'!$E$6)),if(and($F56=BC56,$G56=BD56),"0",if(($F56-$G56)*(BC56-BD56)&gt;0,0.5*'Thể lệ'!$E$6,'Thể lệ'!$E$6)))</f>
        <v>10000</v>
      </c>
      <c r="DI56" s="43"/>
      <c r="DJ56" s="43">
        <f>if($F56=$G56,if(and($F56=$G56,BE56&lt;&gt;BF56),'Thể lệ'!$E$6,if($F56=BE56,0,0.5*'Thể lệ'!$E$6)),if(and($F56=BE56,$G56=BF56),"0",if(($F56-$G56)*(BE56-BF56)&gt;0,0.5*'Thể lệ'!$E$6,'Thể lệ'!$E$6)))</f>
        <v>0</v>
      </c>
      <c r="DK56" s="43"/>
      <c r="DL56" s="43">
        <f>if($F56=$G56,if(and($F56=$G56,BG56&lt;&gt;BH56),'Thể lệ'!$E$6,if($F56=BG56,0,0.5*'Thể lệ'!$E$6)),if(and($F56=BG56,$G56=BH56),"0",if(($F56-$G56)*(BG56-BH56)&gt;0,0.5*'Thể lệ'!$E$6,'Thể lệ'!$E$6)))</f>
        <v>0</v>
      </c>
      <c r="DM56" s="43"/>
      <c r="DN56" s="44">
        <f>if($F56=$G56,if(and($F56=$G56,BI56&lt;&gt;BJ56),'Thể lệ'!$E$6,if($F56=BI56,0,0.5*'Thể lệ'!$E$6)),if(and($F56=BI56,$G56=BJ56),"0",if(($F56-$G56)*(BI56-BJ56)&gt;0,0.5*'Thể lệ'!$E$6,'Thể lệ'!$E$6)))</f>
        <v>5000</v>
      </c>
      <c r="DO56" s="43"/>
      <c r="DP56" s="43"/>
    </row>
    <row r="57">
      <c r="A57" s="33"/>
      <c r="B57" s="22">
        <v>51.0</v>
      </c>
      <c r="C57" s="56">
        <v>46198.20833333333</v>
      </c>
      <c r="D57" s="57">
        <v>46198.20833333333</v>
      </c>
      <c r="E57" s="58" t="s">
        <v>45</v>
      </c>
      <c r="F57" s="23"/>
      <c r="G57" s="23"/>
      <c r="H57" s="58" t="s">
        <v>42</v>
      </c>
      <c r="I57" s="37"/>
      <c r="J57" s="37"/>
      <c r="K57" s="37"/>
      <c r="L57" s="37"/>
      <c r="M57" s="37"/>
      <c r="N57" s="37"/>
      <c r="O57" s="37"/>
      <c r="P57" s="37"/>
      <c r="Q57" s="37" t="str">
        <f t="shared" si="4"/>
        <v/>
      </c>
      <c r="R57" s="37" t="str">
        <f t="shared" si="6"/>
        <v/>
      </c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>
        <v>1.0</v>
      </c>
      <c r="AP57" s="37">
        <v>3.0</v>
      </c>
      <c r="AQ57" s="37"/>
      <c r="AR57" s="37"/>
      <c r="AS57" s="40">
        <v>0.0</v>
      </c>
      <c r="AT57" s="40">
        <v>3.0</v>
      </c>
      <c r="AU57" s="37"/>
      <c r="AV57" s="37"/>
      <c r="AW57" s="37"/>
      <c r="AX57" s="37"/>
      <c r="AY57" s="37"/>
      <c r="AZ57" s="37"/>
      <c r="BA57" s="37"/>
      <c r="BB57" s="37"/>
      <c r="BC57" s="37">
        <v>0.0</v>
      </c>
      <c r="BD57" s="37">
        <v>3.0</v>
      </c>
      <c r="BE57" s="42"/>
      <c r="BF57" s="37"/>
      <c r="BG57" s="37"/>
      <c r="BH57" s="37"/>
      <c r="BI57" s="37">
        <f>H.Son!H57</f>
        <v>0</v>
      </c>
      <c r="BJ57" s="37">
        <f>H.Son!I57</f>
        <v>2</v>
      </c>
      <c r="BK57" s="37"/>
      <c r="BL57" s="37"/>
      <c r="BM57" s="15"/>
      <c r="BN57" s="43">
        <f>if($F57=$G57,if(and($F57=$G57,I57&lt;&gt;J57),'Thể lệ'!$E$6,if($F57=I57,0,0.5*'Thể lệ'!$E$6)),if(and($F57=I57,$G57=J57),"0",if(($F57-$G57)*(I57-J57)&gt;0,0.5*'Thể lệ'!$E$6,'Thể lệ'!$E$6)))</f>
        <v>0</v>
      </c>
      <c r="BO57" s="43"/>
      <c r="BP57" s="43">
        <f>if($F57=$G57,if(and($F57=$G57,K57&lt;&gt;L57),'Thể lệ'!$E$6,if($F57=K57,0,0.5*'Thể lệ'!$E$6)),if(and($F57=K57,$G57=L57),"0",if(($F57-$G57)*(K57-L57)&gt;0,0.5*'Thể lệ'!$E$6,'Thể lệ'!$E$6)))</f>
        <v>0</v>
      </c>
      <c r="BQ57" s="43"/>
      <c r="BR57" s="43">
        <f>if($F57=$G57,if(and($F57=$G57,M57&lt;&gt;N57),'Thể lệ'!$E$6,if($F57=M57,0,0.5*'Thể lệ'!$E$6)),if(and($F57=M57,$G57=N57),"0",if(($F57-$G57)*(M57-N57)&gt;0,0.5*'Thể lệ'!$E$6,'Thể lệ'!$E$6)))</f>
        <v>0</v>
      </c>
      <c r="BS57" s="43"/>
      <c r="BT57" s="43">
        <f>if($F57=$G57,if(and($F57=$G57,O57&lt;&gt;P57),'Thể lệ'!$E$6,if($F57=O57,0,0.5*'Thể lệ'!$E$6)),if(and($F57=O57,$G57=P57),"0",if(($F57-$G57)*(O57-P57)&gt;0,0.5*'Thể lệ'!$E$6,'Thể lệ'!$E$6)))</f>
        <v>0</v>
      </c>
      <c r="BU57" s="43"/>
      <c r="BV57" s="43">
        <f>if($F57=$G57,if(and($F57=$G57,Q57&lt;&gt;R57),'Thể lệ'!$E$6,if($F57=Q57,0,0.5*'Thể lệ'!$E$6)),if(and($F57=Q57,$G57=R57),"0",if(($F57-$G57)*(Q57-R57)&gt;0,0.5*'Thể lệ'!$E$6,'Thể lệ'!$E$6)))</f>
        <v>0</v>
      </c>
      <c r="BW57" s="43"/>
      <c r="BX57" s="43">
        <f>if($F57=$G57,if(and($F57=$G57,S57&lt;&gt;T57),'Thể lệ'!$E$6,if($F57=S57,0,0.5*'Thể lệ'!$E$6)),if(and($F57=S57,$G57=T57),"0",if(($F57-$G57)*(S57-T57)&gt;0,0.5*'Thể lệ'!$E$6,'Thể lệ'!$E$6)))</f>
        <v>0</v>
      </c>
      <c r="BY57" s="43"/>
      <c r="BZ57" s="43">
        <f>if($F57=$G57,if(and($F57=$G57,U57&lt;&gt;V57),'Thể lệ'!$E$6,if($F57=U57,0,0.5*'Thể lệ'!$E$6)),if(and($F57=U57,$G57=V57),"0",if(($F57-$G57)*(U57-V57)&gt;0,0.5*'Thể lệ'!$E$6,'Thể lệ'!$E$6)))</f>
        <v>0</v>
      </c>
      <c r="CA57" s="43"/>
      <c r="CB57" s="43">
        <f>if($F57=$G57,if(and($F57=$G57,W57&lt;&gt;X57),'Thể lệ'!$E$6,if($F57=W57,0,0.5*'Thể lệ'!$E$6)),if(and($F57=W57,$G57=X57),"0",if(($F57-$G57)*(W57-X57)&gt;0,0.5*'Thể lệ'!$E$6,'Thể lệ'!$E$6)))</f>
        <v>0</v>
      </c>
      <c r="CC57" s="43"/>
      <c r="CD57" s="43">
        <f>if($F57=$G57,if(and($F57=$G57,Y57&lt;&gt;Z57),'Thể lệ'!$E$6,if($F57=Y57,0,0.5*'Thể lệ'!$E$6)),if(and($F57=Y57,$G57=Z57),"0",if(($F57-$G57)*(Y57-Z57)&gt;0,0.5*'Thể lệ'!$E$6,'Thể lệ'!$E$6)))</f>
        <v>0</v>
      </c>
      <c r="CE57" s="43"/>
      <c r="CF57" s="43">
        <f>if($F57=$G57,if(and($F57=$G57,AA57&lt;&gt;AB57),'Thể lệ'!$E$6,if($F57=AA57,0,0.5*'Thể lệ'!$E$6)),if(and($F57=AA57,$G57=AB57),"0",if(($F57-$G57)*(AA57-AB57)&gt;0,0.5*'Thể lệ'!$E$6,'Thể lệ'!$E$6)))</f>
        <v>0</v>
      </c>
      <c r="CG57" s="43"/>
      <c r="CH57" s="43">
        <f>if($F57=$G57,if(and($F57=$G57,AC57&lt;&gt;AD57),'Thể lệ'!$E$6,if($F57=AC57,0,0.5*'Thể lệ'!$E$6)),if(and($F57=AC57,$G57=AD57),"0",if(($F57-$G57)*(AC57-AD57)&gt;0,0.5*'Thể lệ'!$E$6,'Thể lệ'!$E$6)))</f>
        <v>0</v>
      </c>
      <c r="CI57" s="43"/>
      <c r="CJ57" s="43">
        <f>if($F57=$G57,if(and($F57=$G57,AE57&lt;&gt;AF57),'Thể lệ'!$E$6,if($F57=AE57,0,0.5*'Thể lệ'!$E$6)),if(and($F57=AE57,$G57=AF57),"0",if(($F57-$G57)*(AE57-AF57)&gt;0,0.5*'Thể lệ'!$E$6,'Thể lệ'!$E$6)))</f>
        <v>0</v>
      </c>
      <c r="CK57" s="43"/>
      <c r="CL57" s="43">
        <f>if($F57=$G57,if(and($F57=$G57,AG57&lt;&gt;AH57),'Thể lệ'!$E$6,if($F57=AG57,0,0.5*'Thể lệ'!$E$6)),if(and($F57=AG57,$G57=AH57),"0",if(($F57-$G57)*(AG57-AH57)&gt;0,0.5*'Thể lệ'!$E$6,'Thể lệ'!$E$6)))</f>
        <v>0</v>
      </c>
      <c r="CM57" s="43"/>
      <c r="CN57" s="43">
        <f>if($F57=$G57,if(and($F57=$G57,AI57&lt;&gt;AJ57),'Thể lệ'!$E$6,if($F57=AI57,0,0.5*'Thể lệ'!$E$6)),if(and($F57=AI57,$G57=AJ57),"0",if(($F57-$G57)*(AI57-AJ57)&gt;0,0.5*'Thể lệ'!$E$6,'Thể lệ'!$E$6)))</f>
        <v>0</v>
      </c>
      <c r="CO57" s="43"/>
      <c r="CP57" s="43">
        <f>if($F57=$G57,if(and($F57=$G57,AK57&lt;&gt;AL57),'Thể lệ'!$E$6,if($F57=AK57,0,0.5*'Thể lệ'!$E$6)),if(and($F57=AK57,$G57=AL57),"0",if(($F57-$G57)*(AK57-AL57)&gt;0,0.5*'Thể lệ'!$E$6,'Thể lệ'!$E$6)))</f>
        <v>0</v>
      </c>
      <c r="CQ57" s="43"/>
      <c r="CR57" s="43">
        <f>if($F57=$G57,if(and($F57=$G57,AM57&lt;&gt;AN57),'Thể lệ'!$E$6,if($F57=AM57,0,0.5*'Thể lệ'!$E$6)),if(and($F57=AM57,$G57=AN57),"0",if(($F57-$G57)*(AM57-AN57)&gt;0,0.5*'Thể lệ'!$E$6,'Thể lệ'!$E$6)))</f>
        <v>0</v>
      </c>
      <c r="CS57" s="43"/>
      <c r="CT57" s="44">
        <f>if($F57=$G57,if(and($F57=$G57,AO57&lt;&gt;AP57),'Thể lệ'!$E$6,if($F57=AO57,0,0.5*'Thể lệ'!$E$6)),if(and($F57=AO57,$G57=AP57),"0",if(($F57-$G57)*(AO57-AP57)&gt;0,0.5*'Thể lệ'!$E$6,'Thể lệ'!$E$6)))</f>
        <v>10000</v>
      </c>
      <c r="CU57" s="43"/>
      <c r="CV57" s="43">
        <f>if($F57=$G57,if(and($F57=$G57,AQ57&lt;&gt;AR57),'Thể lệ'!$E$6,if($F57=AQ57,0,0.5*'Thể lệ'!$E$6)),if(and($F57=AQ57,$G57=AR57),"0",if(($F57-$G57)*(AQ57-AR57)&gt;0,0.5*'Thể lệ'!$E$6,'Thể lệ'!$E$6)))</f>
        <v>0</v>
      </c>
      <c r="CW57" s="43"/>
      <c r="CX57" s="44">
        <f>if($F57=$G57,if(and($F57=$G57,AS57&lt;&gt;AT57),'Thể lệ'!$E$6,if($F57=AS57,0,0.5*'Thể lệ'!$E$6)),if(and($F57=AS57,$G57=AT57),"0",if(($F57-$G57)*(AS57-AT57)&gt;0,0.5*'Thể lệ'!$E$6,'Thể lệ'!$E$6)))</f>
        <v>10000</v>
      </c>
      <c r="CY57" s="43"/>
      <c r="CZ57" s="43">
        <f>if($F57=$G57,if(and($F57=$G57,AU57&lt;&gt;AV57),'Thể lệ'!$E$6,if($F57=AU57,0,0.5*'Thể lệ'!$E$6)),if(and($F57=AU57,$G57=AV57),"0",if(($F57-$G57)*(AU57-AV57)&gt;0,0.5*'Thể lệ'!$E$6,'Thể lệ'!$E$6)))</f>
        <v>0</v>
      </c>
      <c r="DA57" s="43"/>
      <c r="DB57" s="43">
        <f>if($F57=$G57,if(and($F57=$G57,AW57&lt;&gt;AX57),'Thể lệ'!$E$6,if($F57=AW57,0,0.5*'Thể lệ'!$E$6)),if(and($F57=AW57,$G57=AX57),"0",if(($F57-$G57)*(AW57-AX57)&gt;0,0.5*'Thể lệ'!$E$6,'Thể lệ'!$E$6)))</f>
        <v>0</v>
      </c>
      <c r="DC57" s="45"/>
      <c r="DD57" s="43">
        <f>if($F57=$G57,if(and($F57=$G57,AY57&lt;&gt;AZ57),'Thể lệ'!$E$6,if($F57=AY57,0,0.5*'Thể lệ'!$E$6)),if(and($F57=AY57,$G57=AZ57),"0",if(($F57-$G57)*(AY57-AZ57)&gt;0,0.5*'Thể lệ'!$E$6,'Thể lệ'!$E$6)))</f>
        <v>0</v>
      </c>
      <c r="DE57" s="45"/>
      <c r="DF57" s="43">
        <f>if($F57=$G57,if(and($F57=$G57,BA57&lt;&gt;BB57),'Thể lệ'!$E$6,if($F57=BA57,0,0.5*'Thể lệ'!$E$6)),if(and($F57=BA57,$G57=BB57),"0",if(($F57-$G57)*(BA57-BB57)&gt;0,0.5*'Thể lệ'!$E$6,'Thể lệ'!$E$6)))</f>
        <v>0</v>
      </c>
      <c r="DG57" s="45"/>
      <c r="DH57" s="44">
        <f>if($F57=$G57,if(and($F57=$G57,BC57&lt;&gt;BD57),'Thể lệ'!$E$6,if($F57=BC57,0,0.5*'Thể lệ'!$E$6)),if(and($F57=BC57,$G57=BD57),"0",if(($F57-$G57)*(BC57-BD57)&gt;0,0.5*'Thể lệ'!$E$6,'Thể lệ'!$E$6)))</f>
        <v>10000</v>
      </c>
      <c r="DI57" s="45"/>
      <c r="DJ57" s="43">
        <f>if($F57=$G57,if(and($F57=$G57,BE57&lt;&gt;BF57),'Thể lệ'!$E$6,if($F57=BE57,0,0.5*'Thể lệ'!$E$6)),if(and($F57=BE57,$G57=BF57),"0",if(($F57-$G57)*(BE57-BF57)&gt;0,0.5*'Thể lệ'!$E$6,'Thể lệ'!$E$6)))</f>
        <v>0</v>
      </c>
      <c r="DK57" s="45"/>
      <c r="DL57" s="43">
        <f>if($F57=$G57,if(and($F57=$G57,BG57&lt;&gt;BH57),'Thể lệ'!$E$6,if($F57=BG57,0,0.5*'Thể lệ'!$E$6)),if(and($F57=BG57,$G57=BH57),"0",if(($F57-$G57)*(BG57-BH57)&gt;0,0.5*'Thể lệ'!$E$6,'Thể lệ'!$E$6)))</f>
        <v>0</v>
      </c>
      <c r="DM57" s="45"/>
      <c r="DN57" s="44">
        <f>if($F57=$G57,if(and($F57=$G57,BI57&lt;&gt;BJ57),'Thể lệ'!$E$6,if($F57=BI57,0,0.5*'Thể lệ'!$E$6)),if(and($F57=BI57,$G57=BJ57),"0",if(($F57-$G57)*(BI57-BJ57)&gt;0,0.5*'Thể lệ'!$E$6,'Thể lệ'!$E$6)))</f>
        <v>10000</v>
      </c>
      <c r="DO57" s="45"/>
      <c r="DP57" s="45"/>
    </row>
    <row r="58">
      <c r="B58" s="22">
        <v>52.0</v>
      </c>
      <c r="C58" s="56">
        <v>46198.20833333333</v>
      </c>
      <c r="D58" s="57">
        <v>46198.20833333333</v>
      </c>
      <c r="E58" s="58" t="s">
        <v>43</v>
      </c>
      <c r="F58" s="23"/>
      <c r="G58" s="23"/>
      <c r="H58" s="58" t="s">
        <v>44</v>
      </c>
      <c r="I58" s="37"/>
      <c r="J58" s="37"/>
      <c r="K58" s="37"/>
      <c r="L58" s="37"/>
      <c r="M58" s="37"/>
      <c r="N58" s="37"/>
      <c r="O58" s="37"/>
      <c r="P58" s="37"/>
      <c r="Q58" s="37" t="str">
        <f t="shared" si="4"/>
        <v/>
      </c>
      <c r="R58" s="37" t="str">
        <f t="shared" si="6"/>
        <v/>
      </c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>
        <v>3.0</v>
      </c>
      <c r="AP58" s="37">
        <v>0.0</v>
      </c>
      <c r="AQ58" s="37"/>
      <c r="AR58" s="37"/>
      <c r="AS58" s="40">
        <v>3.0</v>
      </c>
      <c r="AT58" s="40">
        <v>0.0</v>
      </c>
      <c r="AU58" s="37"/>
      <c r="AV58" s="37"/>
      <c r="AW58" s="37"/>
      <c r="AX58" s="37"/>
      <c r="AY58" s="37"/>
      <c r="AZ58" s="37"/>
      <c r="BA58" s="37"/>
      <c r="BB58" s="37"/>
      <c r="BC58" s="37">
        <v>3.0</v>
      </c>
      <c r="BD58" s="37">
        <v>0.0</v>
      </c>
      <c r="BE58" s="42"/>
      <c r="BF58" s="37"/>
      <c r="BG58" s="37"/>
      <c r="BH58" s="37"/>
      <c r="BI58" s="37">
        <f>H.Son!H58</f>
        <v>2</v>
      </c>
      <c r="BJ58" s="37">
        <f>H.Son!I58</f>
        <v>0</v>
      </c>
      <c r="BK58" s="37"/>
      <c r="BL58" s="37"/>
      <c r="BM58" s="15"/>
      <c r="BN58" s="43">
        <f>if($F58=$G58,if(and($F58=$G58,I58&lt;&gt;J58),'Thể lệ'!$E$6,if($F58=I58,0,0.5*'Thể lệ'!$E$6)),if(and($F58=I58,$G58=J58),"0",if(($F58-$G58)*(I58-J58)&gt;0,0.5*'Thể lệ'!$E$6,'Thể lệ'!$E$6)))</f>
        <v>0</v>
      </c>
      <c r="BO58" s="43"/>
      <c r="BP58" s="43">
        <f>if($F58=$G58,if(and($F58=$G58,K58&lt;&gt;L58),'Thể lệ'!$E$6,if($F58=K58,0,0.5*'Thể lệ'!$E$6)),if(and($F58=K58,$G58=L58),"0",if(($F58-$G58)*(K58-L58)&gt;0,0.5*'Thể lệ'!$E$6,'Thể lệ'!$E$6)))</f>
        <v>0</v>
      </c>
      <c r="BQ58" s="43"/>
      <c r="BR58" s="43">
        <f>if($F58=$G58,if(and($F58=$G58,M58&lt;&gt;N58),'Thể lệ'!$E$6,if($F58=M58,0,0.5*'Thể lệ'!$E$6)),if(and($F58=M58,$G58=N58),"0",if(($F58-$G58)*(M58-N58)&gt;0,0.5*'Thể lệ'!$E$6,'Thể lệ'!$E$6)))</f>
        <v>0</v>
      </c>
      <c r="BS58" s="43"/>
      <c r="BT58" s="43">
        <f>if($F58=$G58,if(and($F58=$G58,O58&lt;&gt;P58),'Thể lệ'!$E$6,if($F58=O58,0,0.5*'Thể lệ'!$E$6)),if(and($F58=O58,$G58=P58),"0",if(($F58-$G58)*(O58-P58)&gt;0,0.5*'Thể lệ'!$E$6,'Thể lệ'!$E$6)))</f>
        <v>0</v>
      </c>
      <c r="BU58" s="43"/>
      <c r="BV58" s="43">
        <f>if($F58=$G58,if(and($F58=$G58,Q58&lt;&gt;R58),'Thể lệ'!$E$6,if($F58=Q58,0,0.5*'Thể lệ'!$E$6)),if(and($F58=Q58,$G58=R58),"0",if(($F58-$G58)*(Q58-R58)&gt;0,0.5*'Thể lệ'!$E$6,'Thể lệ'!$E$6)))</f>
        <v>0</v>
      </c>
      <c r="BW58" s="43"/>
      <c r="BX58" s="43">
        <f>if($F58=$G58,if(and($F58=$G58,S58&lt;&gt;T58),'Thể lệ'!$E$6,if($F58=S58,0,0.5*'Thể lệ'!$E$6)),if(and($F58=S58,$G58=T58),"0",if(($F58-$G58)*(S58-T58)&gt;0,0.5*'Thể lệ'!$E$6,'Thể lệ'!$E$6)))</f>
        <v>0</v>
      </c>
      <c r="BY58" s="43"/>
      <c r="BZ58" s="43">
        <f>if($F58=$G58,if(and($F58=$G58,U58&lt;&gt;V58),'Thể lệ'!$E$6,if($F58=U58,0,0.5*'Thể lệ'!$E$6)),if(and($F58=U58,$G58=V58),"0",if(($F58-$G58)*(U58-V58)&gt;0,0.5*'Thể lệ'!$E$6,'Thể lệ'!$E$6)))</f>
        <v>0</v>
      </c>
      <c r="CA58" s="43"/>
      <c r="CB58" s="43">
        <f>if($F58=$G58,if(and($F58=$G58,W58&lt;&gt;X58),'Thể lệ'!$E$6,if($F58=W58,0,0.5*'Thể lệ'!$E$6)),if(and($F58=W58,$G58=X58),"0",if(($F58-$G58)*(W58-X58)&gt;0,0.5*'Thể lệ'!$E$6,'Thể lệ'!$E$6)))</f>
        <v>0</v>
      </c>
      <c r="CC58" s="43"/>
      <c r="CD58" s="43">
        <f>if($F58=$G58,if(and($F58=$G58,Y58&lt;&gt;Z58),'Thể lệ'!$E$6,if($F58=Y58,0,0.5*'Thể lệ'!$E$6)),if(and($F58=Y58,$G58=Z58),"0",if(($F58-$G58)*(Y58-Z58)&gt;0,0.5*'Thể lệ'!$E$6,'Thể lệ'!$E$6)))</f>
        <v>0</v>
      </c>
      <c r="CE58" s="43"/>
      <c r="CF58" s="43">
        <f>if($F58=$G58,if(and($F58=$G58,AA58&lt;&gt;AB58),'Thể lệ'!$E$6,if($F58=AA58,0,0.5*'Thể lệ'!$E$6)),if(and($F58=AA58,$G58=AB58),"0",if(($F58-$G58)*(AA58-AB58)&gt;0,0.5*'Thể lệ'!$E$6,'Thể lệ'!$E$6)))</f>
        <v>0</v>
      </c>
      <c r="CG58" s="43"/>
      <c r="CH58" s="43">
        <f>if($F58=$G58,if(and($F58=$G58,AC58&lt;&gt;AD58),'Thể lệ'!$E$6,if($F58=AC58,0,0.5*'Thể lệ'!$E$6)),if(and($F58=AC58,$G58=AD58),"0",if(($F58-$G58)*(AC58-AD58)&gt;0,0.5*'Thể lệ'!$E$6,'Thể lệ'!$E$6)))</f>
        <v>0</v>
      </c>
      <c r="CI58" s="43"/>
      <c r="CJ58" s="43">
        <f>if($F58=$G58,if(and($F58=$G58,AE58&lt;&gt;AF58),'Thể lệ'!$E$6,if($F58=AE58,0,0.5*'Thể lệ'!$E$6)),if(and($F58=AE58,$G58=AF58),"0",if(($F58-$G58)*(AE58-AF58)&gt;0,0.5*'Thể lệ'!$E$6,'Thể lệ'!$E$6)))</f>
        <v>0</v>
      </c>
      <c r="CK58" s="43"/>
      <c r="CL58" s="43">
        <f>if($F58=$G58,if(and($F58=$G58,AG58&lt;&gt;AH58),'Thể lệ'!$E$6,if($F58=AG58,0,0.5*'Thể lệ'!$E$6)),if(and($F58=AG58,$G58=AH58),"0",if(($F58-$G58)*(AG58-AH58)&gt;0,0.5*'Thể lệ'!$E$6,'Thể lệ'!$E$6)))</f>
        <v>0</v>
      </c>
      <c r="CM58" s="43"/>
      <c r="CN58" s="43">
        <f>if($F58=$G58,if(and($F58=$G58,AI58&lt;&gt;AJ58),'Thể lệ'!$E$6,if($F58=AI58,0,0.5*'Thể lệ'!$E$6)),if(and($F58=AI58,$G58=AJ58),"0",if(($F58-$G58)*(AI58-AJ58)&gt;0,0.5*'Thể lệ'!$E$6,'Thể lệ'!$E$6)))</f>
        <v>0</v>
      </c>
      <c r="CO58" s="43"/>
      <c r="CP58" s="43">
        <f>if($F58=$G58,if(and($F58=$G58,AK58&lt;&gt;AL58),'Thể lệ'!$E$6,if($F58=AK58,0,0.5*'Thể lệ'!$E$6)),if(and($F58=AK58,$G58=AL58),"0",if(($F58-$G58)*(AK58-AL58)&gt;0,0.5*'Thể lệ'!$E$6,'Thể lệ'!$E$6)))</f>
        <v>0</v>
      </c>
      <c r="CQ58" s="43"/>
      <c r="CR58" s="43">
        <f>if($F58=$G58,if(and($F58=$G58,AM58&lt;&gt;AN58),'Thể lệ'!$E$6,if($F58=AM58,0,0.5*'Thể lệ'!$E$6)),if(and($F58=AM58,$G58=AN58),"0",if(($F58-$G58)*(AM58-AN58)&gt;0,0.5*'Thể lệ'!$E$6,'Thể lệ'!$E$6)))</f>
        <v>0</v>
      </c>
      <c r="CS58" s="43"/>
      <c r="CT58" s="44">
        <f>if($F58=$G58,if(and($F58=$G58,AO58&lt;&gt;AP58),'Thể lệ'!$E$6,if($F58=AO58,0,0.5*'Thể lệ'!$E$6)),if(and($F58=AO58,$G58=AP58),"0",if(($F58-$G58)*(AO58-AP58)&gt;0,0.5*'Thể lệ'!$E$6,'Thể lệ'!$E$6)))</f>
        <v>10000</v>
      </c>
      <c r="CU58" s="43"/>
      <c r="CV58" s="43">
        <f>if($F58=$G58,if(and($F58=$G58,AQ58&lt;&gt;AR58),'Thể lệ'!$E$6,if($F58=AQ58,0,0.5*'Thể lệ'!$E$6)),if(and($F58=AQ58,$G58=AR58),"0",if(($F58-$G58)*(AQ58-AR58)&gt;0,0.5*'Thể lệ'!$E$6,'Thể lệ'!$E$6)))</f>
        <v>0</v>
      </c>
      <c r="CW58" s="43"/>
      <c r="CX58" s="44">
        <f>if($F58=$G58,if(and($F58=$G58,AS58&lt;&gt;AT58),'Thể lệ'!$E$6,if($F58=AS58,0,0.5*'Thể lệ'!$E$6)),if(and($F58=AS58,$G58=AT58),"0",if(($F58-$G58)*(AS58-AT58)&gt;0,0.5*'Thể lệ'!$E$6,'Thể lệ'!$E$6)))</f>
        <v>10000</v>
      </c>
      <c r="CY58" s="43"/>
      <c r="CZ58" s="43">
        <f>if($F58=$G58,if(and($F58=$G58,AU58&lt;&gt;AV58),'Thể lệ'!$E$6,if($F58=AU58,0,0.5*'Thể lệ'!$E$6)),if(and($F58=AU58,$G58=AV58),"0",if(($F58-$G58)*(AU58-AV58)&gt;0,0.5*'Thể lệ'!$E$6,'Thể lệ'!$E$6)))</f>
        <v>0</v>
      </c>
      <c r="DA58" s="43"/>
      <c r="DB58" s="43">
        <f>if($F58=$G58,if(and($F58=$G58,AW58&lt;&gt;AX58),'Thể lệ'!$E$6,if($F58=AW58,0,0.5*'Thể lệ'!$E$6)),if(and($F58=AW58,$G58=AX58),"0",if(($F58-$G58)*(AW58-AX58)&gt;0,0.5*'Thể lệ'!$E$6,'Thể lệ'!$E$6)))</f>
        <v>0</v>
      </c>
      <c r="DC58" s="45"/>
      <c r="DD58" s="43">
        <f>if($F58=$G58,if(and($F58=$G58,AY58&lt;&gt;AZ58),'Thể lệ'!$E$6,if($F58=AY58,0,0.5*'Thể lệ'!$E$6)),if(and($F58=AY58,$G58=AZ58),"0",if(($F58-$G58)*(AY58-AZ58)&gt;0,0.5*'Thể lệ'!$E$6,'Thể lệ'!$E$6)))</f>
        <v>0</v>
      </c>
      <c r="DE58" s="45"/>
      <c r="DF58" s="43">
        <f>if($F58=$G58,if(and($F58=$G58,BA58&lt;&gt;BB58),'Thể lệ'!$E$6,if($F58=BA58,0,0.5*'Thể lệ'!$E$6)),if(and($F58=BA58,$G58=BB58),"0",if(($F58-$G58)*(BA58-BB58)&gt;0,0.5*'Thể lệ'!$E$6,'Thể lệ'!$E$6)))</f>
        <v>0</v>
      </c>
      <c r="DG58" s="45"/>
      <c r="DH58" s="44">
        <f>if($F58=$G58,if(and($F58=$G58,BC58&lt;&gt;BD58),'Thể lệ'!$E$6,if($F58=BC58,0,0.5*'Thể lệ'!$E$6)),if(and($F58=BC58,$G58=BD58),"0",if(($F58-$G58)*(BC58-BD58)&gt;0,0.5*'Thể lệ'!$E$6,'Thể lệ'!$E$6)))</f>
        <v>10000</v>
      </c>
      <c r="DI58" s="45"/>
      <c r="DJ58" s="43">
        <f>if($F58=$G58,if(and($F58=$G58,BE58&lt;&gt;BF58),'Thể lệ'!$E$6,if($F58=BE58,0,0.5*'Thể lệ'!$E$6)),if(and($F58=BE58,$G58=BF58),"0",if(($F58-$G58)*(BE58-BF58)&gt;0,0.5*'Thể lệ'!$E$6,'Thể lệ'!$E$6)))</f>
        <v>0</v>
      </c>
      <c r="DK58" s="45"/>
      <c r="DL58" s="43">
        <f>if($F58=$G58,if(and($F58=$G58,BG58&lt;&gt;BH58),'Thể lệ'!$E$6,if($F58=BG58,0,0.5*'Thể lệ'!$E$6)),if(and($F58=BG58,$G58=BH58),"0",if(($F58-$G58)*(BG58-BH58)&gt;0,0.5*'Thể lệ'!$E$6,'Thể lệ'!$E$6)))</f>
        <v>0</v>
      </c>
      <c r="DM58" s="45"/>
      <c r="DN58" s="44">
        <f>if($F58=$G58,if(and($F58=$G58,BI58&lt;&gt;BJ58),'Thể lệ'!$E$6,if($F58=BI58,0,0.5*'Thể lệ'!$E$6)),if(and($F58=BI58,$G58=BJ58),"0",if(($F58-$G58)*(BI58-BJ58)&gt;0,0.5*'Thể lệ'!$E$6,'Thể lệ'!$E$6)))</f>
        <v>10000</v>
      </c>
      <c r="DO58" s="45"/>
      <c r="DP58" s="45"/>
    </row>
    <row r="59">
      <c r="A59" s="63"/>
      <c r="B59" s="22">
        <v>53.0</v>
      </c>
      <c r="C59" s="64">
        <v>46198.33333333333</v>
      </c>
      <c r="D59" s="65">
        <v>46198.33333333333</v>
      </c>
      <c r="E59" s="55" t="s">
        <v>35</v>
      </c>
      <c r="F59" s="23"/>
      <c r="G59" s="23"/>
      <c r="H59" s="55" t="s">
        <v>32</v>
      </c>
      <c r="I59" s="23"/>
      <c r="J59" s="23"/>
      <c r="K59" s="23"/>
      <c r="L59" s="23"/>
      <c r="M59" s="23"/>
      <c r="N59" s="23"/>
      <c r="O59" s="23"/>
      <c r="P59" s="23"/>
      <c r="Q59" s="37" t="str">
        <f t="shared" si="4"/>
        <v/>
      </c>
      <c r="R59" s="37" t="str">
        <f t="shared" si="6"/>
        <v/>
      </c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>
        <v>2.0</v>
      </c>
      <c r="AP59" s="23">
        <v>3.0</v>
      </c>
      <c r="AQ59" s="23"/>
      <c r="AR59" s="23"/>
      <c r="AS59" s="66">
        <v>1.0</v>
      </c>
      <c r="AT59" s="66">
        <v>2.0</v>
      </c>
      <c r="AU59" s="23"/>
      <c r="AV59" s="23"/>
      <c r="AW59" s="23"/>
      <c r="AX59" s="23"/>
      <c r="AY59" s="23"/>
      <c r="AZ59" s="23"/>
      <c r="BA59" s="23"/>
      <c r="BB59" s="23"/>
      <c r="BC59" s="23">
        <v>1.0</v>
      </c>
      <c r="BD59" s="23">
        <v>2.0</v>
      </c>
      <c r="BE59" s="67"/>
      <c r="BF59" s="23"/>
      <c r="BG59" s="23"/>
      <c r="BH59" s="23"/>
      <c r="BI59" s="37">
        <f>H.Son!H59</f>
        <v>1</v>
      </c>
      <c r="BJ59" s="37">
        <f>H.Son!I59</f>
        <v>2</v>
      </c>
      <c r="BK59" s="23"/>
      <c r="BL59" s="23"/>
      <c r="BM59" s="68"/>
      <c r="BN59" s="43">
        <f>if($F59=$G59,if(and($F59=$G59,I59&lt;&gt;J59),'Thể lệ'!$E$6,if($F59=I59,0,0.5*'Thể lệ'!$E$6)),if(and($F59=I59,$G59=J59),"0",if(($F59-$G59)*(I59-J59)&gt;0,0.5*'Thể lệ'!$E$6,'Thể lệ'!$E$6)))</f>
        <v>0</v>
      </c>
      <c r="BO59" s="29"/>
      <c r="BP59" s="43">
        <f>if($F59=$G59,if(and($F59=$G59,K59&lt;&gt;L59),'Thể lệ'!$E$6,if($F59=K59,0,0.5*'Thể lệ'!$E$6)),if(and($F59=K59,$G59=L59),"0",if(($F59-$G59)*(K59-L59)&gt;0,0.5*'Thể lệ'!$E$6,'Thể lệ'!$E$6)))</f>
        <v>0</v>
      </c>
      <c r="BQ59" s="29"/>
      <c r="BR59" s="43">
        <f>if($F59=$G59,if(and($F59=$G59,M59&lt;&gt;N59),'Thể lệ'!$E$6,if($F59=M59,0,0.5*'Thể lệ'!$E$6)),if(and($F59=M59,$G59=N59),"0",if(($F59-$G59)*(M59-N59)&gt;0,0.5*'Thể lệ'!$E$6,'Thể lệ'!$E$6)))</f>
        <v>0</v>
      </c>
      <c r="BS59" s="29"/>
      <c r="BT59" s="43">
        <f>if($F59=$G59,if(and($F59=$G59,O59&lt;&gt;P59),'Thể lệ'!$E$6,if($F59=O59,0,0.5*'Thể lệ'!$E$6)),if(and($F59=O59,$G59=P59),"0",if(($F59-$G59)*(O59-P59)&gt;0,0.5*'Thể lệ'!$E$6,'Thể lệ'!$E$6)))</f>
        <v>0</v>
      </c>
      <c r="BU59" s="29"/>
      <c r="BV59" s="43">
        <f>if($F59=$G59,if(and($F59=$G59,Q59&lt;&gt;R59),'Thể lệ'!$E$6,if($F59=Q59,0,0.5*'Thể lệ'!$E$6)),if(and($F59=Q59,$G59=R59),"0",if(($F59-$G59)*(Q59-R59)&gt;0,0.5*'Thể lệ'!$E$6,'Thể lệ'!$E$6)))</f>
        <v>0</v>
      </c>
      <c r="BW59" s="29"/>
      <c r="BX59" s="43">
        <f>if($F59=$G59,if(and($F59=$G59,S59&lt;&gt;T59),'Thể lệ'!$E$6,if($F59=S59,0,0.5*'Thể lệ'!$E$6)),if(and($F59=S59,$G59=T59),"0",if(($F59-$G59)*(S59-T59)&gt;0,0.5*'Thể lệ'!$E$6,'Thể lệ'!$E$6)))</f>
        <v>0</v>
      </c>
      <c r="BY59" s="29"/>
      <c r="BZ59" s="43">
        <f>if($F59=$G59,if(and($F59=$G59,U59&lt;&gt;V59),'Thể lệ'!$E$6,if($F59=U59,0,0.5*'Thể lệ'!$E$6)),if(and($F59=U59,$G59=V59),"0",if(($F59-$G59)*(U59-V59)&gt;0,0.5*'Thể lệ'!$E$6,'Thể lệ'!$E$6)))</f>
        <v>0</v>
      </c>
      <c r="CA59" s="29"/>
      <c r="CB59" s="43">
        <f>if($F59=$G59,if(and($F59=$G59,W59&lt;&gt;X59),'Thể lệ'!$E$6,if($F59=W59,0,0.5*'Thể lệ'!$E$6)),if(and($F59=W59,$G59=X59),"0",if(($F59-$G59)*(W59-X59)&gt;0,0.5*'Thể lệ'!$E$6,'Thể lệ'!$E$6)))</f>
        <v>0</v>
      </c>
      <c r="CC59" s="29"/>
      <c r="CD59" s="43">
        <f>if($F59=$G59,if(and($F59=$G59,Y59&lt;&gt;Z59),'Thể lệ'!$E$6,if($F59=Y59,0,0.5*'Thể lệ'!$E$6)),if(and($F59=Y59,$G59=Z59),"0",if(($F59-$G59)*(Y59-Z59)&gt;0,0.5*'Thể lệ'!$E$6,'Thể lệ'!$E$6)))</f>
        <v>0</v>
      </c>
      <c r="CE59" s="29"/>
      <c r="CF59" s="43">
        <f>if($F59=$G59,if(and($F59=$G59,AA59&lt;&gt;AB59),'Thể lệ'!$E$6,if($F59=AA59,0,0.5*'Thể lệ'!$E$6)),if(and($F59=AA59,$G59=AB59),"0",if(($F59-$G59)*(AA59-AB59)&gt;0,0.5*'Thể lệ'!$E$6,'Thể lệ'!$E$6)))</f>
        <v>0</v>
      </c>
      <c r="CG59" s="29"/>
      <c r="CH59" s="43">
        <f>if($F59=$G59,if(and($F59=$G59,AC59&lt;&gt;AD59),'Thể lệ'!$E$6,if($F59=AC59,0,0.5*'Thể lệ'!$E$6)),if(and($F59=AC59,$G59=AD59),"0",if(($F59-$G59)*(AC59-AD59)&gt;0,0.5*'Thể lệ'!$E$6,'Thể lệ'!$E$6)))</f>
        <v>0</v>
      </c>
      <c r="CI59" s="29"/>
      <c r="CJ59" s="43">
        <f>if($F59=$G59,if(and($F59=$G59,AE59&lt;&gt;AF59),'Thể lệ'!$E$6,if($F59=AE59,0,0.5*'Thể lệ'!$E$6)),if(and($F59=AE59,$G59=AF59),"0",if(($F59-$G59)*(AE59-AF59)&gt;0,0.5*'Thể lệ'!$E$6,'Thể lệ'!$E$6)))</f>
        <v>0</v>
      </c>
      <c r="CK59" s="29"/>
      <c r="CL59" s="43">
        <f>if($F59=$G59,if(and($F59=$G59,AG59&lt;&gt;AH59),'Thể lệ'!$E$6,if($F59=AG59,0,0.5*'Thể lệ'!$E$6)),if(and($F59=AG59,$G59=AH59),"0",if(($F59-$G59)*(AG59-AH59)&gt;0,0.5*'Thể lệ'!$E$6,'Thể lệ'!$E$6)))</f>
        <v>0</v>
      </c>
      <c r="CM59" s="29"/>
      <c r="CN59" s="43">
        <f>if($F59=$G59,if(and($F59=$G59,AI59&lt;&gt;AJ59),'Thể lệ'!$E$6,if($F59=AI59,0,0.5*'Thể lệ'!$E$6)),if(and($F59=AI59,$G59=AJ59),"0",if(($F59-$G59)*(AI59-AJ59)&gt;0,0.5*'Thể lệ'!$E$6,'Thể lệ'!$E$6)))</f>
        <v>0</v>
      </c>
      <c r="CO59" s="29"/>
      <c r="CP59" s="43">
        <f>if($F59=$G59,if(and($F59=$G59,AK59&lt;&gt;AL59),'Thể lệ'!$E$6,if($F59=AK59,0,0.5*'Thể lệ'!$E$6)),if(and($F59=AK59,$G59=AL59),"0",if(($F59-$G59)*(AK59-AL59)&gt;0,0.5*'Thể lệ'!$E$6,'Thể lệ'!$E$6)))</f>
        <v>0</v>
      </c>
      <c r="CQ59" s="29"/>
      <c r="CR59" s="43">
        <f>if($F59=$G59,if(and($F59=$G59,AM59&lt;&gt;AN59),'Thể lệ'!$E$6,if($F59=AM59,0,0.5*'Thể lệ'!$E$6)),if(and($F59=AM59,$G59=AN59),"0",if(($F59-$G59)*(AM59-AN59)&gt;0,0.5*'Thể lệ'!$E$6,'Thể lệ'!$E$6)))</f>
        <v>0</v>
      </c>
      <c r="CS59" s="29"/>
      <c r="CT59" s="44">
        <f>if($F59=$G59,if(and($F59=$G59,AO59&lt;&gt;AP59),'Thể lệ'!$E$6,if($F59=AO59,0,0.5*'Thể lệ'!$E$6)),if(and($F59=AO59,$G59=AP59),"0",if(($F59-$G59)*(AO59-AP59)&gt;0,0.5*'Thể lệ'!$E$6,'Thể lệ'!$E$6)))</f>
        <v>10000</v>
      </c>
      <c r="CU59" s="29"/>
      <c r="CV59" s="43">
        <f>if($F59=$G59,if(and($F59=$G59,AQ59&lt;&gt;AR59),'Thể lệ'!$E$6,if($F59=AQ59,0,0.5*'Thể lệ'!$E$6)),if(and($F59=AQ59,$G59=AR59),"0",if(($F59-$G59)*(AQ59-AR59)&gt;0,0.5*'Thể lệ'!$E$6,'Thể lệ'!$E$6)))</f>
        <v>0</v>
      </c>
      <c r="CW59" s="29"/>
      <c r="CX59" s="44">
        <f>if($F59=$G59,if(and($F59=$G59,AS59&lt;&gt;AT59),'Thể lệ'!$E$6,if($F59=AS59,0,0.5*'Thể lệ'!$E$6)),if(and($F59=AS59,$G59=AT59),"0",if(($F59-$G59)*(AS59-AT59)&gt;0,0.5*'Thể lệ'!$E$6,'Thể lệ'!$E$6)))</f>
        <v>10000</v>
      </c>
      <c r="CY59" s="29"/>
      <c r="CZ59" s="43">
        <f>if($F59=$G59,if(and($F59=$G59,AU59&lt;&gt;AV59),'Thể lệ'!$E$6,if($F59=AU59,0,0.5*'Thể lệ'!$E$6)),if(and($F59=AU59,$G59=AV59),"0",if(($F59-$G59)*(AU59-AV59)&gt;0,0.5*'Thể lệ'!$E$6,'Thể lệ'!$E$6)))</f>
        <v>0</v>
      </c>
      <c r="DA59" s="29"/>
      <c r="DB59" s="43">
        <f>if($F59=$G59,if(and($F59=$G59,AW59&lt;&gt;AX59),'Thể lệ'!$E$6,if($F59=AW59,0,0.5*'Thể lệ'!$E$6)),if(and($F59=AW59,$G59=AX59),"0",if(($F59-$G59)*(AW59-AX59)&gt;0,0.5*'Thể lệ'!$E$6,'Thể lệ'!$E$6)))</f>
        <v>0</v>
      </c>
      <c r="DC59" s="69"/>
      <c r="DD59" s="43">
        <f>if($F59=$G59,if(and($F59=$G59,AY59&lt;&gt;AZ59),'Thể lệ'!$E$6,if($F59=AY59,0,0.5*'Thể lệ'!$E$6)),if(and($F59=AY59,$G59=AZ59),"0",if(($F59-$G59)*(AY59-AZ59)&gt;0,0.5*'Thể lệ'!$E$6,'Thể lệ'!$E$6)))</f>
        <v>0</v>
      </c>
      <c r="DE59" s="69"/>
      <c r="DF59" s="43">
        <f>if($F59=$G59,if(and($F59=$G59,BA59&lt;&gt;BB59),'Thể lệ'!$E$6,if($F59=BA59,0,0.5*'Thể lệ'!$E$6)),if(and($F59=BA59,$G59=BB59),"0",if(($F59-$G59)*(BA59-BB59)&gt;0,0.5*'Thể lệ'!$E$6,'Thể lệ'!$E$6)))</f>
        <v>0</v>
      </c>
      <c r="DG59" s="69"/>
      <c r="DH59" s="44">
        <f>if($F59=$G59,if(and($F59=$G59,BC59&lt;&gt;BD59),'Thể lệ'!$E$6,if($F59=BC59,0,0.5*'Thể lệ'!$E$6)),if(and($F59=BC59,$G59=BD59),"0",if(($F59-$G59)*(BC59-BD59)&gt;0,0.5*'Thể lệ'!$E$6,'Thể lệ'!$E$6)))</f>
        <v>10000</v>
      </c>
      <c r="DI59" s="69"/>
      <c r="DJ59" s="43">
        <f>if($F59=$G59,if(and($F59=$G59,BE59&lt;&gt;BF59),'Thể lệ'!$E$6,if($F59=BE59,0,0.5*'Thể lệ'!$E$6)),if(and($F59=BE59,$G59=BF59),"0",if(($F59-$G59)*(BE59-BF59)&gt;0,0.5*'Thể lệ'!$E$6,'Thể lệ'!$E$6)))</f>
        <v>0</v>
      </c>
      <c r="DK59" s="69"/>
      <c r="DL59" s="43">
        <f>if($F59=$G59,if(and($F59=$G59,BG59&lt;&gt;BH59),'Thể lệ'!$E$6,if($F59=BG59,0,0.5*'Thể lệ'!$E$6)),if(and($F59=BG59,$G59=BH59),"0",if(($F59-$G59)*(BG59-BH59)&gt;0,0.5*'Thể lệ'!$E$6,'Thể lệ'!$E$6)))</f>
        <v>0</v>
      </c>
      <c r="DM59" s="69"/>
      <c r="DN59" s="44">
        <f>if($F59=$G59,if(and($F59=$G59,BI59&lt;&gt;BJ59),'Thể lệ'!$E$6,if($F59=BI59,0,0.5*'Thể lệ'!$E$6)),if(and($F59=BI59,$G59=BJ59),"0",if(($F59-$G59)*(BI59-BJ59)&gt;0,0.5*'Thể lệ'!$E$6,'Thể lệ'!$E$6)))</f>
        <v>10000</v>
      </c>
      <c r="DO59" s="69"/>
      <c r="DP59" s="69"/>
    </row>
    <row r="60">
      <c r="A60" s="63"/>
      <c r="B60" s="22">
        <v>54.0</v>
      </c>
      <c r="C60" s="64">
        <v>46198.33333333333</v>
      </c>
      <c r="D60" s="65">
        <v>46198.33333333333</v>
      </c>
      <c r="E60" s="55" t="s">
        <v>33</v>
      </c>
      <c r="F60" s="23"/>
      <c r="G60" s="23"/>
      <c r="H60" s="55" t="s">
        <v>34</v>
      </c>
      <c r="I60" s="23"/>
      <c r="J60" s="23"/>
      <c r="K60" s="23"/>
      <c r="L60" s="23"/>
      <c r="M60" s="23"/>
      <c r="N60" s="23"/>
      <c r="O60" s="23"/>
      <c r="P60" s="23"/>
      <c r="Q60" s="37" t="str">
        <f t="shared" si="4"/>
        <v/>
      </c>
      <c r="R60" s="37" t="str">
        <f t="shared" si="6"/>
        <v/>
      </c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>
        <v>3.0</v>
      </c>
      <c r="AP60" s="23">
        <v>1.0</v>
      </c>
      <c r="AQ60" s="23"/>
      <c r="AR60" s="23"/>
      <c r="AS60" s="66">
        <v>1.0</v>
      </c>
      <c r="AT60" s="66">
        <v>2.0</v>
      </c>
      <c r="AU60" s="23"/>
      <c r="AV60" s="23"/>
      <c r="AW60" s="23"/>
      <c r="AX60" s="23"/>
      <c r="AY60" s="23"/>
      <c r="AZ60" s="23"/>
      <c r="BA60" s="23"/>
      <c r="BB60" s="23"/>
      <c r="BC60" s="23">
        <v>0.0</v>
      </c>
      <c r="BD60" s="23">
        <v>2.0</v>
      </c>
      <c r="BE60" s="67"/>
      <c r="BF60" s="23"/>
      <c r="BG60" s="23"/>
      <c r="BH60" s="23"/>
      <c r="BI60" s="37">
        <f>H.Son!H60</f>
        <v>1</v>
      </c>
      <c r="BJ60" s="37">
        <f>H.Son!I60</f>
        <v>1</v>
      </c>
      <c r="BK60" s="23"/>
      <c r="BL60" s="23"/>
      <c r="BM60" s="68"/>
      <c r="BN60" s="43">
        <f>if($F60=$G60,if(and($F60=$G60,I60&lt;&gt;J60),'Thể lệ'!$E$6,if($F60=I60,0,0.5*'Thể lệ'!$E$6)),if(and($F60=I60,$G60=J60),"0",if(($F60-$G60)*(I60-J60)&gt;0,0.5*'Thể lệ'!$E$6,'Thể lệ'!$E$6)))</f>
        <v>0</v>
      </c>
      <c r="BO60" s="29"/>
      <c r="BP60" s="43">
        <f>if($F60=$G60,if(and($F60=$G60,K60&lt;&gt;L60),'Thể lệ'!$E$6,if($F60=K60,0,0.5*'Thể lệ'!$E$6)),if(and($F60=K60,$G60=L60),"0",if(($F60-$G60)*(K60-L60)&gt;0,0.5*'Thể lệ'!$E$6,'Thể lệ'!$E$6)))</f>
        <v>0</v>
      </c>
      <c r="BQ60" s="29"/>
      <c r="BR60" s="43">
        <f>if($F60=$G60,if(and($F60=$G60,M60&lt;&gt;N60),'Thể lệ'!$E$6,if($F60=M60,0,0.5*'Thể lệ'!$E$6)),if(and($F60=M60,$G60=N60),"0",if(($F60-$G60)*(M60-N60)&gt;0,0.5*'Thể lệ'!$E$6,'Thể lệ'!$E$6)))</f>
        <v>0</v>
      </c>
      <c r="BS60" s="29"/>
      <c r="BT60" s="43">
        <f>if($F60=$G60,if(and($F60=$G60,O60&lt;&gt;P60),'Thể lệ'!$E$6,if($F60=O60,0,0.5*'Thể lệ'!$E$6)),if(and($F60=O60,$G60=P60),"0",if(($F60-$G60)*(O60-P60)&gt;0,0.5*'Thể lệ'!$E$6,'Thể lệ'!$E$6)))</f>
        <v>0</v>
      </c>
      <c r="BU60" s="29"/>
      <c r="BV60" s="43">
        <f>if($F60=$G60,if(and($F60=$G60,Q60&lt;&gt;R60),'Thể lệ'!$E$6,if($F60=Q60,0,0.5*'Thể lệ'!$E$6)),if(and($F60=Q60,$G60=R60),"0",if(($F60-$G60)*(Q60-R60)&gt;0,0.5*'Thể lệ'!$E$6,'Thể lệ'!$E$6)))</f>
        <v>0</v>
      </c>
      <c r="BW60" s="29"/>
      <c r="BX60" s="43">
        <f>if($F60=$G60,if(and($F60=$G60,S60&lt;&gt;T60),'Thể lệ'!$E$6,if($F60=S60,0,0.5*'Thể lệ'!$E$6)),if(and($F60=S60,$G60=T60),"0",if(($F60-$G60)*(S60-T60)&gt;0,0.5*'Thể lệ'!$E$6,'Thể lệ'!$E$6)))</f>
        <v>0</v>
      </c>
      <c r="BY60" s="29"/>
      <c r="BZ60" s="43">
        <f>if($F60=$G60,if(and($F60=$G60,U60&lt;&gt;V60),'Thể lệ'!$E$6,if($F60=U60,0,0.5*'Thể lệ'!$E$6)),if(and($F60=U60,$G60=V60),"0",if(($F60-$G60)*(U60-V60)&gt;0,0.5*'Thể lệ'!$E$6,'Thể lệ'!$E$6)))</f>
        <v>0</v>
      </c>
      <c r="CA60" s="29"/>
      <c r="CB60" s="43">
        <f>if($F60=$G60,if(and($F60=$G60,W60&lt;&gt;X60),'Thể lệ'!$E$6,if($F60=W60,0,0.5*'Thể lệ'!$E$6)),if(and($F60=W60,$G60=X60),"0",if(($F60-$G60)*(W60-X60)&gt;0,0.5*'Thể lệ'!$E$6,'Thể lệ'!$E$6)))</f>
        <v>0</v>
      </c>
      <c r="CC60" s="29"/>
      <c r="CD60" s="43">
        <f>if($F60=$G60,if(and($F60=$G60,Y60&lt;&gt;Z60),'Thể lệ'!$E$6,if($F60=Y60,0,0.5*'Thể lệ'!$E$6)),if(and($F60=Y60,$G60=Z60),"0",if(($F60-$G60)*(Y60-Z60)&gt;0,0.5*'Thể lệ'!$E$6,'Thể lệ'!$E$6)))</f>
        <v>0</v>
      </c>
      <c r="CE60" s="29"/>
      <c r="CF60" s="43">
        <f>if($F60=$G60,if(and($F60=$G60,AA60&lt;&gt;AB60),'Thể lệ'!$E$6,if($F60=AA60,0,0.5*'Thể lệ'!$E$6)),if(and($F60=AA60,$G60=AB60),"0",if(($F60-$G60)*(AA60-AB60)&gt;0,0.5*'Thể lệ'!$E$6,'Thể lệ'!$E$6)))</f>
        <v>0</v>
      </c>
      <c r="CG60" s="29"/>
      <c r="CH60" s="43">
        <f>if($F60=$G60,if(and($F60=$G60,AC60&lt;&gt;AD60),'Thể lệ'!$E$6,if($F60=AC60,0,0.5*'Thể lệ'!$E$6)),if(and($F60=AC60,$G60=AD60),"0",if(($F60-$G60)*(AC60-AD60)&gt;0,0.5*'Thể lệ'!$E$6,'Thể lệ'!$E$6)))</f>
        <v>0</v>
      </c>
      <c r="CI60" s="29"/>
      <c r="CJ60" s="43">
        <f>if($F60=$G60,if(and($F60=$G60,AE60&lt;&gt;AF60),'Thể lệ'!$E$6,if($F60=AE60,0,0.5*'Thể lệ'!$E$6)),if(and($F60=AE60,$G60=AF60),"0",if(($F60-$G60)*(AE60-AF60)&gt;0,0.5*'Thể lệ'!$E$6,'Thể lệ'!$E$6)))</f>
        <v>0</v>
      </c>
      <c r="CK60" s="29"/>
      <c r="CL60" s="43">
        <f>if($F60=$G60,if(and($F60=$G60,AG60&lt;&gt;AH60),'Thể lệ'!$E$6,if($F60=AG60,0,0.5*'Thể lệ'!$E$6)),if(and($F60=AG60,$G60=AH60),"0",if(($F60-$G60)*(AG60-AH60)&gt;0,0.5*'Thể lệ'!$E$6,'Thể lệ'!$E$6)))</f>
        <v>0</v>
      </c>
      <c r="CM60" s="29"/>
      <c r="CN60" s="43">
        <f>if($F60=$G60,if(and($F60=$G60,AI60&lt;&gt;AJ60),'Thể lệ'!$E$6,if($F60=AI60,0,0.5*'Thể lệ'!$E$6)),if(and($F60=AI60,$G60=AJ60),"0",if(($F60-$G60)*(AI60-AJ60)&gt;0,0.5*'Thể lệ'!$E$6,'Thể lệ'!$E$6)))</f>
        <v>0</v>
      </c>
      <c r="CO60" s="29"/>
      <c r="CP60" s="43">
        <f>if($F60=$G60,if(and($F60=$G60,AK60&lt;&gt;AL60),'Thể lệ'!$E$6,if($F60=AK60,0,0.5*'Thể lệ'!$E$6)),if(and($F60=AK60,$G60=AL60),"0",if(($F60-$G60)*(AK60-AL60)&gt;0,0.5*'Thể lệ'!$E$6,'Thể lệ'!$E$6)))</f>
        <v>0</v>
      </c>
      <c r="CQ60" s="29"/>
      <c r="CR60" s="43">
        <f>if($F60=$G60,if(and($F60=$G60,AM60&lt;&gt;AN60),'Thể lệ'!$E$6,if($F60=AM60,0,0.5*'Thể lệ'!$E$6)),if(and($F60=AM60,$G60=AN60),"0",if(($F60-$G60)*(AM60-AN60)&gt;0,0.5*'Thể lệ'!$E$6,'Thể lệ'!$E$6)))</f>
        <v>0</v>
      </c>
      <c r="CS60" s="29"/>
      <c r="CT60" s="44">
        <f>if($F60=$G60,if(and($F60=$G60,AO60&lt;&gt;AP60),'Thể lệ'!$E$6,if($F60=AO60,0,0.5*'Thể lệ'!$E$6)),if(and($F60=AO60,$G60=AP60),"0",if(($F60-$G60)*(AO60-AP60)&gt;0,0.5*'Thể lệ'!$E$6,'Thể lệ'!$E$6)))</f>
        <v>10000</v>
      </c>
      <c r="CU60" s="29"/>
      <c r="CV60" s="43">
        <f>if($F60=$G60,if(and($F60=$G60,AQ60&lt;&gt;AR60),'Thể lệ'!$E$6,if($F60=AQ60,0,0.5*'Thể lệ'!$E$6)),if(and($F60=AQ60,$G60=AR60),"0",if(($F60-$G60)*(AQ60-AR60)&gt;0,0.5*'Thể lệ'!$E$6,'Thể lệ'!$E$6)))</f>
        <v>0</v>
      </c>
      <c r="CW60" s="29"/>
      <c r="CX60" s="44">
        <f>if($F60=$G60,if(and($F60=$G60,AS60&lt;&gt;AT60),'Thể lệ'!$E$6,if($F60=AS60,0,0.5*'Thể lệ'!$E$6)),if(and($F60=AS60,$G60=AT60),"0",if(($F60-$G60)*(AS60-AT60)&gt;0,0.5*'Thể lệ'!$E$6,'Thể lệ'!$E$6)))</f>
        <v>10000</v>
      </c>
      <c r="CY60" s="29"/>
      <c r="CZ60" s="43">
        <f>if($F60=$G60,if(and($F60=$G60,AU60&lt;&gt;AV60),'Thể lệ'!$E$6,if($F60=AU60,0,0.5*'Thể lệ'!$E$6)),if(and($F60=AU60,$G60=AV60),"0",if(($F60-$G60)*(AU60-AV60)&gt;0,0.5*'Thể lệ'!$E$6,'Thể lệ'!$E$6)))</f>
        <v>0</v>
      </c>
      <c r="DA60" s="29"/>
      <c r="DB60" s="43">
        <f>if($F60=$G60,if(and($F60=$G60,AW60&lt;&gt;AX60),'Thể lệ'!$E$6,if($F60=AW60,0,0.5*'Thể lệ'!$E$6)),if(and($F60=AW60,$G60=AX60),"0",if(($F60-$G60)*(AW60-AX60)&gt;0,0.5*'Thể lệ'!$E$6,'Thể lệ'!$E$6)))</f>
        <v>0</v>
      </c>
      <c r="DC60" s="69"/>
      <c r="DD60" s="43">
        <f>if($F60=$G60,if(and($F60=$G60,AY60&lt;&gt;AZ60),'Thể lệ'!$E$6,if($F60=AY60,0,0.5*'Thể lệ'!$E$6)),if(and($F60=AY60,$G60=AZ60),"0",if(($F60-$G60)*(AY60-AZ60)&gt;0,0.5*'Thể lệ'!$E$6,'Thể lệ'!$E$6)))</f>
        <v>0</v>
      </c>
      <c r="DE60" s="69"/>
      <c r="DF60" s="43">
        <f>if($F60=$G60,if(and($F60=$G60,BA60&lt;&gt;BB60),'Thể lệ'!$E$6,if($F60=BA60,0,0.5*'Thể lệ'!$E$6)),if(and($F60=BA60,$G60=BB60),"0",if(($F60-$G60)*(BA60-BB60)&gt;0,0.5*'Thể lệ'!$E$6,'Thể lệ'!$E$6)))</f>
        <v>0</v>
      </c>
      <c r="DG60" s="69"/>
      <c r="DH60" s="44">
        <f>if($F60=$G60,if(and($F60=$G60,BC60&lt;&gt;BD60),'Thể lệ'!$E$6,if($F60=BC60,0,0.5*'Thể lệ'!$E$6)),if(and($F60=BC60,$G60=BD60),"0",if(($F60-$G60)*(BC60-BD60)&gt;0,0.5*'Thể lệ'!$E$6,'Thể lệ'!$E$6)))</f>
        <v>10000</v>
      </c>
      <c r="DI60" s="69"/>
      <c r="DJ60" s="43">
        <f>if($F60=$G60,if(and($F60=$G60,BE60&lt;&gt;BF60),'Thể lệ'!$E$6,if($F60=BE60,0,0.5*'Thể lệ'!$E$6)),if(and($F60=BE60,$G60=BF60),"0",if(($F60-$G60)*(BE60-BF60)&gt;0,0.5*'Thể lệ'!$E$6,'Thể lệ'!$E$6)))</f>
        <v>0</v>
      </c>
      <c r="DK60" s="69"/>
      <c r="DL60" s="43">
        <f>if($F60=$G60,if(and($F60=$G60,BG60&lt;&gt;BH60),'Thể lệ'!$E$6,if($F60=BG60,0,0.5*'Thể lệ'!$E$6)),if(and($F60=BG60,$G60=BH60),"0",if(($F60-$G60)*(BG60-BH60)&gt;0,0.5*'Thể lệ'!$E$6,'Thể lệ'!$E$6)))</f>
        <v>0</v>
      </c>
      <c r="DM60" s="69"/>
      <c r="DN60" s="44">
        <f>if($F60=$G60,if(and($F60=$G60,BI60&lt;&gt;BJ60),'Thể lệ'!$E$6,if($F60=BI60,0,0.5*'Thể lệ'!$E$6)),if(and($F60=BI60,$G60=BJ60),"0",if(($F60-$G60)*(BI60-BJ60)&gt;0,0.5*'Thể lệ'!$E$6,'Thể lệ'!$E$6)))</f>
        <v>5000</v>
      </c>
      <c r="DO60" s="69"/>
      <c r="DP60" s="69"/>
    </row>
    <row r="61">
      <c r="A61" s="63"/>
      <c r="B61" s="22">
        <v>55.0</v>
      </c>
      <c r="C61" s="64">
        <v>46199.12499999999</v>
      </c>
      <c r="D61" s="65">
        <v>46199.12499999999</v>
      </c>
      <c r="E61" s="55" t="s">
        <v>49</v>
      </c>
      <c r="F61" s="23"/>
      <c r="G61" s="23"/>
      <c r="H61" s="55" t="s">
        <v>52</v>
      </c>
      <c r="I61" s="23"/>
      <c r="J61" s="23"/>
      <c r="K61" s="23"/>
      <c r="L61" s="23"/>
      <c r="M61" s="23"/>
      <c r="N61" s="23"/>
      <c r="O61" s="23"/>
      <c r="P61" s="23"/>
      <c r="Q61" s="37" t="str">
        <f t="shared" si="4"/>
        <v/>
      </c>
      <c r="R61" s="37" t="str">
        <f t="shared" si="6"/>
        <v/>
      </c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>
        <v>4.0</v>
      </c>
      <c r="AP61" s="23">
        <v>4.0</v>
      </c>
      <c r="AQ61" s="23"/>
      <c r="AR61" s="23"/>
      <c r="AS61" s="66">
        <v>1.0</v>
      </c>
      <c r="AT61" s="66">
        <v>1.0</v>
      </c>
      <c r="AU61" s="23"/>
      <c r="AV61" s="23"/>
      <c r="AW61" s="23"/>
      <c r="AX61" s="23"/>
      <c r="AY61" s="23"/>
      <c r="AZ61" s="23"/>
      <c r="BA61" s="23"/>
      <c r="BB61" s="23"/>
      <c r="BC61" s="23">
        <v>0.0</v>
      </c>
      <c r="BD61" s="23">
        <v>2.0</v>
      </c>
      <c r="BE61" s="67"/>
      <c r="BF61" s="23"/>
      <c r="BG61" s="23"/>
      <c r="BH61" s="23"/>
      <c r="BI61" s="37">
        <f>H.Son!H61</f>
        <v>0</v>
      </c>
      <c r="BJ61" s="37">
        <f>H.Son!I61</f>
        <v>2</v>
      </c>
      <c r="BK61" s="23"/>
      <c r="BL61" s="23"/>
      <c r="BM61" s="68"/>
      <c r="BN61" s="43">
        <f>if($F61=$G61,if(and($F61=$G61,I61&lt;&gt;J61),'Thể lệ'!$E$6,if($F61=I61,0,0.5*'Thể lệ'!$E$6)),if(and($F61=I61,$G61=J61),"0",if(($F61-$G61)*(I61-J61)&gt;0,0.5*'Thể lệ'!$E$6,'Thể lệ'!$E$6)))</f>
        <v>0</v>
      </c>
      <c r="BO61" s="29"/>
      <c r="BP61" s="43">
        <f>if($F61=$G61,if(and($F61=$G61,K61&lt;&gt;L61),'Thể lệ'!$E$6,if($F61=K61,0,0.5*'Thể lệ'!$E$6)),if(and($F61=K61,$G61=L61),"0",if(($F61-$G61)*(K61-L61)&gt;0,0.5*'Thể lệ'!$E$6,'Thể lệ'!$E$6)))</f>
        <v>0</v>
      </c>
      <c r="BQ61" s="29"/>
      <c r="BR61" s="43">
        <f>if($F61=$G61,if(and($F61=$G61,M61&lt;&gt;N61),'Thể lệ'!$E$6,if($F61=M61,0,0.5*'Thể lệ'!$E$6)),if(and($F61=M61,$G61=N61),"0",if(($F61-$G61)*(M61-N61)&gt;0,0.5*'Thể lệ'!$E$6,'Thể lệ'!$E$6)))</f>
        <v>0</v>
      </c>
      <c r="BS61" s="29"/>
      <c r="BT61" s="43">
        <f>if($F61=$G61,if(and($F61=$G61,O61&lt;&gt;P61),'Thể lệ'!$E$6,if($F61=O61,0,0.5*'Thể lệ'!$E$6)),if(and($F61=O61,$G61=P61),"0",if(($F61-$G61)*(O61-P61)&gt;0,0.5*'Thể lệ'!$E$6,'Thể lệ'!$E$6)))</f>
        <v>0</v>
      </c>
      <c r="BU61" s="29"/>
      <c r="BV61" s="43">
        <f>if($F61=$G61,if(and($F61=$G61,Q61&lt;&gt;R61),'Thể lệ'!$E$6,if($F61=Q61,0,0.5*'Thể lệ'!$E$6)),if(and($F61=Q61,$G61=R61),"0",if(($F61-$G61)*(Q61-R61)&gt;0,0.5*'Thể lệ'!$E$6,'Thể lệ'!$E$6)))</f>
        <v>0</v>
      </c>
      <c r="BW61" s="29"/>
      <c r="BX61" s="43">
        <f>if($F61=$G61,if(and($F61=$G61,S61&lt;&gt;T61),'Thể lệ'!$E$6,if($F61=S61,0,0.5*'Thể lệ'!$E$6)),if(and($F61=S61,$G61=T61),"0",if(($F61-$G61)*(S61-T61)&gt;0,0.5*'Thể lệ'!$E$6,'Thể lệ'!$E$6)))</f>
        <v>0</v>
      </c>
      <c r="BY61" s="29"/>
      <c r="BZ61" s="43">
        <f>if($F61=$G61,if(and($F61=$G61,U61&lt;&gt;V61),'Thể lệ'!$E$6,if($F61=U61,0,0.5*'Thể lệ'!$E$6)),if(and($F61=U61,$G61=V61),"0",if(($F61-$G61)*(U61-V61)&gt;0,0.5*'Thể lệ'!$E$6,'Thể lệ'!$E$6)))</f>
        <v>0</v>
      </c>
      <c r="CA61" s="29"/>
      <c r="CB61" s="43">
        <f>if($F61=$G61,if(and($F61=$G61,W61&lt;&gt;X61),'Thể lệ'!$E$6,if($F61=W61,0,0.5*'Thể lệ'!$E$6)),if(and($F61=W61,$G61=X61),"0",if(($F61-$G61)*(W61-X61)&gt;0,0.5*'Thể lệ'!$E$6,'Thể lệ'!$E$6)))</f>
        <v>0</v>
      </c>
      <c r="CC61" s="29"/>
      <c r="CD61" s="43">
        <f>if($F61=$G61,if(and($F61=$G61,Y61&lt;&gt;Z61),'Thể lệ'!$E$6,if($F61=Y61,0,0.5*'Thể lệ'!$E$6)),if(and($F61=Y61,$G61=Z61),"0",if(($F61-$G61)*(Y61-Z61)&gt;0,0.5*'Thể lệ'!$E$6,'Thể lệ'!$E$6)))</f>
        <v>0</v>
      </c>
      <c r="CE61" s="29"/>
      <c r="CF61" s="43">
        <f>if($F61=$G61,if(and($F61=$G61,AA61&lt;&gt;AB61),'Thể lệ'!$E$6,if($F61=AA61,0,0.5*'Thể lệ'!$E$6)),if(and($F61=AA61,$G61=AB61),"0",if(($F61-$G61)*(AA61-AB61)&gt;0,0.5*'Thể lệ'!$E$6,'Thể lệ'!$E$6)))</f>
        <v>0</v>
      </c>
      <c r="CG61" s="29"/>
      <c r="CH61" s="43">
        <f>if($F61=$G61,if(and($F61=$G61,AC61&lt;&gt;AD61),'Thể lệ'!$E$6,if($F61=AC61,0,0.5*'Thể lệ'!$E$6)),if(and($F61=AC61,$G61=AD61),"0",if(($F61-$G61)*(AC61-AD61)&gt;0,0.5*'Thể lệ'!$E$6,'Thể lệ'!$E$6)))</f>
        <v>0</v>
      </c>
      <c r="CI61" s="29"/>
      <c r="CJ61" s="43">
        <f>if($F61=$G61,if(and($F61=$G61,AE61&lt;&gt;AF61),'Thể lệ'!$E$6,if($F61=AE61,0,0.5*'Thể lệ'!$E$6)),if(and($F61=AE61,$G61=AF61),"0",if(($F61-$G61)*(AE61-AF61)&gt;0,0.5*'Thể lệ'!$E$6,'Thể lệ'!$E$6)))</f>
        <v>0</v>
      </c>
      <c r="CK61" s="29"/>
      <c r="CL61" s="43">
        <f>if($F61=$G61,if(and($F61=$G61,AG61&lt;&gt;AH61),'Thể lệ'!$E$6,if($F61=AG61,0,0.5*'Thể lệ'!$E$6)),if(and($F61=AG61,$G61=AH61),"0",if(($F61-$G61)*(AG61-AH61)&gt;0,0.5*'Thể lệ'!$E$6,'Thể lệ'!$E$6)))</f>
        <v>0</v>
      </c>
      <c r="CM61" s="29"/>
      <c r="CN61" s="43">
        <f>if($F61=$G61,if(and($F61=$G61,AI61&lt;&gt;AJ61),'Thể lệ'!$E$6,if($F61=AI61,0,0.5*'Thể lệ'!$E$6)),if(and($F61=AI61,$G61=AJ61),"0",if(($F61-$G61)*(AI61-AJ61)&gt;0,0.5*'Thể lệ'!$E$6,'Thể lệ'!$E$6)))</f>
        <v>0</v>
      </c>
      <c r="CO61" s="29"/>
      <c r="CP61" s="43">
        <f>if($F61=$G61,if(and($F61=$G61,AK61&lt;&gt;AL61),'Thể lệ'!$E$6,if($F61=AK61,0,0.5*'Thể lệ'!$E$6)),if(and($F61=AK61,$G61=AL61),"0",if(($F61-$G61)*(AK61-AL61)&gt;0,0.5*'Thể lệ'!$E$6,'Thể lệ'!$E$6)))</f>
        <v>0</v>
      </c>
      <c r="CQ61" s="29"/>
      <c r="CR61" s="43">
        <f>if($F61=$G61,if(and($F61=$G61,AM61&lt;&gt;AN61),'Thể lệ'!$E$6,if($F61=AM61,0,0.5*'Thể lệ'!$E$6)),if(and($F61=AM61,$G61=AN61),"0",if(($F61-$G61)*(AM61-AN61)&gt;0,0.5*'Thể lệ'!$E$6,'Thể lệ'!$E$6)))</f>
        <v>0</v>
      </c>
      <c r="CS61" s="29"/>
      <c r="CT61" s="44">
        <f>if($F61=$G61,if(and($F61=$G61,AO61&lt;&gt;AP61),'Thể lệ'!$E$6,if($F61=AO61,0,0.5*'Thể lệ'!$E$6)),if(and($F61=AO61,$G61=AP61),"0",if(($F61-$G61)*(AO61-AP61)&gt;0,0.5*'Thể lệ'!$E$6,'Thể lệ'!$E$6)))</f>
        <v>5000</v>
      </c>
      <c r="CU61" s="29"/>
      <c r="CV61" s="43">
        <f>if($F61=$G61,if(and($F61=$G61,AQ61&lt;&gt;AR61),'Thể lệ'!$E$6,if($F61=AQ61,0,0.5*'Thể lệ'!$E$6)),if(and($F61=AQ61,$G61=AR61),"0",if(($F61-$G61)*(AQ61-AR61)&gt;0,0.5*'Thể lệ'!$E$6,'Thể lệ'!$E$6)))</f>
        <v>0</v>
      </c>
      <c r="CW61" s="29"/>
      <c r="CX61" s="44">
        <f>if($F61=$G61,if(and($F61=$G61,AS61&lt;&gt;AT61),'Thể lệ'!$E$6,if($F61=AS61,0,0.5*'Thể lệ'!$E$6)),if(and($F61=AS61,$G61=AT61),"0",if(($F61-$G61)*(AS61-AT61)&gt;0,0.5*'Thể lệ'!$E$6,'Thể lệ'!$E$6)))</f>
        <v>5000</v>
      </c>
      <c r="CY61" s="29"/>
      <c r="CZ61" s="43">
        <f>if($F61=$G61,if(and($F61=$G61,AU61&lt;&gt;AV61),'Thể lệ'!$E$6,if($F61=AU61,0,0.5*'Thể lệ'!$E$6)),if(and($F61=AU61,$G61=AV61),"0",if(($F61-$G61)*(AU61-AV61)&gt;0,0.5*'Thể lệ'!$E$6,'Thể lệ'!$E$6)))</f>
        <v>0</v>
      </c>
      <c r="DA61" s="29"/>
      <c r="DB61" s="43">
        <f>if($F61=$G61,if(and($F61=$G61,AW61&lt;&gt;AX61),'Thể lệ'!$E$6,if($F61=AW61,0,0.5*'Thể lệ'!$E$6)),if(and($F61=AW61,$G61=AX61),"0",if(($F61-$G61)*(AW61-AX61)&gt;0,0.5*'Thể lệ'!$E$6,'Thể lệ'!$E$6)))</f>
        <v>0</v>
      </c>
      <c r="DC61" s="69"/>
      <c r="DD61" s="43">
        <f>if($F61=$G61,if(and($F61=$G61,AY61&lt;&gt;AZ61),'Thể lệ'!$E$6,if($F61=AY61,0,0.5*'Thể lệ'!$E$6)),if(and($F61=AY61,$G61=AZ61),"0",if(($F61-$G61)*(AY61-AZ61)&gt;0,0.5*'Thể lệ'!$E$6,'Thể lệ'!$E$6)))</f>
        <v>0</v>
      </c>
      <c r="DE61" s="69"/>
      <c r="DF61" s="43">
        <f>if($F61=$G61,if(and($F61=$G61,BA61&lt;&gt;BB61),'Thể lệ'!$E$6,if($F61=BA61,0,0.5*'Thể lệ'!$E$6)),if(and($F61=BA61,$G61=BB61),"0",if(($F61-$G61)*(BA61-BB61)&gt;0,0.5*'Thể lệ'!$E$6,'Thể lệ'!$E$6)))</f>
        <v>0</v>
      </c>
      <c r="DG61" s="69"/>
      <c r="DH61" s="44">
        <f>if($F61=$G61,if(and($F61=$G61,BC61&lt;&gt;BD61),'Thể lệ'!$E$6,if($F61=BC61,0,0.5*'Thể lệ'!$E$6)),if(and($F61=BC61,$G61=BD61),"0",if(($F61-$G61)*(BC61-BD61)&gt;0,0.5*'Thể lệ'!$E$6,'Thể lệ'!$E$6)))</f>
        <v>10000</v>
      </c>
      <c r="DI61" s="69"/>
      <c r="DJ61" s="43">
        <f>if($F61=$G61,if(and($F61=$G61,BE61&lt;&gt;BF61),'Thể lệ'!$E$6,if($F61=BE61,0,0.5*'Thể lệ'!$E$6)),if(and($F61=BE61,$G61=BF61),"0",if(($F61-$G61)*(BE61-BF61)&gt;0,0.5*'Thể lệ'!$E$6,'Thể lệ'!$E$6)))</f>
        <v>0</v>
      </c>
      <c r="DK61" s="69"/>
      <c r="DL61" s="43">
        <f>if($F61=$G61,if(and($F61=$G61,BG61&lt;&gt;BH61),'Thể lệ'!$E$6,if($F61=BG61,0,0.5*'Thể lệ'!$E$6)),if(and($F61=BG61,$G61=BH61),"0",if(($F61-$G61)*(BG61-BH61)&gt;0,0.5*'Thể lệ'!$E$6,'Thể lệ'!$E$6)))</f>
        <v>0</v>
      </c>
      <c r="DM61" s="69"/>
      <c r="DN61" s="44">
        <f>if($F61=$G61,if(and($F61=$G61,BI61&lt;&gt;BJ61),'Thể lệ'!$E$6,if($F61=BI61,0,0.5*'Thể lệ'!$E$6)),if(and($F61=BI61,$G61=BJ61),"0",if(($F61-$G61)*(BI61-BJ61)&gt;0,0.5*'Thể lệ'!$E$6,'Thể lệ'!$E$6)))</f>
        <v>10000</v>
      </c>
      <c r="DO61" s="69"/>
      <c r="DP61" s="69"/>
    </row>
    <row r="62">
      <c r="A62" s="63"/>
      <c r="B62" s="22">
        <v>56.0</v>
      </c>
      <c r="C62" s="64">
        <v>46199.12499999999</v>
      </c>
      <c r="D62" s="65">
        <v>46199.12499999999</v>
      </c>
      <c r="E62" s="55" t="s">
        <v>53</v>
      </c>
      <c r="F62" s="23"/>
      <c r="G62" s="23"/>
      <c r="H62" s="55" t="s">
        <v>48</v>
      </c>
      <c r="I62" s="23"/>
      <c r="J62" s="23"/>
      <c r="K62" s="23"/>
      <c r="L62" s="23"/>
      <c r="M62" s="23"/>
      <c r="N62" s="23"/>
      <c r="O62" s="23"/>
      <c r="P62" s="23"/>
      <c r="Q62" s="37" t="str">
        <f t="shared" si="4"/>
        <v/>
      </c>
      <c r="R62" s="37" t="str">
        <f t="shared" si="6"/>
        <v/>
      </c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>
        <v>1.0</v>
      </c>
      <c r="AP62" s="23">
        <v>3.0</v>
      </c>
      <c r="AQ62" s="23"/>
      <c r="AR62" s="23"/>
      <c r="AS62" s="66">
        <v>0.0</v>
      </c>
      <c r="AT62" s="66">
        <v>3.0</v>
      </c>
      <c r="AU62" s="23"/>
      <c r="AV62" s="23"/>
      <c r="AW62" s="23"/>
      <c r="AX62" s="23"/>
      <c r="AY62" s="23"/>
      <c r="AZ62" s="23"/>
      <c r="BA62" s="23"/>
      <c r="BB62" s="23"/>
      <c r="BC62" s="23">
        <v>0.0</v>
      </c>
      <c r="BD62" s="23">
        <v>2.0</v>
      </c>
      <c r="BE62" s="67"/>
      <c r="BF62" s="23"/>
      <c r="BG62" s="23"/>
      <c r="BH62" s="23"/>
      <c r="BI62" s="37">
        <f>H.Son!H62</f>
        <v>1</v>
      </c>
      <c r="BJ62" s="37">
        <f>H.Son!I62</f>
        <v>2</v>
      </c>
      <c r="BK62" s="23"/>
      <c r="BL62" s="23"/>
      <c r="BM62" s="68"/>
      <c r="BN62" s="43">
        <f>if($F62=$G62,if(and($F62=$G62,I62&lt;&gt;J62),'Thể lệ'!$E$6,if($F62=I62,0,0.5*'Thể lệ'!$E$6)),if(and($F62=I62,$G62=J62),"0",if(($F62-$G62)*(I62-J62)&gt;0,0.5*'Thể lệ'!$E$6,'Thể lệ'!$E$6)))</f>
        <v>0</v>
      </c>
      <c r="BO62" s="29"/>
      <c r="BP62" s="43">
        <f>if($F62=$G62,if(and($F62=$G62,K62&lt;&gt;L62),'Thể lệ'!$E$6,if($F62=K62,0,0.5*'Thể lệ'!$E$6)),if(and($F62=K62,$G62=L62),"0",if(($F62-$G62)*(K62-L62)&gt;0,0.5*'Thể lệ'!$E$6,'Thể lệ'!$E$6)))</f>
        <v>0</v>
      </c>
      <c r="BQ62" s="29"/>
      <c r="BR62" s="43">
        <f>if($F62=$G62,if(and($F62=$G62,M62&lt;&gt;N62),'Thể lệ'!$E$6,if($F62=M62,0,0.5*'Thể lệ'!$E$6)),if(and($F62=M62,$G62=N62),"0",if(($F62-$G62)*(M62-N62)&gt;0,0.5*'Thể lệ'!$E$6,'Thể lệ'!$E$6)))</f>
        <v>0</v>
      </c>
      <c r="BS62" s="29"/>
      <c r="BT62" s="43">
        <f>if($F62=$G62,if(and($F62=$G62,O62&lt;&gt;P62),'Thể lệ'!$E$6,if($F62=O62,0,0.5*'Thể lệ'!$E$6)),if(and($F62=O62,$G62=P62),"0",if(($F62-$G62)*(O62-P62)&gt;0,0.5*'Thể lệ'!$E$6,'Thể lệ'!$E$6)))</f>
        <v>0</v>
      </c>
      <c r="BU62" s="29"/>
      <c r="BV62" s="43">
        <f>if($F62=$G62,if(and($F62=$G62,Q62&lt;&gt;R62),'Thể lệ'!$E$6,if($F62=Q62,0,0.5*'Thể lệ'!$E$6)),if(and($F62=Q62,$G62=R62),"0",if(($F62-$G62)*(Q62-R62)&gt;0,0.5*'Thể lệ'!$E$6,'Thể lệ'!$E$6)))</f>
        <v>0</v>
      </c>
      <c r="BW62" s="29"/>
      <c r="BX62" s="43">
        <f>if($F62=$G62,if(and($F62=$G62,S62&lt;&gt;T62),'Thể lệ'!$E$6,if($F62=S62,0,0.5*'Thể lệ'!$E$6)),if(and($F62=S62,$G62=T62),"0",if(($F62-$G62)*(S62-T62)&gt;0,0.5*'Thể lệ'!$E$6,'Thể lệ'!$E$6)))</f>
        <v>0</v>
      </c>
      <c r="BY62" s="29"/>
      <c r="BZ62" s="43">
        <f>if($F62=$G62,if(and($F62=$G62,U62&lt;&gt;V62),'Thể lệ'!$E$6,if($F62=U62,0,0.5*'Thể lệ'!$E$6)),if(and($F62=U62,$G62=V62),"0",if(($F62-$G62)*(U62-V62)&gt;0,0.5*'Thể lệ'!$E$6,'Thể lệ'!$E$6)))</f>
        <v>0</v>
      </c>
      <c r="CA62" s="29"/>
      <c r="CB62" s="43">
        <f>if($F62=$G62,if(and($F62=$G62,W62&lt;&gt;X62),'Thể lệ'!$E$6,if($F62=W62,0,0.5*'Thể lệ'!$E$6)),if(and($F62=W62,$G62=X62),"0",if(($F62-$G62)*(W62-X62)&gt;0,0.5*'Thể lệ'!$E$6,'Thể lệ'!$E$6)))</f>
        <v>0</v>
      </c>
      <c r="CC62" s="29"/>
      <c r="CD62" s="43">
        <f>if($F62=$G62,if(and($F62=$G62,Y62&lt;&gt;Z62),'Thể lệ'!$E$6,if($F62=Y62,0,0.5*'Thể lệ'!$E$6)),if(and($F62=Y62,$G62=Z62),"0",if(($F62-$G62)*(Y62-Z62)&gt;0,0.5*'Thể lệ'!$E$6,'Thể lệ'!$E$6)))</f>
        <v>0</v>
      </c>
      <c r="CE62" s="29"/>
      <c r="CF62" s="43">
        <f>if($F62=$G62,if(and($F62=$G62,AA62&lt;&gt;AB62),'Thể lệ'!$E$6,if($F62=AA62,0,0.5*'Thể lệ'!$E$6)),if(and($F62=AA62,$G62=AB62),"0",if(($F62-$G62)*(AA62-AB62)&gt;0,0.5*'Thể lệ'!$E$6,'Thể lệ'!$E$6)))</f>
        <v>0</v>
      </c>
      <c r="CG62" s="29"/>
      <c r="CH62" s="43">
        <f>if($F62=$G62,if(and($F62=$G62,AC62&lt;&gt;AD62),'Thể lệ'!$E$6,if($F62=AC62,0,0.5*'Thể lệ'!$E$6)),if(and($F62=AC62,$G62=AD62),"0",if(($F62-$G62)*(AC62-AD62)&gt;0,0.5*'Thể lệ'!$E$6,'Thể lệ'!$E$6)))</f>
        <v>0</v>
      </c>
      <c r="CI62" s="29"/>
      <c r="CJ62" s="43">
        <f>if($F62=$G62,if(and($F62=$G62,AE62&lt;&gt;AF62),'Thể lệ'!$E$6,if($F62=AE62,0,0.5*'Thể lệ'!$E$6)),if(and($F62=AE62,$G62=AF62),"0",if(($F62-$G62)*(AE62-AF62)&gt;0,0.5*'Thể lệ'!$E$6,'Thể lệ'!$E$6)))</f>
        <v>0</v>
      </c>
      <c r="CK62" s="29"/>
      <c r="CL62" s="43">
        <f>if($F62=$G62,if(and($F62=$G62,AG62&lt;&gt;AH62),'Thể lệ'!$E$6,if($F62=AG62,0,0.5*'Thể lệ'!$E$6)),if(and($F62=AG62,$G62=AH62),"0",if(($F62-$G62)*(AG62-AH62)&gt;0,0.5*'Thể lệ'!$E$6,'Thể lệ'!$E$6)))</f>
        <v>0</v>
      </c>
      <c r="CM62" s="29"/>
      <c r="CN62" s="43">
        <f>if($F62=$G62,if(and($F62=$G62,AI62&lt;&gt;AJ62),'Thể lệ'!$E$6,if($F62=AI62,0,0.5*'Thể lệ'!$E$6)),if(and($F62=AI62,$G62=AJ62),"0",if(($F62-$G62)*(AI62-AJ62)&gt;0,0.5*'Thể lệ'!$E$6,'Thể lệ'!$E$6)))</f>
        <v>0</v>
      </c>
      <c r="CO62" s="29"/>
      <c r="CP62" s="43">
        <f>if($F62=$G62,if(and($F62=$G62,AK62&lt;&gt;AL62),'Thể lệ'!$E$6,if($F62=AK62,0,0.5*'Thể lệ'!$E$6)),if(and($F62=AK62,$G62=AL62),"0",if(($F62-$G62)*(AK62-AL62)&gt;0,0.5*'Thể lệ'!$E$6,'Thể lệ'!$E$6)))</f>
        <v>0</v>
      </c>
      <c r="CQ62" s="29"/>
      <c r="CR62" s="43">
        <f>if($F62=$G62,if(and($F62=$G62,AM62&lt;&gt;AN62),'Thể lệ'!$E$6,if($F62=AM62,0,0.5*'Thể lệ'!$E$6)),if(and($F62=AM62,$G62=AN62),"0",if(($F62-$G62)*(AM62-AN62)&gt;0,0.5*'Thể lệ'!$E$6,'Thể lệ'!$E$6)))</f>
        <v>0</v>
      </c>
      <c r="CS62" s="29"/>
      <c r="CT62" s="44">
        <f>if($F62=$G62,if(and($F62=$G62,AO62&lt;&gt;AP62),'Thể lệ'!$E$6,if($F62=AO62,0,0.5*'Thể lệ'!$E$6)),if(and($F62=AO62,$G62=AP62),"0",if(($F62-$G62)*(AO62-AP62)&gt;0,0.5*'Thể lệ'!$E$6,'Thể lệ'!$E$6)))</f>
        <v>10000</v>
      </c>
      <c r="CU62" s="29"/>
      <c r="CV62" s="43">
        <f>if($F62=$G62,if(and($F62=$G62,AQ62&lt;&gt;AR62),'Thể lệ'!$E$6,if($F62=AQ62,0,0.5*'Thể lệ'!$E$6)),if(and($F62=AQ62,$G62=AR62),"0",if(($F62-$G62)*(AQ62-AR62)&gt;0,0.5*'Thể lệ'!$E$6,'Thể lệ'!$E$6)))</f>
        <v>0</v>
      </c>
      <c r="CW62" s="29"/>
      <c r="CX62" s="44">
        <f>if($F62=$G62,if(and($F62=$G62,AS62&lt;&gt;AT62),'Thể lệ'!$E$6,if($F62=AS62,0,0.5*'Thể lệ'!$E$6)),if(and($F62=AS62,$G62=AT62),"0",if(($F62-$G62)*(AS62-AT62)&gt;0,0.5*'Thể lệ'!$E$6,'Thể lệ'!$E$6)))</f>
        <v>10000</v>
      </c>
      <c r="CY62" s="29"/>
      <c r="CZ62" s="43">
        <f>if($F62=$G62,if(and($F62=$G62,AU62&lt;&gt;AV62),'Thể lệ'!$E$6,if($F62=AU62,0,0.5*'Thể lệ'!$E$6)),if(and($F62=AU62,$G62=AV62),"0",if(($F62-$G62)*(AU62-AV62)&gt;0,0.5*'Thể lệ'!$E$6,'Thể lệ'!$E$6)))</f>
        <v>0</v>
      </c>
      <c r="DA62" s="29"/>
      <c r="DB62" s="43">
        <f>if($F62=$G62,if(and($F62=$G62,AW62&lt;&gt;AX62),'Thể lệ'!$E$6,if($F62=AW62,0,0.5*'Thể lệ'!$E$6)),if(and($F62=AW62,$G62=AX62),"0",if(($F62-$G62)*(AW62-AX62)&gt;0,0.5*'Thể lệ'!$E$6,'Thể lệ'!$E$6)))</f>
        <v>0</v>
      </c>
      <c r="DC62" s="69"/>
      <c r="DD62" s="43">
        <f>if($F62=$G62,if(and($F62=$G62,AY62&lt;&gt;AZ62),'Thể lệ'!$E$6,if($F62=AY62,0,0.5*'Thể lệ'!$E$6)),if(and($F62=AY62,$G62=AZ62),"0",if(($F62-$G62)*(AY62-AZ62)&gt;0,0.5*'Thể lệ'!$E$6,'Thể lệ'!$E$6)))</f>
        <v>0</v>
      </c>
      <c r="DE62" s="69"/>
      <c r="DF62" s="43">
        <f>if($F62=$G62,if(and($F62=$G62,BA62&lt;&gt;BB62),'Thể lệ'!$E$6,if($F62=BA62,0,0.5*'Thể lệ'!$E$6)),if(and($F62=BA62,$G62=BB62),"0",if(($F62-$G62)*(BA62-BB62)&gt;0,0.5*'Thể lệ'!$E$6,'Thể lệ'!$E$6)))</f>
        <v>0</v>
      </c>
      <c r="DG62" s="69"/>
      <c r="DH62" s="44">
        <f>if($F62=$G62,if(and($F62=$G62,BC62&lt;&gt;BD62),'Thể lệ'!$E$6,if($F62=BC62,0,0.5*'Thể lệ'!$E$6)),if(and($F62=BC62,$G62=BD62),"0",if(($F62-$G62)*(BC62-BD62)&gt;0,0.5*'Thể lệ'!$E$6,'Thể lệ'!$E$6)))</f>
        <v>10000</v>
      </c>
      <c r="DI62" s="69"/>
      <c r="DJ62" s="43">
        <f>if($F62=$G62,if(and($F62=$G62,BE62&lt;&gt;BF62),'Thể lệ'!$E$6,if($F62=BE62,0,0.5*'Thể lệ'!$E$6)),if(and($F62=BE62,$G62=BF62),"0",if(($F62-$G62)*(BE62-BF62)&gt;0,0.5*'Thể lệ'!$E$6,'Thể lệ'!$E$6)))</f>
        <v>0</v>
      </c>
      <c r="DK62" s="69"/>
      <c r="DL62" s="43">
        <f>if($F62=$G62,if(and($F62=$G62,BG62&lt;&gt;BH62),'Thể lệ'!$E$6,if($F62=BG62,0,0.5*'Thể lệ'!$E$6)),if(and($F62=BG62,$G62=BH62),"0",if(($F62-$G62)*(BG62-BH62)&gt;0,0.5*'Thể lệ'!$E$6,'Thể lệ'!$E$6)))</f>
        <v>0</v>
      </c>
      <c r="DM62" s="69"/>
      <c r="DN62" s="44">
        <f>if($F62=$G62,if(and($F62=$G62,BI62&lt;&gt;BJ62),'Thể lệ'!$E$6,if($F62=BI62,0,0.5*'Thể lệ'!$E$6)),if(and($F62=BI62,$G62=BJ62),"0",if(($F62-$G62)*(BI62-BJ62)&gt;0,0.5*'Thể lệ'!$E$6,'Thể lệ'!$E$6)))</f>
        <v>10000</v>
      </c>
      <c r="DO62" s="69"/>
      <c r="DP62" s="69"/>
    </row>
    <row r="63">
      <c r="A63" s="63"/>
      <c r="B63" s="22">
        <v>57.0</v>
      </c>
      <c r="C63" s="64">
        <v>46199.24999999999</v>
      </c>
      <c r="D63" s="65">
        <v>46199.24999999999</v>
      </c>
      <c r="E63" s="55" t="s">
        <v>51</v>
      </c>
      <c r="F63" s="23"/>
      <c r="G63" s="23"/>
      <c r="H63" s="55" t="s">
        <v>54</v>
      </c>
      <c r="I63" s="23"/>
      <c r="J63" s="23"/>
      <c r="K63" s="23"/>
      <c r="L63" s="23"/>
      <c r="M63" s="23"/>
      <c r="N63" s="23"/>
      <c r="O63" s="23"/>
      <c r="P63" s="23"/>
      <c r="Q63" s="37" t="str">
        <f t="shared" si="4"/>
        <v/>
      </c>
      <c r="R63" s="37" t="str">
        <f t="shared" si="6"/>
        <v/>
      </c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>
        <v>3.0</v>
      </c>
      <c r="AP63" s="23">
        <v>1.0</v>
      </c>
      <c r="AQ63" s="23"/>
      <c r="AR63" s="23"/>
      <c r="AS63" s="66">
        <v>1.0</v>
      </c>
      <c r="AT63" s="66">
        <v>1.0</v>
      </c>
      <c r="AU63" s="23"/>
      <c r="AV63" s="23"/>
      <c r="AW63" s="23"/>
      <c r="AX63" s="23"/>
      <c r="AY63" s="23"/>
      <c r="AZ63" s="23"/>
      <c r="BA63" s="23"/>
      <c r="BB63" s="23"/>
      <c r="BC63" s="23">
        <v>2.0</v>
      </c>
      <c r="BD63" s="23">
        <v>1.0</v>
      </c>
      <c r="BE63" s="67"/>
      <c r="BF63" s="23"/>
      <c r="BG63" s="23"/>
      <c r="BH63" s="23"/>
      <c r="BI63" s="37">
        <f>H.Son!H63</f>
        <v>1</v>
      </c>
      <c r="BJ63" s="37">
        <f>H.Son!I63</f>
        <v>1</v>
      </c>
      <c r="BK63" s="23"/>
      <c r="BL63" s="23"/>
      <c r="BM63" s="68"/>
      <c r="BN63" s="43">
        <f>if($F63=$G63,if(and($F63=$G63,I63&lt;&gt;J63),'Thể lệ'!$E$6,if($F63=I63,0,0.5*'Thể lệ'!$E$6)),if(and($F63=I63,$G63=J63),"0",if(($F63-$G63)*(I63-J63)&gt;0,0.5*'Thể lệ'!$E$6,'Thể lệ'!$E$6)))</f>
        <v>0</v>
      </c>
      <c r="BO63" s="29"/>
      <c r="BP63" s="43">
        <f>if($F63=$G63,if(and($F63=$G63,K63&lt;&gt;L63),'Thể lệ'!$E$6,if($F63=K63,0,0.5*'Thể lệ'!$E$6)),if(and($F63=K63,$G63=L63),"0",if(($F63-$G63)*(K63-L63)&gt;0,0.5*'Thể lệ'!$E$6,'Thể lệ'!$E$6)))</f>
        <v>0</v>
      </c>
      <c r="BQ63" s="29"/>
      <c r="BR63" s="43">
        <f>if($F63=$G63,if(and($F63=$G63,M63&lt;&gt;N63),'Thể lệ'!$E$6,if($F63=M63,0,0.5*'Thể lệ'!$E$6)),if(and($F63=M63,$G63=N63),"0",if(($F63-$G63)*(M63-N63)&gt;0,0.5*'Thể lệ'!$E$6,'Thể lệ'!$E$6)))</f>
        <v>0</v>
      </c>
      <c r="BS63" s="29"/>
      <c r="BT63" s="43">
        <f>if($F63=$G63,if(and($F63=$G63,O63&lt;&gt;P63),'Thể lệ'!$E$6,if($F63=O63,0,0.5*'Thể lệ'!$E$6)),if(and($F63=O63,$G63=P63),"0",if(($F63-$G63)*(O63-P63)&gt;0,0.5*'Thể lệ'!$E$6,'Thể lệ'!$E$6)))</f>
        <v>0</v>
      </c>
      <c r="BU63" s="29"/>
      <c r="BV63" s="43">
        <f>if($F63=$G63,if(and($F63=$G63,Q63&lt;&gt;R63),'Thể lệ'!$E$6,if($F63=Q63,0,0.5*'Thể lệ'!$E$6)),if(and($F63=Q63,$G63=R63),"0",if(($F63-$G63)*(Q63-R63)&gt;0,0.5*'Thể lệ'!$E$6,'Thể lệ'!$E$6)))</f>
        <v>0</v>
      </c>
      <c r="BW63" s="29"/>
      <c r="BX63" s="43">
        <f>if($F63=$G63,if(and($F63=$G63,S63&lt;&gt;T63),'Thể lệ'!$E$6,if($F63=S63,0,0.5*'Thể lệ'!$E$6)),if(and($F63=S63,$G63=T63),"0",if(($F63-$G63)*(S63-T63)&gt;0,0.5*'Thể lệ'!$E$6,'Thể lệ'!$E$6)))</f>
        <v>0</v>
      </c>
      <c r="BY63" s="29"/>
      <c r="BZ63" s="43">
        <f>if($F63=$G63,if(and($F63=$G63,U63&lt;&gt;V63),'Thể lệ'!$E$6,if($F63=U63,0,0.5*'Thể lệ'!$E$6)),if(and($F63=U63,$G63=V63),"0",if(($F63-$G63)*(U63-V63)&gt;0,0.5*'Thể lệ'!$E$6,'Thể lệ'!$E$6)))</f>
        <v>0</v>
      </c>
      <c r="CA63" s="29"/>
      <c r="CB63" s="43">
        <f>if($F63=$G63,if(and($F63=$G63,W63&lt;&gt;X63),'Thể lệ'!$E$6,if($F63=W63,0,0.5*'Thể lệ'!$E$6)),if(and($F63=W63,$G63=X63),"0",if(($F63-$G63)*(W63-X63)&gt;0,0.5*'Thể lệ'!$E$6,'Thể lệ'!$E$6)))</f>
        <v>0</v>
      </c>
      <c r="CC63" s="29"/>
      <c r="CD63" s="43">
        <f>if($F63=$G63,if(and($F63=$G63,Y63&lt;&gt;Z63),'Thể lệ'!$E$6,if($F63=Y63,0,0.5*'Thể lệ'!$E$6)),if(and($F63=Y63,$G63=Z63),"0",if(($F63-$G63)*(Y63-Z63)&gt;0,0.5*'Thể lệ'!$E$6,'Thể lệ'!$E$6)))</f>
        <v>0</v>
      </c>
      <c r="CE63" s="29"/>
      <c r="CF63" s="43">
        <f>if($F63=$G63,if(and($F63=$G63,AA63&lt;&gt;AB63),'Thể lệ'!$E$6,if($F63=AA63,0,0.5*'Thể lệ'!$E$6)),if(and($F63=AA63,$G63=AB63),"0",if(($F63-$G63)*(AA63-AB63)&gt;0,0.5*'Thể lệ'!$E$6,'Thể lệ'!$E$6)))</f>
        <v>0</v>
      </c>
      <c r="CG63" s="29"/>
      <c r="CH63" s="43">
        <f>if($F63=$G63,if(and($F63=$G63,AC63&lt;&gt;AD63),'Thể lệ'!$E$6,if($F63=AC63,0,0.5*'Thể lệ'!$E$6)),if(and($F63=AC63,$G63=AD63),"0",if(($F63-$G63)*(AC63-AD63)&gt;0,0.5*'Thể lệ'!$E$6,'Thể lệ'!$E$6)))</f>
        <v>0</v>
      </c>
      <c r="CI63" s="29"/>
      <c r="CJ63" s="43">
        <f>if($F63=$G63,if(and($F63=$G63,AE63&lt;&gt;AF63),'Thể lệ'!$E$6,if($F63=AE63,0,0.5*'Thể lệ'!$E$6)),if(and($F63=AE63,$G63=AF63),"0",if(($F63-$G63)*(AE63-AF63)&gt;0,0.5*'Thể lệ'!$E$6,'Thể lệ'!$E$6)))</f>
        <v>0</v>
      </c>
      <c r="CK63" s="29"/>
      <c r="CL63" s="43">
        <f>if($F63=$G63,if(and($F63=$G63,AG63&lt;&gt;AH63),'Thể lệ'!$E$6,if($F63=AG63,0,0.5*'Thể lệ'!$E$6)),if(and($F63=AG63,$G63=AH63),"0",if(($F63-$G63)*(AG63-AH63)&gt;0,0.5*'Thể lệ'!$E$6,'Thể lệ'!$E$6)))</f>
        <v>0</v>
      </c>
      <c r="CM63" s="29"/>
      <c r="CN63" s="43">
        <f>if($F63=$G63,if(and($F63=$G63,AI63&lt;&gt;AJ63),'Thể lệ'!$E$6,if($F63=AI63,0,0.5*'Thể lệ'!$E$6)),if(and($F63=AI63,$G63=AJ63),"0",if(($F63-$G63)*(AI63-AJ63)&gt;0,0.5*'Thể lệ'!$E$6,'Thể lệ'!$E$6)))</f>
        <v>0</v>
      </c>
      <c r="CO63" s="29"/>
      <c r="CP63" s="43">
        <f>if($F63=$G63,if(and($F63=$G63,AK63&lt;&gt;AL63),'Thể lệ'!$E$6,if($F63=AK63,0,0.5*'Thể lệ'!$E$6)),if(and($F63=AK63,$G63=AL63),"0",if(($F63-$G63)*(AK63-AL63)&gt;0,0.5*'Thể lệ'!$E$6,'Thể lệ'!$E$6)))</f>
        <v>0</v>
      </c>
      <c r="CQ63" s="29"/>
      <c r="CR63" s="43">
        <f>if($F63=$G63,if(and($F63=$G63,AM63&lt;&gt;AN63),'Thể lệ'!$E$6,if($F63=AM63,0,0.5*'Thể lệ'!$E$6)),if(and($F63=AM63,$G63=AN63),"0",if(($F63-$G63)*(AM63-AN63)&gt;0,0.5*'Thể lệ'!$E$6,'Thể lệ'!$E$6)))</f>
        <v>0</v>
      </c>
      <c r="CS63" s="29"/>
      <c r="CT63" s="44">
        <f>if($F63=$G63,if(and($F63=$G63,AO63&lt;&gt;AP63),'Thể lệ'!$E$6,if($F63=AO63,0,0.5*'Thể lệ'!$E$6)),if(and($F63=AO63,$G63=AP63),"0",if(($F63-$G63)*(AO63-AP63)&gt;0,0.5*'Thể lệ'!$E$6,'Thể lệ'!$E$6)))</f>
        <v>10000</v>
      </c>
      <c r="CU63" s="29"/>
      <c r="CV63" s="43">
        <f>if($F63=$G63,if(and($F63=$G63,AQ63&lt;&gt;AR63),'Thể lệ'!$E$6,if($F63=AQ63,0,0.5*'Thể lệ'!$E$6)),if(and($F63=AQ63,$G63=AR63),"0",if(($F63-$G63)*(AQ63-AR63)&gt;0,0.5*'Thể lệ'!$E$6,'Thể lệ'!$E$6)))</f>
        <v>0</v>
      </c>
      <c r="CW63" s="29"/>
      <c r="CX63" s="44">
        <f>if($F63=$G63,if(and($F63=$G63,AS63&lt;&gt;AT63),'Thể lệ'!$E$6,if($F63=AS63,0,0.5*'Thể lệ'!$E$6)),if(and($F63=AS63,$G63=AT63),"0",if(($F63-$G63)*(AS63-AT63)&gt;0,0.5*'Thể lệ'!$E$6,'Thể lệ'!$E$6)))</f>
        <v>5000</v>
      </c>
      <c r="CY63" s="29"/>
      <c r="CZ63" s="43">
        <f>if($F63=$G63,if(and($F63=$G63,AU63&lt;&gt;AV63),'Thể lệ'!$E$6,if($F63=AU63,0,0.5*'Thể lệ'!$E$6)),if(and($F63=AU63,$G63=AV63),"0",if(($F63-$G63)*(AU63-AV63)&gt;0,0.5*'Thể lệ'!$E$6,'Thể lệ'!$E$6)))</f>
        <v>0</v>
      </c>
      <c r="DA63" s="29"/>
      <c r="DB63" s="43">
        <f>if($F63=$G63,if(and($F63=$G63,AW63&lt;&gt;AX63),'Thể lệ'!$E$6,if($F63=AW63,0,0.5*'Thể lệ'!$E$6)),if(and($F63=AW63,$G63=AX63),"0",if(($F63-$G63)*(AW63-AX63)&gt;0,0.5*'Thể lệ'!$E$6,'Thể lệ'!$E$6)))</f>
        <v>0</v>
      </c>
      <c r="DC63" s="69"/>
      <c r="DD63" s="43">
        <f>if($F63=$G63,if(and($F63=$G63,AY63&lt;&gt;AZ63),'Thể lệ'!$E$6,if($F63=AY63,0,0.5*'Thể lệ'!$E$6)),if(and($F63=AY63,$G63=AZ63),"0",if(($F63-$G63)*(AY63-AZ63)&gt;0,0.5*'Thể lệ'!$E$6,'Thể lệ'!$E$6)))</f>
        <v>0</v>
      </c>
      <c r="DE63" s="69"/>
      <c r="DF63" s="43">
        <f>if($F63=$G63,if(and($F63=$G63,BA63&lt;&gt;BB63),'Thể lệ'!$E$6,if($F63=BA63,0,0.5*'Thể lệ'!$E$6)),if(and($F63=BA63,$G63=BB63),"0",if(($F63-$G63)*(BA63-BB63)&gt;0,0.5*'Thể lệ'!$E$6,'Thể lệ'!$E$6)))</f>
        <v>0</v>
      </c>
      <c r="DG63" s="69"/>
      <c r="DH63" s="44">
        <f>if($F63=$G63,if(and($F63=$G63,BC63&lt;&gt;BD63),'Thể lệ'!$E$6,if($F63=BC63,0,0.5*'Thể lệ'!$E$6)),if(and($F63=BC63,$G63=BD63),"0",if(($F63-$G63)*(BC63-BD63)&gt;0,0.5*'Thể lệ'!$E$6,'Thể lệ'!$E$6)))</f>
        <v>10000</v>
      </c>
      <c r="DI63" s="69"/>
      <c r="DJ63" s="43">
        <f>if($F63=$G63,if(and($F63=$G63,BE63&lt;&gt;BF63),'Thể lệ'!$E$6,if($F63=BE63,0,0.5*'Thể lệ'!$E$6)),if(and($F63=BE63,$G63=BF63),"0",if(($F63-$G63)*(BE63-BF63)&gt;0,0.5*'Thể lệ'!$E$6,'Thể lệ'!$E$6)))</f>
        <v>0</v>
      </c>
      <c r="DK63" s="69"/>
      <c r="DL63" s="43">
        <f>if($F63=$G63,if(and($F63=$G63,BG63&lt;&gt;BH63),'Thể lệ'!$E$6,if($F63=BG63,0,0.5*'Thể lệ'!$E$6)),if(and($F63=BG63,$G63=BH63),"0",if(($F63-$G63)*(BG63-BH63)&gt;0,0.5*'Thể lệ'!$E$6,'Thể lệ'!$E$6)))</f>
        <v>0</v>
      </c>
      <c r="DM63" s="69"/>
      <c r="DN63" s="44">
        <f>if($F63=$G63,if(and($F63=$G63,BI63&lt;&gt;BJ63),'Thể lệ'!$E$6,if($F63=BI63,0,0.5*'Thể lệ'!$E$6)),if(and($F63=BI63,$G63=BJ63),"0",if(($F63-$G63)*(BI63-BJ63)&gt;0,0.5*'Thể lệ'!$E$6,'Thể lệ'!$E$6)))</f>
        <v>5000</v>
      </c>
      <c r="DO63" s="69"/>
      <c r="DP63" s="69"/>
    </row>
    <row r="64">
      <c r="A64" s="63"/>
      <c r="B64" s="22">
        <v>58.0</v>
      </c>
      <c r="C64" s="64">
        <v>46199.24999999999</v>
      </c>
      <c r="D64" s="65">
        <v>46199.24999999999</v>
      </c>
      <c r="E64" s="55" t="s">
        <v>55</v>
      </c>
      <c r="F64" s="23"/>
      <c r="G64" s="23"/>
      <c r="H64" s="55" t="s">
        <v>50</v>
      </c>
      <c r="I64" s="23"/>
      <c r="J64" s="23"/>
      <c r="K64" s="23"/>
      <c r="L64" s="23"/>
      <c r="M64" s="23"/>
      <c r="N64" s="23"/>
      <c r="O64" s="23"/>
      <c r="P64" s="23"/>
      <c r="Q64" s="37" t="str">
        <f t="shared" si="4"/>
        <v/>
      </c>
      <c r="R64" s="37" t="str">
        <f t="shared" si="6"/>
        <v/>
      </c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>
        <v>1.0</v>
      </c>
      <c r="AP64" s="23">
        <v>3.0</v>
      </c>
      <c r="AQ64" s="23"/>
      <c r="AR64" s="23"/>
      <c r="AS64" s="66">
        <v>0.0</v>
      </c>
      <c r="AT64" s="66">
        <v>3.0</v>
      </c>
      <c r="AU64" s="23"/>
      <c r="AV64" s="23"/>
      <c r="AW64" s="23"/>
      <c r="AX64" s="23"/>
      <c r="AY64" s="23"/>
      <c r="AZ64" s="23"/>
      <c r="BA64" s="23"/>
      <c r="BB64" s="23"/>
      <c r="BC64" s="23">
        <v>0.0</v>
      </c>
      <c r="BD64" s="23">
        <v>3.0</v>
      </c>
      <c r="BE64" s="67"/>
      <c r="BF64" s="23"/>
      <c r="BG64" s="23"/>
      <c r="BH64" s="23"/>
      <c r="BI64" s="37">
        <f>H.Son!H64</f>
        <v>0</v>
      </c>
      <c r="BJ64" s="37">
        <f>H.Son!I64</f>
        <v>2</v>
      </c>
      <c r="BK64" s="23"/>
      <c r="BL64" s="23"/>
      <c r="BM64" s="68"/>
      <c r="BN64" s="43">
        <f>if($F64=$G64,if(and($F64=$G64,I64&lt;&gt;J64),'Thể lệ'!$E$6,if($F64=I64,0,0.5*'Thể lệ'!$E$6)),if(and($F64=I64,$G64=J64),"0",if(($F64-$G64)*(I64-J64)&gt;0,0.5*'Thể lệ'!$E$6,'Thể lệ'!$E$6)))</f>
        <v>0</v>
      </c>
      <c r="BO64" s="29"/>
      <c r="BP64" s="43">
        <f>if($F64=$G64,if(and($F64=$G64,K64&lt;&gt;L64),'Thể lệ'!$E$6,if($F64=K64,0,0.5*'Thể lệ'!$E$6)),if(and($F64=K64,$G64=L64),"0",if(($F64-$G64)*(K64-L64)&gt;0,0.5*'Thể lệ'!$E$6,'Thể lệ'!$E$6)))</f>
        <v>0</v>
      </c>
      <c r="BQ64" s="29"/>
      <c r="BR64" s="43">
        <f>if($F64=$G64,if(and($F64=$G64,M64&lt;&gt;N64),'Thể lệ'!$E$6,if($F64=M64,0,0.5*'Thể lệ'!$E$6)),if(and($F64=M64,$G64=N64),"0",if(($F64-$G64)*(M64-N64)&gt;0,0.5*'Thể lệ'!$E$6,'Thể lệ'!$E$6)))</f>
        <v>0</v>
      </c>
      <c r="BS64" s="29"/>
      <c r="BT64" s="43">
        <f>if($F64=$G64,if(and($F64=$G64,O64&lt;&gt;P64),'Thể lệ'!$E$6,if($F64=O64,0,0.5*'Thể lệ'!$E$6)),if(and($F64=O64,$G64=P64),"0",if(($F64-$G64)*(O64-P64)&gt;0,0.5*'Thể lệ'!$E$6,'Thể lệ'!$E$6)))</f>
        <v>0</v>
      </c>
      <c r="BU64" s="29"/>
      <c r="BV64" s="43">
        <f>if($F64=$G64,if(and($F64=$G64,Q64&lt;&gt;R64),'Thể lệ'!$E$6,if($F64=Q64,0,0.5*'Thể lệ'!$E$6)),if(and($F64=Q64,$G64=R64),"0",if(($F64-$G64)*(Q64-R64)&gt;0,0.5*'Thể lệ'!$E$6,'Thể lệ'!$E$6)))</f>
        <v>0</v>
      </c>
      <c r="BW64" s="29"/>
      <c r="BX64" s="43">
        <f>if($F64=$G64,if(and($F64=$G64,S64&lt;&gt;T64),'Thể lệ'!$E$6,if($F64=S64,0,0.5*'Thể lệ'!$E$6)),if(and($F64=S64,$G64=T64),"0",if(($F64-$G64)*(S64-T64)&gt;0,0.5*'Thể lệ'!$E$6,'Thể lệ'!$E$6)))</f>
        <v>0</v>
      </c>
      <c r="BY64" s="29"/>
      <c r="BZ64" s="43">
        <f>if($F64=$G64,if(and($F64=$G64,U64&lt;&gt;V64),'Thể lệ'!$E$6,if($F64=U64,0,0.5*'Thể lệ'!$E$6)),if(and($F64=U64,$G64=V64),"0",if(($F64-$G64)*(U64-V64)&gt;0,0.5*'Thể lệ'!$E$6,'Thể lệ'!$E$6)))</f>
        <v>0</v>
      </c>
      <c r="CA64" s="29"/>
      <c r="CB64" s="43">
        <f>if($F64=$G64,if(and($F64=$G64,W64&lt;&gt;X64),'Thể lệ'!$E$6,if($F64=W64,0,0.5*'Thể lệ'!$E$6)),if(and($F64=W64,$G64=X64),"0",if(($F64-$G64)*(W64-X64)&gt;0,0.5*'Thể lệ'!$E$6,'Thể lệ'!$E$6)))</f>
        <v>0</v>
      </c>
      <c r="CC64" s="29"/>
      <c r="CD64" s="43">
        <f>if($F64=$G64,if(and($F64=$G64,Y64&lt;&gt;Z64),'Thể lệ'!$E$6,if($F64=Y64,0,0.5*'Thể lệ'!$E$6)),if(and($F64=Y64,$G64=Z64),"0",if(($F64-$G64)*(Y64-Z64)&gt;0,0.5*'Thể lệ'!$E$6,'Thể lệ'!$E$6)))</f>
        <v>0</v>
      </c>
      <c r="CE64" s="29"/>
      <c r="CF64" s="43">
        <f>if($F64=$G64,if(and($F64=$G64,AA64&lt;&gt;AB64),'Thể lệ'!$E$6,if($F64=AA64,0,0.5*'Thể lệ'!$E$6)),if(and($F64=AA64,$G64=AB64),"0",if(($F64-$G64)*(AA64-AB64)&gt;0,0.5*'Thể lệ'!$E$6,'Thể lệ'!$E$6)))</f>
        <v>0</v>
      </c>
      <c r="CG64" s="29"/>
      <c r="CH64" s="43">
        <f>if($F64=$G64,if(and($F64=$G64,AC64&lt;&gt;AD64),'Thể lệ'!$E$6,if($F64=AC64,0,0.5*'Thể lệ'!$E$6)),if(and($F64=AC64,$G64=AD64),"0",if(($F64-$G64)*(AC64-AD64)&gt;0,0.5*'Thể lệ'!$E$6,'Thể lệ'!$E$6)))</f>
        <v>0</v>
      </c>
      <c r="CI64" s="29"/>
      <c r="CJ64" s="43">
        <f>if($F64=$G64,if(and($F64=$G64,AE64&lt;&gt;AF64),'Thể lệ'!$E$6,if($F64=AE64,0,0.5*'Thể lệ'!$E$6)),if(and($F64=AE64,$G64=AF64),"0",if(($F64-$G64)*(AE64-AF64)&gt;0,0.5*'Thể lệ'!$E$6,'Thể lệ'!$E$6)))</f>
        <v>0</v>
      </c>
      <c r="CK64" s="29"/>
      <c r="CL64" s="43">
        <f>if($F64=$G64,if(and($F64=$G64,AG64&lt;&gt;AH64),'Thể lệ'!$E$6,if($F64=AG64,0,0.5*'Thể lệ'!$E$6)),if(and($F64=AG64,$G64=AH64),"0",if(($F64-$G64)*(AG64-AH64)&gt;0,0.5*'Thể lệ'!$E$6,'Thể lệ'!$E$6)))</f>
        <v>0</v>
      </c>
      <c r="CM64" s="29"/>
      <c r="CN64" s="43">
        <f>if($F64=$G64,if(and($F64=$G64,AI64&lt;&gt;AJ64),'Thể lệ'!$E$6,if($F64=AI64,0,0.5*'Thể lệ'!$E$6)),if(and($F64=AI64,$G64=AJ64),"0",if(($F64-$G64)*(AI64-AJ64)&gt;0,0.5*'Thể lệ'!$E$6,'Thể lệ'!$E$6)))</f>
        <v>0</v>
      </c>
      <c r="CO64" s="29"/>
      <c r="CP64" s="43">
        <f>if($F64=$G64,if(and($F64=$G64,AK64&lt;&gt;AL64),'Thể lệ'!$E$6,if($F64=AK64,0,0.5*'Thể lệ'!$E$6)),if(and($F64=AK64,$G64=AL64),"0",if(($F64-$G64)*(AK64-AL64)&gt;0,0.5*'Thể lệ'!$E$6,'Thể lệ'!$E$6)))</f>
        <v>0</v>
      </c>
      <c r="CQ64" s="29"/>
      <c r="CR64" s="43">
        <f>if($F64=$G64,if(and($F64=$G64,AM64&lt;&gt;AN64),'Thể lệ'!$E$6,if($F64=AM64,0,0.5*'Thể lệ'!$E$6)),if(and($F64=AM64,$G64=AN64),"0",if(($F64-$G64)*(AM64-AN64)&gt;0,0.5*'Thể lệ'!$E$6,'Thể lệ'!$E$6)))</f>
        <v>0</v>
      </c>
      <c r="CS64" s="29"/>
      <c r="CT64" s="44">
        <f>if($F64=$G64,if(and($F64=$G64,AO64&lt;&gt;AP64),'Thể lệ'!$E$6,if($F64=AO64,0,0.5*'Thể lệ'!$E$6)),if(and($F64=AO64,$G64=AP64),"0",if(($F64-$G64)*(AO64-AP64)&gt;0,0.5*'Thể lệ'!$E$6,'Thể lệ'!$E$6)))</f>
        <v>10000</v>
      </c>
      <c r="CU64" s="29"/>
      <c r="CV64" s="43">
        <f>if($F64=$G64,if(and($F64=$G64,AQ64&lt;&gt;AR64),'Thể lệ'!$E$6,if($F64=AQ64,0,0.5*'Thể lệ'!$E$6)),if(and($F64=AQ64,$G64=AR64),"0",if(($F64-$G64)*(AQ64-AR64)&gt;0,0.5*'Thể lệ'!$E$6,'Thể lệ'!$E$6)))</f>
        <v>0</v>
      </c>
      <c r="CW64" s="29"/>
      <c r="CX64" s="44">
        <f>if($F64=$G64,if(and($F64=$G64,AS64&lt;&gt;AT64),'Thể lệ'!$E$6,if($F64=AS64,0,0.5*'Thể lệ'!$E$6)),if(and($F64=AS64,$G64=AT64),"0",if(($F64-$G64)*(AS64-AT64)&gt;0,0.5*'Thể lệ'!$E$6,'Thể lệ'!$E$6)))</f>
        <v>10000</v>
      </c>
      <c r="CY64" s="29"/>
      <c r="CZ64" s="43">
        <f>if($F64=$G64,if(and($F64=$G64,AU64&lt;&gt;AV64),'Thể lệ'!$E$6,if($F64=AU64,0,0.5*'Thể lệ'!$E$6)),if(and($F64=AU64,$G64=AV64),"0",if(($F64-$G64)*(AU64-AV64)&gt;0,0.5*'Thể lệ'!$E$6,'Thể lệ'!$E$6)))</f>
        <v>0</v>
      </c>
      <c r="DA64" s="29"/>
      <c r="DB64" s="43">
        <f>if($F64=$G64,if(and($F64=$G64,AW64&lt;&gt;AX64),'Thể lệ'!$E$6,if($F64=AW64,0,0.5*'Thể lệ'!$E$6)),if(and($F64=AW64,$G64=AX64),"0",if(($F64-$G64)*(AW64-AX64)&gt;0,0.5*'Thể lệ'!$E$6,'Thể lệ'!$E$6)))</f>
        <v>0</v>
      </c>
      <c r="DC64" s="69"/>
      <c r="DD64" s="43">
        <f>if($F64=$G64,if(and($F64=$G64,AY64&lt;&gt;AZ64),'Thể lệ'!$E$6,if($F64=AY64,0,0.5*'Thể lệ'!$E$6)),if(and($F64=AY64,$G64=AZ64),"0",if(($F64-$G64)*(AY64-AZ64)&gt;0,0.5*'Thể lệ'!$E$6,'Thể lệ'!$E$6)))</f>
        <v>0</v>
      </c>
      <c r="DE64" s="69"/>
      <c r="DF64" s="43">
        <f>if($F64=$G64,if(and($F64=$G64,BA64&lt;&gt;BB64),'Thể lệ'!$E$6,if($F64=BA64,0,0.5*'Thể lệ'!$E$6)),if(and($F64=BA64,$G64=BB64),"0",if(($F64-$G64)*(BA64-BB64)&gt;0,0.5*'Thể lệ'!$E$6,'Thể lệ'!$E$6)))</f>
        <v>0</v>
      </c>
      <c r="DG64" s="69"/>
      <c r="DH64" s="44">
        <f>if($F64=$G64,if(and($F64=$G64,BC64&lt;&gt;BD64),'Thể lệ'!$E$6,if($F64=BC64,0,0.5*'Thể lệ'!$E$6)),if(and($F64=BC64,$G64=BD64),"0",if(($F64-$G64)*(BC64-BD64)&gt;0,0.5*'Thể lệ'!$E$6,'Thể lệ'!$E$6)))</f>
        <v>10000</v>
      </c>
      <c r="DI64" s="69"/>
      <c r="DJ64" s="43">
        <f>if($F64=$G64,if(and($F64=$G64,BE64&lt;&gt;BF64),'Thể lệ'!$E$6,if($F64=BE64,0,0.5*'Thể lệ'!$E$6)),if(and($F64=BE64,$G64=BF64),"0",if(($F64-$G64)*(BE64-BF64)&gt;0,0.5*'Thể lệ'!$E$6,'Thể lệ'!$E$6)))</f>
        <v>0</v>
      </c>
      <c r="DK64" s="69"/>
      <c r="DL64" s="43">
        <f>if($F64=$G64,if(and($F64=$G64,BG64&lt;&gt;BH64),'Thể lệ'!$E$6,if($F64=BG64,0,0.5*'Thể lệ'!$E$6)),if(and($F64=BG64,$G64=BH64),"0",if(($F64-$G64)*(BG64-BH64)&gt;0,0.5*'Thể lệ'!$E$6,'Thể lệ'!$E$6)))</f>
        <v>0</v>
      </c>
      <c r="DM64" s="69"/>
      <c r="DN64" s="44">
        <f>if($F64=$G64,if(and($F64=$G64,BI64&lt;&gt;BJ64),'Thể lệ'!$E$6,if($F64=BI64,0,0.5*'Thể lệ'!$E$6)),if(and($F64=BI64,$G64=BJ64),"0",if(($F64-$G64)*(BI64-BJ64)&gt;0,0.5*'Thể lệ'!$E$6,'Thể lệ'!$E$6)))</f>
        <v>10000</v>
      </c>
      <c r="DO64" s="69"/>
      <c r="DP64" s="69"/>
    </row>
    <row r="65">
      <c r="A65" s="63"/>
      <c r="B65" s="22">
        <v>59.0</v>
      </c>
      <c r="C65" s="64">
        <v>46199.37499999999</v>
      </c>
      <c r="D65" s="65">
        <v>46199.37499999999</v>
      </c>
      <c r="E65" s="55" t="s">
        <v>47</v>
      </c>
      <c r="F65" s="23"/>
      <c r="G65" s="23"/>
      <c r="H65" s="55" t="s">
        <v>38</v>
      </c>
      <c r="I65" s="23"/>
      <c r="J65" s="23"/>
      <c r="K65" s="23"/>
      <c r="L65" s="23"/>
      <c r="M65" s="23"/>
      <c r="N65" s="23"/>
      <c r="O65" s="23"/>
      <c r="P65" s="23"/>
      <c r="Q65" s="37" t="str">
        <f t="shared" si="4"/>
        <v/>
      </c>
      <c r="R65" s="37" t="str">
        <f t="shared" si="6"/>
        <v/>
      </c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>
        <v>3.0</v>
      </c>
      <c r="AP65" s="23">
        <v>2.0</v>
      </c>
      <c r="AQ65" s="23"/>
      <c r="AR65" s="23"/>
      <c r="AS65" s="66">
        <v>0.0</v>
      </c>
      <c r="AT65" s="66">
        <v>2.0</v>
      </c>
      <c r="AU65" s="23"/>
      <c r="AV65" s="23"/>
      <c r="AW65" s="23"/>
      <c r="AX65" s="23"/>
      <c r="AY65" s="23"/>
      <c r="AZ65" s="23"/>
      <c r="BA65" s="23"/>
      <c r="BB65" s="23"/>
      <c r="BC65" s="23">
        <v>1.0</v>
      </c>
      <c r="BD65" s="23">
        <v>1.0</v>
      </c>
      <c r="BE65" s="67"/>
      <c r="BF65" s="23"/>
      <c r="BG65" s="23"/>
      <c r="BH65" s="23"/>
      <c r="BI65" s="37">
        <f>H.Son!H65</f>
        <v>1</v>
      </c>
      <c r="BJ65" s="37">
        <f>H.Son!I65</f>
        <v>1</v>
      </c>
      <c r="BK65" s="23"/>
      <c r="BL65" s="23"/>
      <c r="BM65" s="68"/>
      <c r="BN65" s="43">
        <f>if($F65=$G65,if(and($F65=$G65,I65&lt;&gt;J65),'Thể lệ'!$E$6,if($F65=I65,0,0.5*'Thể lệ'!$E$6)),if(and($F65=I65,$G65=J65),"0",if(($F65-$G65)*(I65-J65)&gt;0,0.5*'Thể lệ'!$E$6,'Thể lệ'!$E$6)))</f>
        <v>0</v>
      </c>
      <c r="BO65" s="29"/>
      <c r="BP65" s="43">
        <f>if($F65=$G65,if(and($F65=$G65,K65&lt;&gt;L65),'Thể lệ'!$E$6,if($F65=K65,0,0.5*'Thể lệ'!$E$6)),if(and($F65=K65,$G65=L65),"0",if(($F65-$G65)*(K65-L65)&gt;0,0.5*'Thể lệ'!$E$6,'Thể lệ'!$E$6)))</f>
        <v>0</v>
      </c>
      <c r="BQ65" s="29"/>
      <c r="BR65" s="43">
        <f>if($F65=$G65,if(and($F65=$G65,M65&lt;&gt;N65),'Thể lệ'!$E$6,if($F65=M65,0,0.5*'Thể lệ'!$E$6)),if(and($F65=M65,$G65=N65),"0",if(($F65-$G65)*(M65-N65)&gt;0,0.5*'Thể lệ'!$E$6,'Thể lệ'!$E$6)))</f>
        <v>0</v>
      </c>
      <c r="BS65" s="29"/>
      <c r="BT65" s="43">
        <f>if($F65=$G65,if(and($F65=$G65,O65&lt;&gt;P65),'Thể lệ'!$E$6,if($F65=O65,0,0.5*'Thể lệ'!$E$6)),if(and($F65=O65,$G65=P65),"0",if(($F65-$G65)*(O65-P65)&gt;0,0.5*'Thể lệ'!$E$6,'Thể lệ'!$E$6)))</f>
        <v>0</v>
      </c>
      <c r="BU65" s="29"/>
      <c r="BV65" s="43">
        <f>if($F65=$G65,if(and($F65=$G65,Q65&lt;&gt;R65),'Thể lệ'!$E$6,if($F65=Q65,0,0.5*'Thể lệ'!$E$6)),if(and($F65=Q65,$G65=R65),"0",if(($F65-$G65)*(Q65-R65)&gt;0,0.5*'Thể lệ'!$E$6,'Thể lệ'!$E$6)))</f>
        <v>0</v>
      </c>
      <c r="BW65" s="29"/>
      <c r="BX65" s="43">
        <f>if($F65=$G65,if(and($F65=$G65,S65&lt;&gt;T65),'Thể lệ'!$E$6,if($F65=S65,0,0.5*'Thể lệ'!$E$6)),if(and($F65=S65,$G65=T65),"0",if(($F65-$G65)*(S65-T65)&gt;0,0.5*'Thể lệ'!$E$6,'Thể lệ'!$E$6)))</f>
        <v>0</v>
      </c>
      <c r="BY65" s="29"/>
      <c r="BZ65" s="43">
        <f>if($F65=$G65,if(and($F65=$G65,U65&lt;&gt;V65),'Thể lệ'!$E$6,if($F65=U65,0,0.5*'Thể lệ'!$E$6)),if(and($F65=U65,$G65=V65),"0",if(($F65-$G65)*(U65-V65)&gt;0,0.5*'Thể lệ'!$E$6,'Thể lệ'!$E$6)))</f>
        <v>0</v>
      </c>
      <c r="CA65" s="29"/>
      <c r="CB65" s="43">
        <f>if($F65=$G65,if(and($F65=$G65,W65&lt;&gt;X65),'Thể lệ'!$E$6,if($F65=W65,0,0.5*'Thể lệ'!$E$6)),if(and($F65=W65,$G65=X65),"0",if(($F65-$G65)*(W65-X65)&gt;0,0.5*'Thể lệ'!$E$6,'Thể lệ'!$E$6)))</f>
        <v>0</v>
      </c>
      <c r="CC65" s="29"/>
      <c r="CD65" s="43">
        <f>if($F65=$G65,if(and($F65=$G65,Y65&lt;&gt;Z65),'Thể lệ'!$E$6,if($F65=Y65,0,0.5*'Thể lệ'!$E$6)),if(and($F65=Y65,$G65=Z65),"0",if(($F65-$G65)*(Y65-Z65)&gt;0,0.5*'Thể lệ'!$E$6,'Thể lệ'!$E$6)))</f>
        <v>0</v>
      </c>
      <c r="CE65" s="29"/>
      <c r="CF65" s="43">
        <f>if($F65=$G65,if(and($F65=$G65,AA65&lt;&gt;AB65),'Thể lệ'!$E$6,if($F65=AA65,0,0.5*'Thể lệ'!$E$6)),if(and($F65=AA65,$G65=AB65),"0",if(($F65-$G65)*(AA65-AB65)&gt;0,0.5*'Thể lệ'!$E$6,'Thể lệ'!$E$6)))</f>
        <v>0</v>
      </c>
      <c r="CG65" s="29"/>
      <c r="CH65" s="43">
        <f>if($F65=$G65,if(and($F65=$G65,AC65&lt;&gt;AD65),'Thể lệ'!$E$6,if($F65=AC65,0,0.5*'Thể lệ'!$E$6)),if(and($F65=AC65,$G65=AD65),"0",if(($F65-$G65)*(AC65-AD65)&gt;0,0.5*'Thể lệ'!$E$6,'Thể lệ'!$E$6)))</f>
        <v>0</v>
      </c>
      <c r="CI65" s="29"/>
      <c r="CJ65" s="43">
        <f>if($F65=$G65,if(and($F65=$G65,AE65&lt;&gt;AF65),'Thể lệ'!$E$6,if($F65=AE65,0,0.5*'Thể lệ'!$E$6)),if(and($F65=AE65,$G65=AF65),"0",if(($F65-$G65)*(AE65-AF65)&gt;0,0.5*'Thể lệ'!$E$6,'Thể lệ'!$E$6)))</f>
        <v>0</v>
      </c>
      <c r="CK65" s="29"/>
      <c r="CL65" s="43">
        <f>if($F65=$G65,if(and($F65=$G65,AG65&lt;&gt;AH65),'Thể lệ'!$E$6,if($F65=AG65,0,0.5*'Thể lệ'!$E$6)),if(and($F65=AG65,$G65=AH65),"0",if(($F65-$G65)*(AG65-AH65)&gt;0,0.5*'Thể lệ'!$E$6,'Thể lệ'!$E$6)))</f>
        <v>0</v>
      </c>
      <c r="CM65" s="29"/>
      <c r="CN65" s="43">
        <f>if($F65=$G65,if(and($F65=$G65,AI65&lt;&gt;AJ65),'Thể lệ'!$E$6,if($F65=AI65,0,0.5*'Thể lệ'!$E$6)),if(and($F65=AI65,$G65=AJ65),"0",if(($F65-$G65)*(AI65-AJ65)&gt;0,0.5*'Thể lệ'!$E$6,'Thể lệ'!$E$6)))</f>
        <v>0</v>
      </c>
      <c r="CO65" s="29"/>
      <c r="CP65" s="43">
        <f>if($F65=$G65,if(and($F65=$G65,AK65&lt;&gt;AL65),'Thể lệ'!$E$6,if($F65=AK65,0,0.5*'Thể lệ'!$E$6)),if(and($F65=AK65,$G65=AL65),"0",if(($F65-$G65)*(AK65-AL65)&gt;0,0.5*'Thể lệ'!$E$6,'Thể lệ'!$E$6)))</f>
        <v>0</v>
      </c>
      <c r="CQ65" s="29"/>
      <c r="CR65" s="43">
        <f>if($F65=$G65,if(and($F65=$G65,AM65&lt;&gt;AN65),'Thể lệ'!$E$6,if($F65=AM65,0,0.5*'Thể lệ'!$E$6)),if(and($F65=AM65,$G65=AN65),"0",if(($F65-$G65)*(AM65-AN65)&gt;0,0.5*'Thể lệ'!$E$6,'Thể lệ'!$E$6)))</f>
        <v>0</v>
      </c>
      <c r="CS65" s="29"/>
      <c r="CT65" s="44">
        <f>if($F65=$G65,if(and($F65=$G65,AO65&lt;&gt;AP65),'Thể lệ'!$E$6,if($F65=AO65,0,0.5*'Thể lệ'!$E$6)),if(and($F65=AO65,$G65=AP65),"0",if(($F65-$G65)*(AO65-AP65)&gt;0,0.5*'Thể lệ'!$E$6,'Thể lệ'!$E$6)))</f>
        <v>10000</v>
      </c>
      <c r="CU65" s="29"/>
      <c r="CV65" s="43">
        <f>if($F65=$G65,if(and($F65=$G65,AQ65&lt;&gt;AR65),'Thể lệ'!$E$6,if($F65=AQ65,0,0.5*'Thể lệ'!$E$6)),if(and($F65=AQ65,$G65=AR65),"0",if(($F65-$G65)*(AQ65-AR65)&gt;0,0.5*'Thể lệ'!$E$6,'Thể lệ'!$E$6)))</f>
        <v>0</v>
      </c>
      <c r="CW65" s="29"/>
      <c r="CX65" s="44">
        <f>if($F65=$G65,if(and($F65=$G65,AS65&lt;&gt;AT65),'Thể lệ'!$E$6,if($F65=AS65,0,0.5*'Thể lệ'!$E$6)),if(and($F65=AS65,$G65=AT65),"0",if(($F65-$G65)*(AS65-AT65)&gt;0,0.5*'Thể lệ'!$E$6,'Thể lệ'!$E$6)))</f>
        <v>10000</v>
      </c>
      <c r="CY65" s="29"/>
      <c r="CZ65" s="43">
        <f>if($F65=$G65,if(and($F65=$G65,AU65&lt;&gt;AV65),'Thể lệ'!$E$6,if($F65=AU65,0,0.5*'Thể lệ'!$E$6)),if(and($F65=AU65,$G65=AV65),"0",if(($F65-$G65)*(AU65-AV65)&gt;0,0.5*'Thể lệ'!$E$6,'Thể lệ'!$E$6)))</f>
        <v>0</v>
      </c>
      <c r="DA65" s="29"/>
      <c r="DB65" s="43">
        <f>if($F65=$G65,if(and($F65=$G65,AW65&lt;&gt;AX65),'Thể lệ'!$E$6,if($F65=AW65,0,0.5*'Thể lệ'!$E$6)),if(and($F65=AW65,$G65=AX65),"0",if(($F65-$G65)*(AW65-AX65)&gt;0,0.5*'Thể lệ'!$E$6,'Thể lệ'!$E$6)))</f>
        <v>0</v>
      </c>
      <c r="DC65" s="69"/>
      <c r="DD65" s="43">
        <f>if($F65=$G65,if(and($F65=$G65,AY65&lt;&gt;AZ65),'Thể lệ'!$E$6,if($F65=AY65,0,0.5*'Thể lệ'!$E$6)),if(and($F65=AY65,$G65=AZ65),"0",if(($F65-$G65)*(AY65-AZ65)&gt;0,0.5*'Thể lệ'!$E$6,'Thể lệ'!$E$6)))</f>
        <v>0</v>
      </c>
      <c r="DE65" s="69"/>
      <c r="DF65" s="43">
        <f>if($F65=$G65,if(and($F65=$G65,BA65&lt;&gt;BB65),'Thể lệ'!$E$6,if($F65=BA65,0,0.5*'Thể lệ'!$E$6)),if(and($F65=BA65,$G65=BB65),"0",if(($F65-$G65)*(BA65-BB65)&gt;0,0.5*'Thể lệ'!$E$6,'Thể lệ'!$E$6)))</f>
        <v>0</v>
      </c>
      <c r="DG65" s="69"/>
      <c r="DH65" s="44">
        <f>if($F65=$G65,if(and($F65=$G65,BC65&lt;&gt;BD65),'Thể lệ'!$E$6,if($F65=BC65,0,0.5*'Thể lệ'!$E$6)),if(and($F65=BC65,$G65=BD65),"0",if(($F65-$G65)*(BC65-BD65)&gt;0,0.5*'Thể lệ'!$E$6,'Thể lệ'!$E$6)))</f>
        <v>5000</v>
      </c>
      <c r="DI65" s="69"/>
      <c r="DJ65" s="43">
        <f>if($F65=$G65,if(and($F65=$G65,BE65&lt;&gt;BF65),'Thể lệ'!$E$6,if($F65=BE65,0,0.5*'Thể lệ'!$E$6)),if(and($F65=BE65,$G65=BF65),"0",if(($F65-$G65)*(BE65-BF65)&gt;0,0.5*'Thể lệ'!$E$6,'Thể lệ'!$E$6)))</f>
        <v>0</v>
      </c>
      <c r="DK65" s="69"/>
      <c r="DL65" s="43">
        <f>if($F65=$G65,if(and($F65=$G65,BG65&lt;&gt;BH65),'Thể lệ'!$E$6,if($F65=BG65,0,0.5*'Thể lệ'!$E$6)),if(and($F65=BG65,$G65=BH65),"0",if(($F65-$G65)*(BG65-BH65)&gt;0,0.5*'Thể lệ'!$E$6,'Thể lệ'!$E$6)))</f>
        <v>0</v>
      </c>
      <c r="DM65" s="69"/>
      <c r="DN65" s="44">
        <f>if($F65=$G65,if(and($F65=$G65,BI65&lt;&gt;BJ65),'Thể lệ'!$E$6,if($F65=BI65,0,0.5*'Thể lệ'!$E$6)),if(and($F65=BI65,$G65=BJ65),"0",if(($F65-$G65)*(BI65-BJ65)&gt;0,0.5*'Thể lệ'!$E$6,'Thể lệ'!$E$6)))</f>
        <v>5000</v>
      </c>
      <c r="DO65" s="69"/>
      <c r="DP65" s="69"/>
    </row>
    <row r="66">
      <c r="A66" s="63"/>
      <c r="B66" s="22">
        <v>60.0</v>
      </c>
      <c r="C66" s="64">
        <v>46199.37499999999</v>
      </c>
      <c r="D66" s="65">
        <v>46199.37499999999</v>
      </c>
      <c r="E66" s="55" t="s">
        <v>39</v>
      </c>
      <c r="F66" s="23"/>
      <c r="G66" s="23"/>
      <c r="H66" s="55" t="s">
        <v>46</v>
      </c>
      <c r="I66" s="23"/>
      <c r="J66" s="23"/>
      <c r="K66" s="23"/>
      <c r="L66" s="23"/>
      <c r="M66" s="23"/>
      <c r="N66" s="23"/>
      <c r="O66" s="23"/>
      <c r="P66" s="23"/>
      <c r="Q66" s="37" t="str">
        <f t="shared" si="4"/>
        <v/>
      </c>
      <c r="R66" s="37" t="str">
        <f t="shared" si="6"/>
        <v/>
      </c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>
        <v>3.0</v>
      </c>
      <c r="AP66" s="23">
        <v>2.0</v>
      </c>
      <c r="AQ66" s="23"/>
      <c r="AR66" s="23"/>
      <c r="AS66" s="66">
        <v>1.0</v>
      </c>
      <c r="AT66" s="66">
        <v>1.0</v>
      </c>
      <c r="AU66" s="23"/>
      <c r="AV66" s="23"/>
      <c r="AW66" s="23"/>
      <c r="AX66" s="23"/>
      <c r="AY66" s="23"/>
      <c r="AZ66" s="23"/>
      <c r="BA66" s="23"/>
      <c r="BB66" s="23"/>
      <c r="BC66" s="23">
        <v>1.0</v>
      </c>
      <c r="BD66" s="23">
        <v>2.0</v>
      </c>
      <c r="BE66" s="67"/>
      <c r="BF66" s="23"/>
      <c r="BG66" s="23"/>
      <c r="BH66" s="23"/>
      <c r="BI66" s="37">
        <f>H.Son!H66</f>
        <v>1</v>
      </c>
      <c r="BJ66" s="37">
        <f>H.Son!I66</f>
        <v>0</v>
      </c>
      <c r="BK66" s="23"/>
      <c r="BL66" s="23"/>
      <c r="BM66" s="68"/>
      <c r="BN66" s="43">
        <f>if($F66=$G66,if(and($F66=$G66,I66&lt;&gt;J66),'Thể lệ'!$E$6,if($F66=I66,0,0.5*'Thể lệ'!$E$6)),if(and($F66=I66,$G66=J66),"0",if(($F66-$G66)*(I66-J66)&gt;0,0.5*'Thể lệ'!$E$6,'Thể lệ'!$E$6)))</f>
        <v>0</v>
      </c>
      <c r="BO66" s="29"/>
      <c r="BP66" s="43">
        <f>if($F66=$G66,if(and($F66=$G66,K66&lt;&gt;L66),'Thể lệ'!$E$6,if($F66=K66,0,0.5*'Thể lệ'!$E$6)),if(and($F66=K66,$G66=L66),"0",if(($F66-$G66)*(K66-L66)&gt;0,0.5*'Thể lệ'!$E$6,'Thể lệ'!$E$6)))</f>
        <v>0</v>
      </c>
      <c r="BQ66" s="29"/>
      <c r="BR66" s="43">
        <f>if($F66=$G66,if(and($F66=$G66,M66&lt;&gt;N66),'Thể lệ'!$E$6,if($F66=M66,0,0.5*'Thể lệ'!$E$6)),if(and($F66=M66,$G66=N66),"0",if(($F66-$G66)*(M66-N66)&gt;0,0.5*'Thể lệ'!$E$6,'Thể lệ'!$E$6)))</f>
        <v>0</v>
      </c>
      <c r="BS66" s="29"/>
      <c r="BT66" s="43">
        <f>if($F66=$G66,if(and($F66=$G66,O66&lt;&gt;P66),'Thể lệ'!$E$6,if($F66=O66,0,0.5*'Thể lệ'!$E$6)),if(and($F66=O66,$G66=P66),"0",if(($F66-$G66)*(O66-P66)&gt;0,0.5*'Thể lệ'!$E$6,'Thể lệ'!$E$6)))</f>
        <v>0</v>
      </c>
      <c r="BU66" s="29"/>
      <c r="BV66" s="43">
        <f>if($F66=$G66,if(and($F66=$G66,Q66&lt;&gt;R66),'Thể lệ'!$E$6,if($F66=Q66,0,0.5*'Thể lệ'!$E$6)),if(and($F66=Q66,$G66=R66),"0",if(($F66-$G66)*(Q66-R66)&gt;0,0.5*'Thể lệ'!$E$6,'Thể lệ'!$E$6)))</f>
        <v>0</v>
      </c>
      <c r="BW66" s="29"/>
      <c r="BX66" s="43">
        <f>if($F66=$G66,if(and($F66=$G66,S66&lt;&gt;T66),'Thể lệ'!$E$6,if($F66=S66,0,0.5*'Thể lệ'!$E$6)),if(and($F66=S66,$G66=T66),"0",if(($F66-$G66)*(S66-T66)&gt;0,0.5*'Thể lệ'!$E$6,'Thể lệ'!$E$6)))</f>
        <v>0</v>
      </c>
      <c r="BY66" s="29"/>
      <c r="BZ66" s="43">
        <f>if($F66=$G66,if(and($F66=$G66,U66&lt;&gt;V66),'Thể lệ'!$E$6,if($F66=U66,0,0.5*'Thể lệ'!$E$6)),if(and($F66=U66,$G66=V66),"0",if(($F66-$G66)*(U66-V66)&gt;0,0.5*'Thể lệ'!$E$6,'Thể lệ'!$E$6)))</f>
        <v>0</v>
      </c>
      <c r="CA66" s="29"/>
      <c r="CB66" s="43">
        <f>if($F66=$G66,if(and($F66=$G66,W66&lt;&gt;X66),'Thể lệ'!$E$6,if($F66=W66,0,0.5*'Thể lệ'!$E$6)),if(and($F66=W66,$G66=X66),"0",if(($F66-$G66)*(W66-X66)&gt;0,0.5*'Thể lệ'!$E$6,'Thể lệ'!$E$6)))</f>
        <v>0</v>
      </c>
      <c r="CC66" s="29"/>
      <c r="CD66" s="43">
        <f>if($F66=$G66,if(and($F66=$G66,Y66&lt;&gt;Z66),'Thể lệ'!$E$6,if($F66=Y66,0,0.5*'Thể lệ'!$E$6)),if(and($F66=Y66,$G66=Z66),"0",if(($F66-$G66)*(Y66-Z66)&gt;0,0.5*'Thể lệ'!$E$6,'Thể lệ'!$E$6)))</f>
        <v>0</v>
      </c>
      <c r="CE66" s="29"/>
      <c r="CF66" s="43">
        <f>if($F66=$G66,if(and($F66=$G66,AA66&lt;&gt;AB66),'Thể lệ'!$E$6,if($F66=AA66,0,0.5*'Thể lệ'!$E$6)),if(and($F66=AA66,$G66=AB66),"0",if(($F66-$G66)*(AA66-AB66)&gt;0,0.5*'Thể lệ'!$E$6,'Thể lệ'!$E$6)))</f>
        <v>0</v>
      </c>
      <c r="CG66" s="29"/>
      <c r="CH66" s="43">
        <f>if($F66=$G66,if(and($F66=$G66,AC66&lt;&gt;AD66),'Thể lệ'!$E$6,if($F66=AC66,0,0.5*'Thể lệ'!$E$6)),if(and($F66=AC66,$G66=AD66),"0",if(($F66-$G66)*(AC66-AD66)&gt;0,0.5*'Thể lệ'!$E$6,'Thể lệ'!$E$6)))</f>
        <v>0</v>
      </c>
      <c r="CI66" s="29"/>
      <c r="CJ66" s="43">
        <f>if($F66=$G66,if(and($F66=$G66,AE66&lt;&gt;AF66),'Thể lệ'!$E$6,if($F66=AE66,0,0.5*'Thể lệ'!$E$6)),if(and($F66=AE66,$G66=AF66),"0",if(($F66-$G66)*(AE66-AF66)&gt;0,0.5*'Thể lệ'!$E$6,'Thể lệ'!$E$6)))</f>
        <v>0</v>
      </c>
      <c r="CK66" s="29"/>
      <c r="CL66" s="43">
        <f>if($F66=$G66,if(and($F66=$G66,AG66&lt;&gt;AH66),'Thể lệ'!$E$6,if($F66=AG66,0,0.5*'Thể lệ'!$E$6)),if(and($F66=AG66,$G66=AH66),"0",if(($F66-$G66)*(AG66-AH66)&gt;0,0.5*'Thể lệ'!$E$6,'Thể lệ'!$E$6)))</f>
        <v>0</v>
      </c>
      <c r="CM66" s="29"/>
      <c r="CN66" s="43">
        <f>if($F66=$G66,if(and($F66=$G66,AI66&lt;&gt;AJ66),'Thể lệ'!$E$6,if($F66=AI66,0,0.5*'Thể lệ'!$E$6)),if(and($F66=AI66,$G66=AJ66),"0",if(($F66-$G66)*(AI66-AJ66)&gt;0,0.5*'Thể lệ'!$E$6,'Thể lệ'!$E$6)))</f>
        <v>0</v>
      </c>
      <c r="CO66" s="29"/>
      <c r="CP66" s="43">
        <f>if($F66=$G66,if(and($F66=$G66,AK66&lt;&gt;AL66),'Thể lệ'!$E$6,if($F66=AK66,0,0.5*'Thể lệ'!$E$6)),if(and($F66=AK66,$G66=AL66),"0",if(($F66-$G66)*(AK66-AL66)&gt;0,0.5*'Thể lệ'!$E$6,'Thể lệ'!$E$6)))</f>
        <v>0</v>
      </c>
      <c r="CQ66" s="29"/>
      <c r="CR66" s="43">
        <f>if($F66=$G66,if(and($F66=$G66,AM66&lt;&gt;AN66),'Thể lệ'!$E$6,if($F66=AM66,0,0.5*'Thể lệ'!$E$6)),if(and($F66=AM66,$G66=AN66),"0",if(($F66-$G66)*(AM66-AN66)&gt;0,0.5*'Thể lệ'!$E$6,'Thể lệ'!$E$6)))</f>
        <v>0</v>
      </c>
      <c r="CS66" s="29"/>
      <c r="CT66" s="44">
        <f>if($F66=$G66,if(and($F66=$G66,AO66&lt;&gt;AP66),'Thể lệ'!$E$6,if($F66=AO66,0,0.5*'Thể lệ'!$E$6)),if(and($F66=AO66,$G66=AP66),"0",if(($F66-$G66)*(AO66-AP66)&gt;0,0.5*'Thể lệ'!$E$6,'Thể lệ'!$E$6)))</f>
        <v>10000</v>
      </c>
      <c r="CU66" s="29"/>
      <c r="CV66" s="43">
        <f>if($F66=$G66,if(and($F66=$G66,AQ66&lt;&gt;AR66),'Thể lệ'!$E$6,if($F66=AQ66,0,0.5*'Thể lệ'!$E$6)),if(and($F66=AQ66,$G66=AR66),"0",if(($F66-$G66)*(AQ66-AR66)&gt;0,0.5*'Thể lệ'!$E$6,'Thể lệ'!$E$6)))</f>
        <v>0</v>
      </c>
      <c r="CW66" s="29"/>
      <c r="CX66" s="44">
        <f>if($F66=$G66,if(and($F66=$G66,AS66&lt;&gt;AT66),'Thể lệ'!$E$6,if($F66=AS66,0,0.5*'Thể lệ'!$E$6)),if(and($F66=AS66,$G66=AT66),"0",if(($F66-$G66)*(AS66-AT66)&gt;0,0.5*'Thể lệ'!$E$6,'Thể lệ'!$E$6)))</f>
        <v>5000</v>
      </c>
      <c r="CY66" s="29"/>
      <c r="CZ66" s="43">
        <f>if($F66=$G66,if(and($F66=$G66,AU66&lt;&gt;AV66),'Thể lệ'!$E$6,if($F66=AU66,0,0.5*'Thể lệ'!$E$6)),if(and($F66=AU66,$G66=AV66),"0",if(($F66-$G66)*(AU66-AV66)&gt;0,0.5*'Thể lệ'!$E$6,'Thể lệ'!$E$6)))</f>
        <v>0</v>
      </c>
      <c r="DA66" s="29"/>
      <c r="DB66" s="43">
        <f>if($F66=$G66,if(and($F66=$G66,AW66&lt;&gt;AX66),'Thể lệ'!$E$6,if($F66=AW66,0,0.5*'Thể lệ'!$E$6)),if(and($F66=AW66,$G66=AX66),"0",if(($F66-$G66)*(AW66-AX66)&gt;0,0.5*'Thể lệ'!$E$6,'Thể lệ'!$E$6)))</f>
        <v>0</v>
      </c>
      <c r="DC66" s="69"/>
      <c r="DD66" s="43">
        <f>if($F66=$G66,if(and($F66=$G66,AY66&lt;&gt;AZ66),'Thể lệ'!$E$6,if($F66=AY66,0,0.5*'Thể lệ'!$E$6)),if(and($F66=AY66,$G66=AZ66),"0",if(($F66-$G66)*(AY66-AZ66)&gt;0,0.5*'Thể lệ'!$E$6,'Thể lệ'!$E$6)))</f>
        <v>0</v>
      </c>
      <c r="DE66" s="69"/>
      <c r="DF66" s="43">
        <f>if($F66=$G66,if(and($F66=$G66,BA66&lt;&gt;BB66),'Thể lệ'!$E$6,if($F66=BA66,0,0.5*'Thể lệ'!$E$6)),if(and($F66=BA66,$G66=BB66),"0",if(($F66-$G66)*(BA66-BB66)&gt;0,0.5*'Thể lệ'!$E$6,'Thể lệ'!$E$6)))</f>
        <v>0</v>
      </c>
      <c r="DG66" s="69"/>
      <c r="DH66" s="44">
        <f>if($F66=$G66,if(and($F66=$G66,BC66&lt;&gt;BD66),'Thể lệ'!$E$6,if($F66=BC66,0,0.5*'Thể lệ'!$E$6)),if(and($F66=BC66,$G66=BD66),"0",if(($F66-$G66)*(BC66-BD66)&gt;0,0.5*'Thể lệ'!$E$6,'Thể lệ'!$E$6)))</f>
        <v>10000</v>
      </c>
      <c r="DI66" s="69"/>
      <c r="DJ66" s="43">
        <f>if($F66=$G66,if(and($F66=$G66,BE66&lt;&gt;BF66),'Thể lệ'!$E$6,if($F66=BE66,0,0.5*'Thể lệ'!$E$6)),if(and($F66=BE66,$G66=BF66),"0",if(($F66-$G66)*(BE66-BF66)&gt;0,0.5*'Thể lệ'!$E$6,'Thể lệ'!$E$6)))</f>
        <v>0</v>
      </c>
      <c r="DK66" s="69"/>
      <c r="DL66" s="43">
        <f>if($F66=$G66,if(and($F66=$G66,BG66&lt;&gt;BH66),'Thể lệ'!$E$6,if($F66=BG66,0,0.5*'Thể lệ'!$E$6)),if(and($F66=BG66,$G66=BH66),"0",if(($F66-$G66)*(BG66-BH66)&gt;0,0.5*'Thể lệ'!$E$6,'Thể lệ'!$E$6)))</f>
        <v>0</v>
      </c>
      <c r="DM66" s="69"/>
      <c r="DN66" s="44">
        <f>if($F66=$G66,if(and($F66=$G66,BI66&lt;&gt;BJ66),'Thể lệ'!$E$6,if($F66=BI66,0,0.5*'Thể lệ'!$E$6)),if(and($F66=BI66,$G66=BJ66),"0",if(($F66-$G66)*(BI66-BJ66)&gt;0,0.5*'Thể lệ'!$E$6,'Thể lệ'!$E$6)))</f>
        <v>10000</v>
      </c>
      <c r="DO66" s="69"/>
      <c r="DP66" s="69"/>
    </row>
    <row r="67">
      <c r="A67" s="63"/>
      <c r="B67" s="22">
        <v>61.0</v>
      </c>
      <c r="C67" s="64">
        <v>46200.08333333333</v>
      </c>
      <c r="D67" s="65">
        <v>46200.08333333333</v>
      </c>
      <c r="E67" s="55" t="s">
        <v>67</v>
      </c>
      <c r="F67" s="23"/>
      <c r="G67" s="23"/>
      <c r="H67" s="55" t="s">
        <v>64</v>
      </c>
      <c r="I67" s="23"/>
      <c r="J67" s="23"/>
      <c r="K67" s="23"/>
      <c r="L67" s="23"/>
      <c r="M67" s="23"/>
      <c r="N67" s="23"/>
      <c r="O67" s="23"/>
      <c r="P67" s="23"/>
      <c r="Q67" s="37" t="str">
        <f t="shared" si="4"/>
        <v/>
      </c>
      <c r="R67" s="37" t="str">
        <f t="shared" si="6"/>
        <v/>
      </c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>
        <v>1.0</v>
      </c>
      <c r="AP67" s="23">
        <v>3.0</v>
      </c>
      <c r="AQ67" s="23"/>
      <c r="AR67" s="23"/>
      <c r="AS67" s="66">
        <v>0.0</v>
      </c>
      <c r="AT67" s="66">
        <v>3.0</v>
      </c>
      <c r="AU67" s="23"/>
      <c r="AV67" s="23"/>
      <c r="AW67" s="23"/>
      <c r="AX67" s="23"/>
      <c r="AY67" s="23"/>
      <c r="AZ67" s="23"/>
      <c r="BA67" s="23"/>
      <c r="BB67" s="23"/>
      <c r="BC67" s="23">
        <v>1.0</v>
      </c>
      <c r="BD67" s="23">
        <v>2.0</v>
      </c>
      <c r="BE67" s="67"/>
      <c r="BF67" s="23"/>
      <c r="BG67" s="23"/>
      <c r="BH67" s="23"/>
      <c r="BI67" s="37">
        <f>H.Son!H67</f>
        <v>1</v>
      </c>
      <c r="BJ67" s="37">
        <f>H.Son!I67</f>
        <v>2</v>
      </c>
      <c r="BK67" s="23"/>
      <c r="BL67" s="23"/>
      <c r="BM67" s="68"/>
      <c r="BN67" s="43">
        <f>if($F67=$G67,if(and($F67=$G67,I67&lt;&gt;J67),'Thể lệ'!$E$6,if($F67=I67,0,0.5*'Thể lệ'!$E$6)),if(and($F67=I67,$G67=J67),"0",if(($F67-$G67)*(I67-J67)&gt;0,0.5*'Thể lệ'!$E$6,'Thể lệ'!$E$6)))</f>
        <v>0</v>
      </c>
      <c r="BO67" s="29"/>
      <c r="BP67" s="43">
        <f>if($F67=$G67,if(and($F67=$G67,K67&lt;&gt;L67),'Thể lệ'!$E$6,if($F67=K67,0,0.5*'Thể lệ'!$E$6)),if(and($F67=K67,$G67=L67),"0",if(($F67-$G67)*(K67-L67)&gt;0,0.5*'Thể lệ'!$E$6,'Thể lệ'!$E$6)))</f>
        <v>0</v>
      </c>
      <c r="BQ67" s="29"/>
      <c r="BR67" s="43">
        <f>if($F67=$G67,if(and($F67=$G67,M67&lt;&gt;N67),'Thể lệ'!$E$6,if($F67=M67,0,0.5*'Thể lệ'!$E$6)),if(and($F67=M67,$G67=N67),"0",if(($F67-$G67)*(M67-N67)&gt;0,0.5*'Thể lệ'!$E$6,'Thể lệ'!$E$6)))</f>
        <v>0</v>
      </c>
      <c r="BS67" s="29"/>
      <c r="BT67" s="43">
        <f>if($F67=$G67,if(and($F67=$G67,O67&lt;&gt;P67),'Thể lệ'!$E$6,if($F67=O67,0,0.5*'Thể lệ'!$E$6)),if(and($F67=O67,$G67=P67),"0",if(($F67-$G67)*(O67-P67)&gt;0,0.5*'Thể lệ'!$E$6,'Thể lệ'!$E$6)))</f>
        <v>0</v>
      </c>
      <c r="BU67" s="29"/>
      <c r="BV67" s="43">
        <f>if($F67=$G67,if(and($F67=$G67,Q67&lt;&gt;R67),'Thể lệ'!$E$6,if($F67=Q67,0,0.5*'Thể lệ'!$E$6)),if(and($F67=Q67,$G67=R67),"0",if(($F67-$G67)*(Q67-R67)&gt;0,0.5*'Thể lệ'!$E$6,'Thể lệ'!$E$6)))</f>
        <v>0</v>
      </c>
      <c r="BW67" s="29"/>
      <c r="BX67" s="43">
        <f>if($F67=$G67,if(and($F67=$G67,S67&lt;&gt;T67),'Thể lệ'!$E$6,if($F67=S67,0,0.5*'Thể lệ'!$E$6)),if(and($F67=S67,$G67=T67),"0",if(($F67-$G67)*(S67-T67)&gt;0,0.5*'Thể lệ'!$E$6,'Thể lệ'!$E$6)))</f>
        <v>0</v>
      </c>
      <c r="BY67" s="29"/>
      <c r="BZ67" s="43">
        <f>if($F67=$G67,if(and($F67=$G67,U67&lt;&gt;V67),'Thể lệ'!$E$6,if($F67=U67,0,0.5*'Thể lệ'!$E$6)),if(and($F67=U67,$G67=V67),"0",if(($F67-$G67)*(U67-V67)&gt;0,0.5*'Thể lệ'!$E$6,'Thể lệ'!$E$6)))</f>
        <v>0</v>
      </c>
      <c r="CA67" s="29"/>
      <c r="CB67" s="43">
        <f>if($F67=$G67,if(and($F67=$G67,W67&lt;&gt;X67),'Thể lệ'!$E$6,if($F67=W67,0,0.5*'Thể lệ'!$E$6)),if(and($F67=W67,$G67=X67),"0",if(($F67-$G67)*(W67-X67)&gt;0,0.5*'Thể lệ'!$E$6,'Thể lệ'!$E$6)))</f>
        <v>0</v>
      </c>
      <c r="CC67" s="29"/>
      <c r="CD67" s="43">
        <f>if($F67=$G67,if(and($F67=$G67,Y67&lt;&gt;Z67),'Thể lệ'!$E$6,if($F67=Y67,0,0.5*'Thể lệ'!$E$6)),if(and($F67=Y67,$G67=Z67),"0",if(($F67-$G67)*(Y67-Z67)&gt;0,0.5*'Thể lệ'!$E$6,'Thể lệ'!$E$6)))</f>
        <v>0</v>
      </c>
      <c r="CE67" s="29"/>
      <c r="CF67" s="43">
        <f>if($F67=$G67,if(and($F67=$G67,AA67&lt;&gt;AB67),'Thể lệ'!$E$6,if($F67=AA67,0,0.5*'Thể lệ'!$E$6)),if(and($F67=AA67,$G67=AB67),"0",if(($F67-$G67)*(AA67-AB67)&gt;0,0.5*'Thể lệ'!$E$6,'Thể lệ'!$E$6)))</f>
        <v>0</v>
      </c>
      <c r="CG67" s="29"/>
      <c r="CH67" s="43">
        <f>if($F67=$G67,if(and($F67=$G67,AC67&lt;&gt;AD67),'Thể lệ'!$E$6,if($F67=AC67,0,0.5*'Thể lệ'!$E$6)),if(and($F67=AC67,$G67=AD67),"0",if(($F67-$G67)*(AC67-AD67)&gt;0,0.5*'Thể lệ'!$E$6,'Thể lệ'!$E$6)))</f>
        <v>0</v>
      </c>
      <c r="CI67" s="29"/>
      <c r="CJ67" s="43">
        <f>if($F67=$G67,if(and($F67=$G67,AE67&lt;&gt;AF67),'Thể lệ'!$E$6,if($F67=AE67,0,0.5*'Thể lệ'!$E$6)),if(and($F67=AE67,$G67=AF67),"0",if(($F67-$G67)*(AE67-AF67)&gt;0,0.5*'Thể lệ'!$E$6,'Thể lệ'!$E$6)))</f>
        <v>0</v>
      </c>
      <c r="CK67" s="29"/>
      <c r="CL67" s="43">
        <f>if($F67=$G67,if(and($F67=$G67,AG67&lt;&gt;AH67),'Thể lệ'!$E$6,if($F67=AG67,0,0.5*'Thể lệ'!$E$6)),if(and($F67=AG67,$G67=AH67),"0",if(($F67-$G67)*(AG67-AH67)&gt;0,0.5*'Thể lệ'!$E$6,'Thể lệ'!$E$6)))</f>
        <v>0</v>
      </c>
      <c r="CM67" s="29"/>
      <c r="CN67" s="43">
        <f>if($F67=$G67,if(and($F67=$G67,AI67&lt;&gt;AJ67),'Thể lệ'!$E$6,if($F67=AI67,0,0.5*'Thể lệ'!$E$6)),if(and($F67=AI67,$G67=AJ67),"0",if(($F67-$G67)*(AI67-AJ67)&gt;0,0.5*'Thể lệ'!$E$6,'Thể lệ'!$E$6)))</f>
        <v>0</v>
      </c>
      <c r="CO67" s="29"/>
      <c r="CP67" s="43">
        <f>if($F67=$G67,if(and($F67=$G67,AK67&lt;&gt;AL67),'Thể lệ'!$E$6,if($F67=AK67,0,0.5*'Thể lệ'!$E$6)),if(and($F67=AK67,$G67=AL67),"0",if(($F67-$G67)*(AK67-AL67)&gt;0,0.5*'Thể lệ'!$E$6,'Thể lệ'!$E$6)))</f>
        <v>0</v>
      </c>
      <c r="CQ67" s="29"/>
      <c r="CR67" s="43">
        <f>if($F67=$G67,if(and($F67=$G67,AM67&lt;&gt;AN67),'Thể lệ'!$E$6,if($F67=AM67,0,0.5*'Thể lệ'!$E$6)),if(and($F67=AM67,$G67=AN67),"0",if(($F67-$G67)*(AM67-AN67)&gt;0,0.5*'Thể lệ'!$E$6,'Thể lệ'!$E$6)))</f>
        <v>0</v>
      </c>
      <c r="CS67" s="29"/>
      <c r="CT67" s="44">
        <f>if($F67=$G67,if(and($F67=$G67,AO67&lt;&gt;AP67),'Thể lệ'!$E$6,if($F67=AO67,0,0.5*'Thể lệ'!$E$6)),if(and($F67=AO67,$G67=AP67),"0",if(($F67-$G67)*(AO67-AP67)&gt;0,0.5*'Thể lệ'!$E$6,'Thể lệ'!$E$6)))</f>
        <v>10000</v>
      </c>
      <c r="CU67" s="29"/>
      <c r="CV67" s="43">
        <f>if($F67=$G67,if(and($F67=$G67,AQ67&lt;&gt;AR67),'Thể lệ'!$E$6,if($F67=AQ67,0,0.5*'Thể lệ'!$E$6)),if(and($F67=AQ67,$G67=AR67),"0",if(($F67-$G67)*(AQ67-AR67)&gt;0,0.5*'Thể lệ'!$E$6,'Thể lệ'!$E$6)))</f>
        <v>0</v>
      </c>
      <c r="CW67" s="29"/>
      <c r="CX67" s="44">
        <f>if($F67=$G67,if(and($F67=$G67,AS67&lt;&gt;AT67),'Thể lệ'!$E$6,if($F67=AS67,0,0.5*'Thể lệ'!$E$6)),if(and($F67=AS67,$G67=AT67),"0",if(($F67-$G67)*(AS67-AT67)&gt;0,0.5*'Thể lệ'!$E$6,'Thể lệ'!$E$6)))</f>
        <v>10000</v>
      </c>
      <c r="CY67" s="29"/>
      <c r="CZ67" s="43">
        <f>if($F67=$G67,if(and($F67=$G67,AU67&lt;&gt;AV67),'Thể lệ'!$E$6,if($F67=AU67,0,0.5*'Thể lệ'!$E$6)),if(and($F67=AU67,$G67=AV67),"0",if(($F67-$G67)*(AU67-AV67)&gt;0,0.5*'Thể lệ'!$E$6,'Thể lệ'!$E$6)))</f>
        <v>0</v>
      </c>
      <c r="DA67" s="29"/>
      <c r="DB67" s="43">
        <f>if($F67=$G67,if(and($F67=$G67,AW67&lt;&gt;AX67),'Thể lệ'!$E$6,if($F67=AW67,0,0.5*'Thể lệ'!$E$6)),if(and($F67=AW67,$G67=AX67),"0",if(($F67-$G67)*(AW67-AX67)&gt;0,0.5*'Thể lệ'!$E$6,'Thể lệ'!$E$6)))</f>
        <v>0</v>
      </c>
      <c r="DC67" s="69"/>
      <c r="DD67" s="43">
        <f>if($F67=$G67,if(and($F67=$G67,AY67&lt;&gt;AZ67),'Thể lệ'!$E$6,if($F67=AY67,0,0.5*'Thể lệ'!$E$6)),if(and($F67=AY67,$G67=AZ67),"0",if(($F67-$G67)*(AY67-AZ67)&gt;0,0.5*'Thể lệ'!$E$6,'Thể lệ'!$E$6)))</f>
        <v>0</v>
      </c>
      <c r="DE67" s="69"/>
      <c r="DF67" s="43">
        <f>if($F67=$G67,if(and($F67=$G67,BA67&lt;&gt;BB67),'Thể lệ'!$E$6,if($F67=BA67,0,0.5*'Thể lệ'!$E$6)),if(and($F67=BA67,$G67=BB67),"0",if(($F67-$G67)*(BA67-BB67)&gt;0,0.5*'Thể lệ'!$E$6,'Thể lệ'!$E$6)))</f>
        <v>0</v>
      </c>
      <c r="DG67" s="69"/>
      <c r="DH67" s="44">
        <f>if($F67=$G67,if(and($F67=$G67,BC67&lt;&gt;BD67),'Thể lệ'!$E$6,if($F67=BC67,0,0.5*'Thể lệ'!$E$6)),if(and($F67=BC67,$G67=BD67),"0",if(($F67-$G67)*(BC67-BD67)&gt;0,0.5*'Thể lệ'!$E$6,'Thể lệ'!$E$6)))</f>
        <v>10000</v>
      </c>
      <c r="DI67" s="69"/>
      <c r="DJ67" s="43">
        <f>if($F67=$G67,if(and($F67=$G67,BE67&lt;&gt;BF67),'Thể lệ'!$E$6,if($F67=BE67,0,0.5*'Thể lệ'!$E$6)),if(and($F67=BE67,$G67=BF67),"0",if(($F67-$G67)*(BE67-BF67)&gt;0,0.5*'Thể lệ'!$E$6,'Thể lệ'!$E$6)))</f>
        <v>0</v>
      </c>
      <c r="DK67" s="69"/>
      <c r="DL67" s="43">
        <f>if($F67=$G67,if(and($F67=$G67,BG67&lt;&gt;BH67),'Thể lệ'!$E$6,if($F67=BG67,0,0.5*'Thể lệ'!$E$6)),if(and($F67=BG67,$G67=BH67),"0",if(($F67-$G67)*(BG67-BH67)&gt;0,0.5*'Thể lệ'!$E$6,'Thể lệ'!$E$6)))</f>
        <v>0</v>
      </c>
      <c r="DM67" s="69"/>
      <c r="DN67" s="44">
        <f>if($F67=$G67,if(and($F67=$G67,BI67&lt;&gt;BJ67),'Thể lệ'!$E$6,if($F67=BI67,0,0.5*'Thể lệ'!$E$6)),if(and($F67=BI67,$G67=BJ67),"0",if(($F67-$G67)*(BI67-BJ67)&gt;0,0.5*'Thể lệ'!$E$6,'Thể lệ'!$E$6)))</f>
        <v>10000</v>
      </c>
      <c r="DO67" s="69"/>
      <c r="DP67" s="69"/>
    </row>
    <row r="68">
      <c r="A68" s="63"/>
      <c r="B68" s="22">
        <v>62.0</v>
      </c>
      <c r="C68" s="64">
        <v>46200.08333333333</v>
      </c>
      <c r="D68" s="65">
        <v>46200.08333333333</v>
      </c>
      <c r="E68" s="55" t="s">
        <v>65</v>
      </c>
      <c r="F68" s="23"/>
      <c r="G68" s="23"/>
      <c r="H68" s="55" t="s">
        <v>66</v>
      </c>
      <c r="I68" s="23"/>
      <c r="J68" s="23"/>
      <c r="K68" s="23"/>
      <c r="L68" s="23"/>
      <c r="M68" s="23"/>
      <c r="N68" s="23"/>
      <c r="O68" s="23"/>
      <c r="P68" s="23"/>
      <c r="Q68" s="37" t="str">
        <f t="shared" si="4"/>
        <v/>
      </c>
      <c r="R68" s="37" t="str">
        <f t="shared" si="6"/>
        <v/>
      </c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>
        <v>2.0</v>
      </c>
      <c r="AP68" s="23">
        <v>0.0</v>
      </c>
      <c r="AQ68" s="23"/>
      <c r="AR68" s="23"/>
      <c r="AS68" s="66">
        <v>2.0</v>
      </c>
      <c r="AT68" s="66">
        <v>0.0</v>
      </c>
      <c r="AU68" s="23"/>
      <c r="AV68" s="23"/>
      <c r="AW68" s="23"/>
      <c r="AX68" s="23"/>
      <c r="AY68" s="23"/>
      <c r="AZ68" s="23"/>
      <c r="BA68" s="23"/>
      <c r="BB68" s="23"/>
      <c r="BC68" s="23">
        <v>2.0</v>
      </c>
      <c r="BD68" s="23">
        <v>0.0</v>
      </c>
      <c r="BE68" s="67"/>
      <c r="BF68" s="23"/>
      <c r="BG68" s="23"/>
      <c r="BH68" s="23"/>
      <c r="BI68" s="37">
        <f>H.Son!H68</f>
        <v>1</v>
      </c>
      <c r="BJ68" s="37">
        <f>H.Son!I68</f>
        <v>0</v>
      </c>
      <c r="BK68" s="23"/>
      <c r="BL68" s="23"/>
      <c r="BM68" s="68"/>
      <c r="BN68" s="43">
        <f>if($F68=$G68,if(and($F68=$G68,I68&lt;&gt;J68),'Thể lệ'!$E$6,if($F68=I68,0,0.5*'Thể lệ'!$E$6)),if(and($F68=I68,$G68=J68),"0",if(($F68-$G68)*(I68-J68)&gt;0,0.5*'Thể lệ'!$E$6,'Thể lệ'!$E$6)))</f>
        <v>0</v>
      </c>
      <c r="BO68" s="29"/>
      <c r="BP68" s="43">
        <f>if($F68=$G68,if(and($F68=$G68,K68&lt;&gt;L68),'Thể lệ'!$E$6,if($F68=K68,0,0.5*'Thể lệ'!$E$6)),if(and($F68=K68,$G68=L68),"0",if(($F68-$G68)*(K68-L68)&gt;0,0.5*'Thể lệ'!$E$6,'Thể lệ'!$E$6)))</f>
        <v>0</v>
      </c>
      <c r="BQ68" s="29"/>
      <c r="BR68" s="43">
        <f>if($F68=$G68,if(and($F68=$G68,M68&lt;&gt;N68),'Thể lệ'!$E$6,if($F68=M68,0,0.5*'Thể lệ'!$E$6)),if(and($F68=M68,$G68=N68),"0",if(($F68-$G68)*(M68-N68)&gt;0,0.5*'Thể lệ'!$E$6,'Thể lệ'!$E$6)))</f>
        <v>0</v>
      </c>
      <c r="BS68" s="29"/>
      <c r="BT68" s="43">
        <f>if($F68=$G68,if(and($F68=$G68,O68&lt;&gt;P68),'Thể lệ'!$E$6,if($F68=O68,0,0.5*'Thể lệ'!$E$6)),if(and($F68=O68,$G68=P68),"0",if(($F68-$G68)*(O68-P68)&gt;0,0.5*'Thể lệ'!$E$6,'Thể lệ'!$E$6)))</f>
        <v>0</v>
      </c>
      <c r="BU68" s="29"/>
      <c r="BV68" s="43">
        <f>if($F68=$G68,if(and($F68=$G68,Q68&lt;&gt;R68),'Thể lệ'!$E$6,if($F68=Q68,0,0.5*'Thể lệ'!$E$6)),if(and($F68=Q68,$G68=R68),"0",if(($F68-$G68)*(Q68-R68)&gt;0,0.5*'Thể lệ'!$E$6,'Thể lệ'!$E$6)))</f>
        <v>0</v>
      </c>
      <c r="BW68" s="29"/>
      <c r="BX68" s="43">
        <f>if($F68=$G68,if(and($F68=$G68,S68&lt;&gt;T68),'Thể lệ'!$E$6,if($F68=S68,0,0.5*'Thể lệ'!$E$6)),if(and($F68=S68,$G68=T68),"0",if(($F68-$G68)*(S68-T68)&gt;0,0.5*'Thể lệ'!$E$6,'Thể lệ'!$E$6)))</f>
        <v>0</v>
      </c>
      <c r="BY68" s="29"/>
      <c r="BZ68" s="43">
        <f>if($F68=$G68,if(and($F68=$G68,U68&lt;&gt;V68),'Thể lệ'!$E$6,if($F68=U68,0,0.5*'Thể lệ'!$E$6)),if(and($F68=U68,$G68=V68),"0",if(($F68-$G68)*(U68-V68)&gt;0,0.5*'Thể lệ'!$E$6,'Thể lệ'!$E$6)))</f>
        <v>0</v>
      </c>
      <c r="CA68" s="29"/>
      <c r="CB68" s="43">
        <f>if($F68=$G68,if(and($F68=$G68,W68&lt;&gt;X68),'Thể lệ'!$E$6,if($F68=W68,0,0.5*'Thể lệ'!$E$6)),if(and($F68=W68,$G68=X68),"0",if(($F68-$G68)*(W68-X68)&gt;0,0.5*'Thể lệ'!$E$6,'Thể lệ'!$E$6)))</f>
        <v>0</v>
      </c>
      <c r="CC68" s="29"/>
      <c r="CD68" s="43">
        <f>if($F68=$G68,if(and($F68=$G68,Y68&lt;&gt;Z68),'Thể lệ'!$E$6,if($F68=Y68,0,0.5*'Thể lệ'!$E$6)),if(and($F68=Y68,$G68=Z68),"0",if(($F68-$G68)*(Y68-Z68)&gt;0,0.5*'Thể lệ'!$E$6,'Thể lệ'!$E$6)))</f>
        <v>0</v>
      </c>
      <c r="CE68" s="29"/>
      <c r="CF68" s="43">
        <f>if($F68=$G68,if(and($F68=$G68,AA68&lt;&gt;AB68),'Thể lệ'!$E$6,if($F68=AA68,0,0.5*'Thể lệ'!$E$6)),if(and($F68=AA68,$G68=AB68),"0",if(($F68-$G68)*(AA68-AB68)&gt;0,0.5*'Thể lệ'!$E$6,'Thể lệ'!$E$6)))</f>
        <v>0</v>
      </c>
      <c r="CG68" s="29"/>
      <c r="CH68" s="43">
        <f>if($F68=$G68,if(and($F68=$G68,AC68&lt;&gt;AD68),'Thể lệ'!$E$6,if($F68=AC68,0,0.5*'Thể lệ'!$E$6)),if(and($F68=AC68,$G68=AD68),"0",if(($F68-$G68)*(AC68-AD68)&gt;0,0.5*'Thể lệ'!$E$6,'Thể lệ'!$E$6)))</f>
        <v>0</v>
      </c>
      <c r="CI68" s="29"/>
      <c r="CJ68" s="43">
        <f>if($F68=$G68,if(and($F68=$G68,AE68&lt;&gt;AF68),'Thể lệ'!$E$6,if($F68=AE68,0,0.5*'Thể lệ'!$E$6)),if(and($F68=AE68,$G68=AF68),"0",if(($F68-$G68)*(AE68-AF68)&gt;0,0.5*'Thể lệ'!$E$6,'Thể lệ'!$E$6)))</f>
        <v>0</v>
      </c>
      <c r="CK68" s="29"/>
      <c r="CL68" s="43">
        <f>if($F68=$G68,if(and($F68=$G68,AG68&lt;&gt;AH68),'Thể lệ'!$E$6,if($F68=AG68,0,0.5*'Thể lệ'!$E$6)),if(and($F68=AG68,$G68=AH68),"0",if(($F68-$G68)*(AG68-AH68)&gt;0,0.5*'Thể lệ'!$E$6,'Thể lệ'!$E$6)))</f>
        <v>0</v>
      </c>
      <c r="CM68" s="29"/>
      <c r="CN68" s="43">
        <f>if($F68=$G68,if(and($F68=$G68,AI68&lt;&gt;AJ68),'Thể lệ'!$E$6,if($F68=AI68,0,0.5*'Thể lệ'!$E$6)),if(and($F68=AI68,$G68=AJ68),"0",if(($F68-$G68)*(AI68-AJ68)&gt;0,0.5*'Thể lệ'!$E$6,'Thể lệ'!$E$6)))</f>
        <v>0</v>
      </c>
      <c r="CO68" s="29"/>
      <c r="CP68" s="43">
        <f>if($F68=$G68,if(and($F68=$G68,AK68&lt;&gt;AL68),'Thể lệ'!$E$6,if($F68=AK68,0,0.5*'Thể lệ'!$E$6)),if(and($F68=AK68,$G68=AL68),"0",if(($F68-$G68)*(AK68-AL68)&gt;0,0.5*'Thể lệ'!$E$6,'Thể lệ'!$E$6)))</f>
        <v>0</v>
      </c>
      <c r="CQ68" s="29"/>
      <c r="CR68" s="43">
        <f>if($F68=$G68,if(and($F68=$G68,AM68&lt;&gt;AN68),'Thể lệ'!$E$6,if($F68=AM68,0,0.5*'Thể lệ'!$E$6)),if(and($F68=AM68,$G68=AN68),"0",if(($F68-$G68)*(AM68-AN68)&gt;0,0.5*'Thể lệ'!$E$6,'Thể lệ'!$E$6)))</f>
        <v>0</v>
      </c>
      <c r="CS68" s="29"/>
      <c r="CT68" s="44">
        <f>if($F68=$G68,if(and($F68=$G68,AO68&lt;&gt;AP68),'Thể lệ'!$E$6,if($F68=AO68,0,0.5*'Thể lệ'!$E$6)),if(and($F68=AO68,$G68=AP68),"0",if(($F68-$G68)*(AO68-AP68)&gt;0,0.5*'Thể lệ'!$E$6,'Thể lệ'!$E$6)))</f>
        <v>10000</v>
      </c>
      <c r="CU68" s="29"/>
      <c r="CV68" s="43">
        <f>if($F68=$G68,if(and($F68=$G68,AQ68&lt;&gt;AR68),'Thể lệ'!$E$6,if($F68=AQ68,0,0.5*'Thể lệ'!$E$6)),if(and($F68=AQ68,$G68=AR68),"0",if(($F68-$G68)*(AQ68-AR68)&gt;0,0.5*'Thể lệ'!$E$6,'Thể lệ'!$E$6)))</f>
        <v>0</v>
      </c>
      <c r="CW68" s="29"/>
      <c r="CX68" s="44">
        <f>if($F68=$G68,if(and($F68=$G68,AS68&lt;&gt;AT68),'Thể lệ'!$E$6,if($F68=AS68,0,0.5*'Thể lệ'!$E$6)),if(and($F68=AS68,$G68=AT68),"0",if(($F68-$G68)*(AS68-AT68)&gt;0,0.5*'Thể lệ'!$E$6,'Thể lệ'!$E$6)))</f>
        <v>10000</v>
      </c>
      <c r="CY68" s="29"/>
      <c r="CZ68" s="43">
        <f>if($F68=$G68,if(and($F68=$G68,AU68&lt;&gt;AV68),'Thể lệ'!$E$6,if($F68=AU68,0,0.5*'Thể lệ'!$E$6)),if(and($F68=AU68,$G68=AV68),"0",if(($F68-$G68)*(AU68-AV68)&gt;0,0.5*'Thể lệ'!$E$6,'Thể lệ'!$E$6)))</f>
        <v>0</v>
      </c>
      <c r="DA68" s="29"/>
      <c r="DB68" s="43">
        <f>if($F68=$G68,if(and($F68=$G68,AW68&lt;&gt;AX68),'Thể lệ'!$E$6,if($F68=AW68,0,0.5*'Thể lệ'!$E$6)),if(and($F68=AW68,$G68=AX68),"0",if(($F68-$G68)*(AW68-AX68)&gt;0,0.5*'Thể lệ'!$E$6,'Thể lệ'!$E$6)))</f>
        <v>0</v>
      </c>
      <c r="DC68" s="69"/>
      <c r="DD68" s="43">
        <f>if($F68=$G68,if(and($F68=$G68,AY68&lt;&gt;AZ68),'Thể lệ'!$E$6,if($F68=AY68,0,0.5*'Thể lệ'!$E$6)),if(and($F68=AY68,$G68=AZ68),"0",if(($F68-$G68)*(AY68-AZ68)&gt;0,0.5*'Thể lệ'!$E$6,'Thể lệ'!$E$6)))</f>
        <v>0</v>
      </c>
      <c r="DE68" s="69"/>
      <c r="DF68" s="43">
        <f>if($F68=$G68,if(and($F68=$G68,BA68&lt;&gt;BB68),'Thể lệ'!$E$6,if($F68=BA68,0,0.5*'Thể lệ'!$E$6)),if(and($F68=BA68,$G68=BB68),"0",if(($F68-$G68)*(BA68-BB68)&gt;0,0.5*'Thể lệ'!$E$6,'Thể lệ'!$E$6)))</f>
        <v>0</v>
      </c>
      <c r="DG68" s="69"/>
      <c r="DH68" s="44">
        <f>if($F68=$G68,if(and($F68=$G68,BC68&lt;&gt;BD68),'Thể lệ'!$E$6,if($F68=BC68,0,0.5*'Thể lệ'!$E$6)),if(and($F68=BC68,$G68=BD68),"0",if(($F68-$G68)*(BC68-BD68)&gt;0,0.5*'Thể lệ'!$E$6,'Thể lệ'!$E$6)))</f>
        <v>10000</v>
      </c>
      <c r="DI68" s="69"/>
      <c r="DJ68" s="43">
        <f>if($F68=$G68,if(and($F68=$G68,BE68&lt;&gt;BF68),'Thể lệ'!$E$6,if($F68=BE68,0,0.5*'Thể lệ'!$E$6)),if(and($F68=BE68,$G68=BF68),"0",if(($F68-$G68)*(BE68-BF68)&gt;0,0.5*'Thể lệ'!$E$6,'Thể lệ'!$E$6)))</f>
        <v>0</v>
      </c>
      <c r="DK68" s="69"/>
      <c r="DL68" s="43">
        <f>if($F68=$G68,if(and($F68=$G68,BG68&lt;&gt;BH68),'Thể lệ'!$E$6,if($F68=BG68,0,0.5*'Thể lệ'!$E$6)),if(and($F68=BG68,$G68=BH68),"0",if(($F68-$G68)*(BG68-BH68)&gt;0,0.5*'Thể lệ'!$E$6,'Thể lệ'!$E$6)))</f>
        <v>0</v>
      </c>
      <c r="DM68" s="69"/>
      <c r="DN68" s="44">
        <f>if($F68=$G68,if(and($F68=$G68,BI68&lt;&gt;BJ68),'Thể lệ'!$E$6,if($F68=BI68,0,0.5*'Thể lệ'!$E$6)),if(and($F68=BI68,$G68=BJ68),"0",if(($F68-$G68)*(BI68-BJ68)&gt;0,0.5*'Thể lệ'!$E$6,'Thể lệ'!$E$6)))</f>
        <v>10000</v>
      </c>
      <c r="DO68" s="69"/>
      <c r="DP68" s="69"/>
    </row>
    <row r="69">
      <c r="A69" s="63"/>
      <c r="B69" s="22">
        <v>63.0</v>
      </c>
      <c r="C69" s="64">
        <v>46200.291666666664</v>
      </c>
      <c r="D69" s="65">
        <v>46200.291666666664</v>
      </c>
      <c r="E69" s="55" t="s">
        <v>57</v>
      </c>
      <c r="F69" s="23"/>
      <c r="G69" s="23"/>
      <c r="H69" s="55" t="s">
        <v>60</v>
      </c>
      <c r="I69" s="23"/>
      <c r="J69" s="23"/>
      <c r="K69" s="23"/>
      <c r="L69" s="23"/>
      <c r="M69" s="23"/>
      <c r="N69" s="23"/>
      <c r="O69" s="23"/>
      <c r="P69" s="23"/>
      <c r="Q69" s="37" t="str">
        <f t="shared" si="4"/>
        <v/>
      </c>
      <c r="R69" s="37" t="str">
        <f t="shared" si="6"/>
        <v/>
      </c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>
        <v>2.0</v>
      </c>
      <c r="AP69" s="23">
        <v>2.0</v>
      </c>
      <c r="AQ69" s="23"/>
      <c r="AR69" s="23"/>
      <c r="AS69" s="66">
        <v>1.0</v>
      </c>
      <c r="AT69" s="66">
        <v>1.0</v>
      </c>
      <c r="AU69" s="23"/>
      <c r="AV69" s="23"/>
      <c r="AW69" s="23"/>
      <c r="AX69" s="23"/>
      <c r="AY69" s="23"/>
      <c r="AZ69" s="23"/>
      <c r="BA69" s="23"/>
      <c r="BB69" s="23"/>
      <c r="BC69" s="23">
        <v>0.0</v>
      </c>
      <c r="BD69" s="23">
        <v>2.0</v>
      </c>
      <c r="BE69" s="67"/>
      <c r="BF69" s="23"/>
      <c r="BG69" s="23"/>
      <c r="BH69" s="23"/>
      <c r="BI69" s="37">
        <f>H.Son!H69</f>
        <v>0</v>
      </c>
      <c r="BJ69" s="37">
        <f>H.Son!I69</f>
        <v>1</v>
      </c>
      <c r="BK69" s="23"/>
      <c r="BL69" s="23"/>
      <c r="BM69" s="68"/>
      <c r="BN69" s="43">
        <f>if($F69=$G69,if(and($F69=$G69,I69&lt;&gt;J69),'Thể lệ'!$E$6,if($F69=I69,0,0.5*'Thể lệ'!$E$6)),if(and($F69=I69,$G69=J69),"0",if(($F69-$G69)*(I69-J69)&gt;0,0.5*'Thể lệ'!$E$6,'Thể lệ'!$E$6)))</f>
        <v>0</v>
      </c>
      <c r="BO69" s="29"/>
      <c r="BP69" s="43">
        <f>if($F69=$G69,if(and($F69=$G69,K69&lt;&gt;L69),'Thể lệ'!$E$6,if($F69=K69,0,0.5*'Thể lệ'!$E$6)),if(and($F69=K69,$G69=L69),"0",if(($F69-$G69)*(K69-L69)&gt;0,0.5*'Thể lệ'!$E$6,'Thể lệ'!$E$6)))</f>
        <v>0</v>
      </c>
      <c r="BQ69" s="29"/>
      <c r="BR69" s="43">
        <f>if($F69=$G69,if(and($F69=$G69,M69&lt;&gt;N69),'Thể lệ'!$E$6,if($F69=M69,0,0.5*'Thể lệ'!$E$6)),if(and($F69=M69,$G69=N69),"0",if(($F69-$G69)*(M69-N69)&gt;0,0.5*'Thể lệ'!$E$6,'Thể lệ'!$E$6)))</f>
        <v>0</v>
      </c>
      <c r="BS69" s="29"/>
      <c r="BT69" s="43">
        <f>if($F69=$G69,if(and($F69=$G69,O69&lt;&gt;P69),'Thể lệ'!$E$6,if($F69=O69,0,0.5*'Thể lệ'!$E$6)),if(and($F69=O69,$G69=P69),"0",if(($F69-$G69)*(O69-P69)&gt;0,0.5*'Thể lệ'!$E$6,'Thể lệ'!$E$6)))</f>
        <v>0</v>
      </c>
      <c r="BU69" s="29"/>
      <c r="BV69" s="43">
        <f>if($F69=$G69,if(and($F69=$G69,Q69&lt;&gt;R69),'Thể lệ'!$E$6,if($F69=Q69,0,0.5*'Thể lệ'!$E$6)),if(and($F69=Q69,$G69=R69),"0",if(($F69-$G69)*(Q69-R69)&gt;0,0.5*'Thể lệ'!$E$6,'Thể lệ'!$E$6)))</f>
        <v>0</v>
      </c>
      <c r="BW69" s="29"/>
      <c r="BX69" s="43">
        <f>if($F69=$G69,if(and($F69=$G69,S69&lt;&gt;T69),'Thể lệ'!$E$6,if($F69=S69,0,0.5*'Thể lệ'!$E$6)),if(and($F69=S69,$G69=T69),"0",if(($F69-$G69)*(S69-T69)&gt;0,0.5*'Thể lệ'!$E$6,'Thể lệ'!$E$6)))</f>
        <v>0</v>
      </c>
      <c r="BY69" s="29"/>
      <c r="BZ69" s="43">
        <f>if($F69=$G69,if(and($F69=$G69,U69&lt;&gt;V69),'Thể lệ'!$E$6,if($F69=U69,0,0.5*'Thể lệ'!$E$6)),if(and($F69=U69,$G69=V69),"0",if(($F69-$G69)*(U69-V69)&gt;0,0.5*'Thể lệ'!$E$6,'Thể lệ'!$E$6)))</f>
        <v>0</v>
      </c>
      <c r="CA69" s="29"/>
      <c r="CB69" s="43">
        <f>if($F69=$G69,if(and($F69=$G69,W69&lt;&gt;X69),'Thể lệ'!$E$6,if($F69=W69,0,0.5*'Thể lệ'!$E$6)),if(and($F69=W69,$G69=X69),"0",if(($F69-$G69)*(W69-X69)&gt;0,0.5*'Thể lệ'!$E$6,'Thể lệ'!$E$6)))</f>
        <v>0</v>
      </c>
      <c r="CC69" s="29"/>
      <c r="CD69" s="43">
        <f>if($F69=$G69,if(and($F69=$G69,Y69&lt;&gt;Z69),'Thể lệ'!$E$6,if($F69=Y69,0,0.5*'Thể lệ'!$E$6)),if(and($F69=Y69,$G69=Z69),"0",if(($F69-$G69)*(Y69-Z69)&gt;0,0.5*'Thể lệ'!$E$6,'Thể lệ'!$E$6)))</f>
        <v>0</v>
      </c>
      <c r="CE69" s="29"/>
      <c r="CF69" s="43">
        <f>if($F69=$G69,if(and($F69=$G69,AA69&lt;&gt;AB69),'Thể lệ'!$E$6,if($F69=AA69,0,0.5*'Thể lệ'!$E$6)),if(and($F69=AA69,$G69=AB69),"0",if(($F69-$G69)*(AA69-AB69)&gt;0,0.5*'Thể lệ'!$E$6,'Thể lệ'!$E$6)))</f>
        <v>0</v>
      </c>
      <c r="CG69" s="29"/>
      <c r="CH69" s="43">
        <f>if($F69=$G69,if(and($F69=$G69,AC69&lt;&gt;AD69),'Thể lệ'!$E$6,if($F69=AC69,0,0.5*'Thể lệ'!$E$6)),if(and($F69=AC69,$G69=AD69),"0",if(($F69-$G69)*(AC69-AD69)&gt;0,0.5*'Thể lệ'!$E$6,'Thể lệ'!$E$6)))</f>
        <v>0</v>
      </c>
      <c r="CI69" s="29"/>
      <c r="CJ69" s="43">
        <f>if($F69=$G69,if(and($F69=$G69,AE69&lt;&gt;AF69),'Thể lệ'!$E$6,if($F69=AE69,0,0.5*'Thể lệ'!$E$6)),if(and($F69=AE69,$G69=AF69),"0",if(($F69-$G69)*(AE69-AF69)&gt;0,0.5*'Thể lệ'!$E$6,'Thể lệ'!$E$6)))</f>
        <v>0</v>
      </c>
      <c r="CK69" s="29"/>
      <c r="CL69" s="43">
        <f>if($F69=$G69,if(and($F69=$G69,AG69&lt;&gt;AH69),'Thể lệ'!$E$6,if($F69=AG69,0,0.5*'Thể lệ'!$E$6)),if(and($F69=AG69,$G69=AH69),"0",if(($F69-$G69)*(AG69-AH69)&gt;0,0.5*'Thể lệ'!$E$6,'Thể lệ'!$E$6)))</f>
        <v>0</v>
      </c>
      <c r="CM69" s="29"/>
      <c r="CN69" s="43">
        <f>if($F69=$G69,if(and($F69=$G69,AI69&lt;&gt;AJ69),'Thể lệ'!$E$6,if($F69=AI69,0,0.5*'Thể lệ'!$E$6)),if(and($F69=AI69,$G69=AJ69),"0",if(($F69-$G69)*(AI69-AJ69)&gt;0,0.5*'Thể lệ'!$E$6,'Thể lệ'!$E$6)))</f>
        <v>0</v>
      </c>
      <c r="CO69" s="29"/>
      <c r="CP69" s="43">
        <f>if($F69=$G69,if(and($F69=$G69,AK69&lt;&gt;AL69),'Thể lệ'!$E$6,if($F69=AK69,0,0.5*'Thể lệ'!$E$6)),if(and($F69=AK69,$G69=AL69),"0",if(($F69-$G69)*(AK69-AL69)&gt;0,0.5*'Thể lệ'!$E$6,'Thể lệ'!$E$6)))</f>
        <v>0</v>
      </c>
      <c r="CQ69" s="29"/>
      <c r="CR69" s="43">
        <f>if($F69=$G69,if(and($F69=$G69,AM69&lt;&gt;AN69),'Thể lệ'!$E$6,if($F69=AM69,0,0.5*'Thể lệ'!$E$6)),if(and($F69=AM69,$G69=AN69),"0",if(($F69-$G69)*(AM69-AN69)&gt;0,0.5*'Thể lệ'!$E$6,'Thể lệ'!$E$6)))</f>
        <v>0</v>
      </c>
      <c r="CS69" s="29"/>
      <c r="CT69" s="44">
        <f>if($F69=$G69,if(and($F69=$G69,AO69&lt;&gt;AP69),'Thể lệ'!$E$6,if($F69=AO69,0,0.5*'Thể lệ'!$E$6)),if(and($F69=AO69,$G69=AP69),"0",if(($F69-$G69)*(AO69-AP69)&gt;0,0.5*'Thể lệ'!$E$6,'Thể lệ'!$E$6)))</f>
        <v>5000</v>
      </c>
      <c r="CU69" s="29"/>
      <c r="CV69" s="43">
        <f>if($F69=$G69,if(and($F69=$G69,AQ69&lt;&gt;AR69),'Thể lệ'!$E$6,if($F69=AQ69,0,0.5*'Thể lệ'!$E$6)),if(and($F69=AQ69,$G69=AR69),"0",if(($F69-$G69)*(AQ69-AR69)&gt;0,0.5*'Thể lệ'!$E$6,'Thể lệ'!$E$6)))</f>
        <v>0</v>
      </c>
      <c r="CW69" s="29"/>
      <c r="CX69" s="44">
        <f>if($F69=$G69,if(and($F69=$G69,AS69&lt;&gt;AT69),'Thể lệ'!$E$6,if($F69=AS69,0,0.5*'Thể lệ'!$E$6)),if(and($F69=AS69,$G69=AT69),"0",if(($F69-$G69)*(AS69-AT69)&gt;0,0.5*'Thể lệ'!$E$6,'Thể lệ'!$E$6)))</f>
        <v>5000</v>
      </c>
      <c r="CY69" s="29"/>
      <c r="CZ69" s="43">
        <f>if($F69=$G69,if(and($F69=$G69,AU69&lt;&gt;AV69),'Thể lệ'!$E$6,if($F69=AU69,0,0.5*'Thể lệ'!$E$6)),if(and($F69=AU69,$G69=AV69),"0",if(($F69-$G69)*(AU69-AV69)&gt;0,0.5*'Thể lệ'!$E$6,'Thể lệ'!$E$6)))</f>
        <v>0</v>
      </c>
      <c r="DA69" s="29"/>
      <c r="DB69" s="43">
        <f>if($F69=$G69,if(and($F69=$G69,AW69&lt;&gt;AX69),'Thể lệ'!$E$6,if($F69=AW69,0,0.5*'Thể lệ'!$E$6)),if(and($F69=AW69,$G69=AX69),"0",if(($F69-$G69)*(AW69-AX69)&gt;0,0.5*'Thể lệ'!$E$6,'Thể lệ'!$E$6)))</f>
        <v>0</v>
      </c>
      <c r="DC69" s="69"/>
      <c r="DD69" s="43">
        <f>if($F69=$G69,if(and($F69=$G69,AY69&lt;&gt;AZ69),'Thể lệ'!$E$6,if($F69=AY69,0,0.5*'Thể lệ'!$E$6)),if(and($F69=AY69,$G69=AZ69),"0",if(($F69-$G69)*(AY69-AZ69)&gt;0,0.5*'Thể lệ'!$E$6,'Thể lệ'!$E$6)))</f>
        <v>0</v>
      </c>
      <c r="DE69" s="69"/>
      <c r="DF69" s="43">
        <f>if($F69=$G69,if(and($F69=$G69,BA69&lt;&gt;BB69),'Thể lệ'!$E$6,if($F69=BA69,0,0.5*'Thể lệ'!$E$6)),if(and($F69=BA69,$G69=BB69),"0",if(($F69-$G69)*(BA69-BB69)&gt;0,0.5*'Thể lệ'!$E$6,'Thể lệ'!$E$6)))</f>
        <v>0</v>
      </c>
      <c r="DG69" s="69"/>
      <c r="DH69" s="44">
        <f>if($F69=$G69,if(and($F69=$G69,BC69&lt;&gt;BD69),'Thể lệ'!$E$6,if($F69=BC69,0,0.5*'Thể lệ'!$E$6)),if(and($F69=BC69,$G69=BD69),"0",if(($F69-$G69)*(BC69-BD69)&gt;0,0.5*'Thể lệ'!$E$6,'Thể lệ'!$E$6)))</f>
        <v>10000</v>
      </c>
      <c r="DI69" s="69"/>
      <c r="DJ69" s="43">
        <f>if($F69=$G69,if(and($F69=$G69,BE69&lt;&gt;BF69),'Thể lệ'!$E$6,if($F69=BE69,0,0.5*'Thể lệ'!$E$6)),if(and($F69=BE69,$G69=BF69),"0",if(($F69-$G69)*(BE69-BF69)&gt;0,0.5*'Thể lệ'!$E$6,'Thể lệ'!$E$6)))</f>
        <v>0</v>
      </c>
      <c r="DK69" s="69"/>
      <c r="DL69" s="43">
        <f>if($F69=$G69,if(and($F69=$G69,BG69&lt;&gt;BH69),'Thể lệ'!$E$6,if($F69=BG69,0,0.5*'Thể lệ'!$E$6)),if(and($F69=BG69,$G69=BH69),"0",if(($F69-$G69)*(BG69-BH69)&gt;0,0.5*'Thể lệ'!$E$6,'Thể lệ'!$E$6)))</f>
        <v>0</v>
      </c>
      <c r="DM69" s="69"/>
      <c r="DN69" s="44">
        <f>if($F69=$G69,if(and($F69=$G69,BI69&lt;&gt;BJ69),'Thể lệ'!$E$6,if($F69=BI69,0,0.5*'Thể lệ'!$E$6)),if(and($F69=BI69,$G69=BJ69),"0",if(($F69-$G69)*(BI69-BJ69)&gt;0,0.5*'Thể lệ'!$E$6,'Thể lệ'!$E$6)))</f>
        <v>10000</v>
      </c>
      <c r="DO69" s="69"/>
      <c r="DP69" s="69"/>
    </row>
    <row r="70">
      <c r="A70" s="63"/>
      <c r="B70" s="22">
        <v>64.0</v>
      </c>
      <c r="C70" s="64">
        <v>46200.291666666664</v>
      </c>
      <c r="D70" s="65">
        <v>46200.291666666664</v>
      </c>
      <c r="E70" s="55" t="s">
        <v>61</v>
      </c>
      <c r="F70" s="23"/>
      <c r="G70" s="23"/>
      <c r="H70" s="55" t="s">
        <v>56</v>
      </c>
      <c r="I70" s="23"/>
      <c r="J70" s="23"/>
      <c r="K70" s="23"/>
      <c r="L70" s="23"/>
      <c r="M70" s="23"/>
      <c r="N70" s="23"/>
      <c r="O70" s="23"/>
      <c r="P70" s="23"/>
      <c r="Q70" s="37" t="str">
        <f t="shared" si="4"/>
        <v/>
      </c>
      <c r="R70" s="37" t="str">
        <f t="shared" si="6"/>
        <v/>
      </c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>
        <v>1.0</v>
      </c>
      <c r="AP70" s="23">
        <v>3.0</v>
      </c>
      <c r="AQ70" s="23"/>
      <c r="AR70" s="23"/>
      <c r="AS70" s="66">
        <v>0.0</v>
      </c>
      <c r="AT70" s="66">
        <v>2.0</v>
      </c>
      <c r="AU70" s="23"/>
      <c r="AV70" s="23"/>
      <c r="AW70" s="23"/>
      <c r="AX70" s="23"/>
      <c r="AY70" s="23"/>
      <c r="AZ70" s="23"/>
      <c r="BA70" s="23"/>
      <c r="BB70" s="23"/>
      <c r="BC70" s="23">
        <v>1.0</v>
      </c>
      <c r="BD70" s="23">
        <v>2.0</v>
      </c>
      <c r="BE70" s="67"/>
      <c r="BF70" s="23"/>
      <c r="BG70" s="23"/>
      <c r="BH70" s="23"/>
      <c r="BI70" s="37">
        <f>H.Son!H70</f>
        <v>1</v>
      </c>
      <c r="BJ70" s="37">
        <f>H.Son!I70</f>
        <v>1</v>
      </c>
      <c r="BK70" s="23"/>
      <c r="BL70" s="23"/>
      <c r="BM70" s="68"/>
      <c r="BN70" s="43">
        <f>if($F70=$G70,if(and($F70=$G70,I70&lt;&gt;J70),'Thể lệ'!$E$6,if($F70=I70,0,0.5*'Thể lệ'!$E$6)),if(and($F70=I70,$G70=J70),"0",if(($F70-$G70)*(I70-J70)&gt;0,0.5*'Thể lệ'!$E$6,'Thể lệ'!$E$6)))</f>
        <v>0</v>
      </c>
      <c r="BO70" s="29"/>
      <c r="BP70" s="43">
        <f>if($F70=$G70,if(and($F70=$G70,K70&lt;&gt;L70),'Thể lệ'!$E$6,if($F70=K70,0,0.5*'Thể lệ'!$E$6)),if(and($F70=K70,$G70=L70),"0",if(($F70-$G70)*(K70-L70)&gt;0,0.5*'Thể lệ'!$E$6,'Thể lệ'!$E$6)))</f>
        <v>0</v>
      </c>
      <c r="BQ70" s="29"/>
      <c r="BR70" s="43">
        <f>if($F70=$G70,if(and($F70=$G70,M70&lt;&gt;N70),'Thể lệ'!$E$6,if($F70=M70,0,0.5*'Thể lệ'!$E$6)),if(and($F70=M70,$G70=N70),"0",if(($F70-$G70)*(M70-N70)&gt;0,0.5*'Thể lệ'!$E$6,'Thể lệ'!$E$6)))</f>
        <v>0</v>
      </c>
      <c r="BS70" s="29"/>
      <c r="BT70" s="43">
        <f>if($F70=$G70,if(and($F70=$G70,O70&lt;&gt;P70),'Thể lệ'!$E$6,if($F70=O70,0,0.5*'Thể lệ'!$E$6)),if(and($F70=O70,$G70=P70),"0",if(($F70-$G70)*(O70-P70)&gt;0,0.5*'Thể lệ'!$E$6,'Thể lệ'!$E$6)))</f>
        <v>0</v>
      </c>
      <c r="BU70" s="29"/>
      <c r="BV70" s="43">
        <f>if($F70=$G70,if(and($F70=$G70,Q70&lt;&gt;R70),'Thể lệ'!$E$6,if($F70=Q70,0,0.5*'Thể lệ'!$E$6)),if(and($F70=Q70,$G70=R70),"0",if(($F70-$G70)*(Q70-R70)&gt;0,0.5*'Thể lệ'!$E$6,'Thể lệ'!$E$6)))</f>
        <v>0</v>
      </c>
      <c r="BW70" s="29"/>
      <c r="BX70" s="43">
        <f>if($F70=$G70,if(and($F70=$G70,S70&lt;&gt;T70),'Thể lệ'!$E$6,if($F70=S70,0,0.5*'Thể lệ'!$E$6)),if(and($F70=S70,$G70=T70),"0",if(($F70-$G70)*(S70-T70)&gt;0,0.5*'Thể lệ'!$E$6,'Thể lệ'!$E$6)))</f>
        <v>0</v>
      </c>
      <c r="BY70" s="29"/>
      <c r="BZ70" s="43">
        <f>if($F70=$G70,if(and($F70=$G70,U70&lt;&gt;V70),'Thể lệ'!$E$6,if($F70=U70,0,0.5*'Thể lệ'!$E$6)),if(and($F70=U70,$G70=V70),"0",if(($F70-$G70)*(U70-V70)&gt;0,0.5*'Thể lệ'!$E$6,'Thể lệ'!$E$6)))</f>
        <v>0</v>
      </c>
      <c r="CA70" s="29"/>
      <c r="CB70" s="43">
        <f>if($F70=$G70,if(and($F70=$G70,W70&lt;&gt;X70),'Thể lệ'!$E$6,if($F70=W70,0,0.5*'Thể lệ'!$E$6)),if(and($F70=W70,$G70=X70),"0",if(($F70-$G70)*(W70-X70)&gt;0,0.5*'Thể lệ'!$E$6,'Thể lệ'!$E$6)))</f>
        <v>0</v>
      </c>
      <c r="CC70" s="29"/>
      <c r="CD70" s="43">
        <f>if($F70=$G70,if(and($F70=$G70,Y70&lt;&gt;Z70),'Thể lệ'!$E$6,if($F70=Y70,0,0.5*'Thể lệ'!$E$6)),if(and($F70=Y70,$G70=Z70),"0",if(($F70-$G70)*(Y70-Z70)&gt;0,0.5*'Thể lệ'!$E$6,'Thể lệ'!$E$6)))</f>
        <v>0</v>
      </c>
      <c r="CE70" s="29"/>
      <c r="CF70" s="43">
        <f>if($F70=$G70,if(and($F70=$G70,AA70&lt;&gt;AB70),'Thể lệ'!$E$6,if($F70=AA70,0,0.5*'Thể lệ'!$E$6)),if(and($F70=AA70,$G70=AB70),"0",if(($F70-$G70)*(AA70-AB70)&gt;0,0.5*'Thể lệ'!$E$6,'Thể lệ'!$E$6)))</f>
        <v>0</v>
      </c>
      <c r="CG70" s="29"/>
      <c r="CH70" s="43">
        <f>if($F70=$G70,if(and($F70=$G70,AC70&lt;&gt;AD70),'Thể lệ'!$E$6,if($F70=AC70,0,0.5*'Thể lệ'!$E$6)),if(and($F70=AC70,$G70=AD70),"0",if(($F70-$G70)*(AC70-AD70)&gt;0,0.5*'Thể lệ'!$E$6,'Thể lệ'!$E$6)))</f>
        <v>0</v>
      </c>
      <c r="CI70" s="29"/>
      <c r="CJ70" s="43">
        <f>if($F70=$G70,if(and($F70=$G70,AE70&lt;&gt;AF70),'Thể lệ'!$E$6,if($F70=AE70,0,0.5*'Thể lệ'!$E$6)),if(and($F70=AE70,$G70=AF70),"0",if(($F70-$G70)*(AE70-AF70)&gt;0,0.5*'Thể lệ'!$E$6,'Thể lệ'!$E$6)))</f>
        <v>0</v>
      </c>
      <c r="CK70" s="29"/>
      <c r="CL70" s="43">
        <f>if($F70=$G70,if(and($F70=$G70,AG70&lt;&gt;AH70),'Thể lệ'!$E$6,if($F70=AG70,0,0.5*'Thể lệ'!$E$6)),if(and($F70=AG70,$G70=AH70),"0",if(($F70-$G70)*(AG70-AH70)&gt;0,0.5*'Thể lệ'!$E$6,'Thể lệ'!$E$6)))</f>
        <v>0</v>
      </c>
      <c r="CM70" s="29"/>
      <c r="CN70" s="43">
        <f>if($F70=$G70,if(and($F70=$G70,AI70&lt;&gt;AJ70),'Thể lệ'!$E$6,if($F70=AI70,0,0.5*'Thể lệ'!$E$6)),if(and($F70=AI70,$G70=AJ70),"0",if(($F70-$G70)*(AI70-AJ70)&gt;0,0.5*'Thể lệ'!$E$6,'Thể lệ'!$E$6)))</f>
        <v>0</v>
      </c>
      <c r="CO70" s="29"/>
      <c r="CP70" s="43">
        <f>if($F70=$G70,if(and($F70=$G70,AK70&lt;&gt;AL70),'Thể lệ'!$E$6,if($F70=AK70,0,0.5*'Thể lệ'!$E$6)),if(and($F70=AK70,$G70=AL70),"0",if(($F70-$G70)*(AK70-AL70)&gt;0,0.5*'Thể lệ'!$E$6,'Thể lệ'!$E$6)))</f>
        <v>0</v>
      </c>
      <c r="CQ70" s="29"/>
      <c r="CR70" s="43">
        <f>if($F70=$G70,if(and($F70=$G70,AM70&lt;&gt;AN70),'Thể lệ'!$E$6,if($F70=AM70,0,0.5*'Thể lệ'!$E$6)),if(and($F70=AM70,$G70=AN70),"0",if(($F70-$G70)*(AM70-AN70)&gt;0,0.5*'Thể lệ'!$E$6,'Thể lệ'!$E$6)))</f>
        <v>0</v>
      </c>
      <c r="CS70" s="29"/>
      <c r="CT70" s="44">
        <f>if($F70=$G70,if(and($F70=$G70,AO70&lt;&gt;AP70),'Thể lệ'!$E$6,if($F70=AO70,0,0.5*'Thể lệ'!$E$6)),if(and($F70=AO70,$G70=AP70),"0",if(($F70-$G70)*(AO70-AP70)&gt;0,0.5*'Thể lệ'!$E$6,'Thể lệ'!$E$6)))</f>
        <v>10000</v>
      </c>
      <c r="CU70" s="29"/>
      <c r="CV70" s="43">
        <f>if($F70=$G70,if(and($F70=$G70,AQ70&lt;&gt;AR70),'Thể lệ'!$E$6,if($F70=AQ70,0,0.5*'Thể lệ'!$E$6)),if(and($F70=AQ70,$G70=AR70),"0",if(($F70-$G70)*(AQ70-AR70)&gt;0,0.5*'Thể lệ'!$E$6,'Thể lệ'!$E$6)))</f>
        <v>0</v>
      </c>
      <c r="CW70" s="29"/>
      <c r="CX70" s="44">
        <f>if($F70=$G70,if(and($F70=$G70,AS70&lt;&gt;AT70),'Thể lệ'!$E$6,if($F70=AS70,0,0.5*'Thể lệ'!$E$6)),if(and($F70=AS70,$G70=AT70),"0",if(($F70-$G70)*(AS70-AT70)&gt;0,0.5*'Thể lệ'!$E$6,'Thể lệ'!$E$6)))</f>
        <v>10000</v>
      </c>
      <c r="CY70" s="29"/>
      <c r="CZ70" s="43">
        <f>if($F70=$G70,if(and($F70=$G70,AU70&lt;&gt;AV70),'Thể lệ'!$E$6,if($F70=AU70,0,0.5*'Thể lệ'!$E$6)),if(and($F70=AU70,$G70=AV70),"0",if(($F70-$G70)*(AU70-AV70)&gt;0,0.5*'Thể lệ'!$E$6,'Thể lệ'!$E$6)))</f>
        <v>0</v>
      </c>
      <c r="DA70" s="29"/>
      <c r="DB70" s="43">
        <f>if($F70=$G70,if(and($F70=$G70,AW70&lt;&gt;AX70),'Thể lệ'!$E$6,if($F70=AW70,0,0.5*'Thể lệ'!$E$6)),if(and($F70=AW70,$G70=AX70),"0",if(($F70-$G70)*(AW70-AX70)&gt;0,0.5*'Thể lệ'!$E$6,'Thể lệ'!$E$6)))</f>
        <v>0</v>
      </c>
      <c r="DC70" s="69"/>
      <c r="DD70" s="43">
        <f>if($F70=$G70,if(and($F70=$G70,AY70&lt;&gt;AZ70),'Thể lệ'!$E$6,if($F70=AY70,0,0.5*'Thể lệ'!$E$6)),if(and($F70=AY70,$G70=AZ70),"0",if(($F70-$G70)*(AY70-AZ70)&gt;0,0.5*'Thể lệ'!$E$6,'Thể lệ'!$E$6)))</f>
        <v>0</v>
      </c>
      <c r="DE70" s="69"/>
      <c r="DF70" s="43">
        <f>if($F70=$G70,if(and($F70=$G70,BA70&lt;&gt;BB70),'Thể lệ'!$E$6,if($F70=BA70,0,0.5*'Thể lệ'!$E$6)),if(and($F70=BA70,$G70=BB70),"0",if(($F70-$G70)*(BA70-BB70)&gt;0,0.5*'Thể lệ'!$E$6,'Thể lệ'!$E$6)))</f>
        <v>0</v>
      </c>
      <c r="DG70" s="69"/>
      <c r="DH70" s="44">
        <f>if($F70=$G70,if(and($F70=$G70,BC70&lt;&gt;BD70),'Thể lệ'!$E$6,if($F70=BC70,0,0.5*'Thể lệ'!$E$6)),if(and($F70=BC70,$G70=BD70),"0",if(($F70-$G70)*(BC70-BD70)&gt;0,0.5*'Thể lệ'!$E$6,'Thể lệ'!$E$6)))</f>
        <v>10000</v>
      </c>
      <c r="DI70" s="69"/>
      <c r="DJ70" s="43">
        <f>if($F70=$G70,if(and($F70=$G70,BE70&lt;&gt;BF70),'Thể lệ'!$E$6,if($F70=BE70,0,0.5*'Thể lệ'!$E$6)),if(and($F70=BE70,$G70=BF70),"0",if(($F70-$G70)*(BE70-BF70)&gt;0,0.5*'Thể lệ'!$E$6,'Thể lệ'!$E$6)))</f>
        <v>0</v>
      </c>
      <c r="DK70" s="69"/>
      <c r="DL70" s="43">
        <f>if($F70=$G70,if(and($F70=$G70,BG70&lt;&gt;BH70),'Thể lệ'!$E$6,if($F70=BG70,0,0.5*'Thể lệ'!$E$6)),if(and($F70=BG70,$G70=BH70),"0",if(($F70-$G70)*(BG70-BH70)&gt;0,0.5*'Thể lệ'!$E$6,'Thể lệ'!$E$6)))</f>
        <v>0</v>
      </c>
      <c r="DM70" s="69"/>
      <c r="DN70" s="44">
        <f>if($F70=$G70,if(and($F70=$G70,BI70&lt;&gt;BJ70),'Thể lệ'!$E$6,if($F70=BI70,0,0.5*'Thể lệ'!$E$6)),if(and($F70=BI70,$G70=BJ70),"0",if(($F70-$G70)*(BI70-BJ70)&gt;0,0.5*'Thể lệ'!$E$6,'Thể lệ'!$E$6)))</f>
        <v>5000</v>
      </c>
      <c r="DO70" s="69"/>
      <c r="DP70" s="69"/>
    </row>
    <row r="71">
      <c r="A71" s="63"/>
      <c r="B71" s="22">
        <v>65.0</v>
      </c>
      <c r="C71" s="64">
        <v>46200.416666666664</v>
      </c>
      <c r="D71" s="65">
        <v>46200.416666666664</v>
      </c>
      <c r="E71" s="55" t="s">
        <v>59</v>
      </c>
      <c r="F71" s="23"/>
      <c r="G71" s="23"/>
      <c r="H71" s="55" t="s">
        <v>62</v>
      </c>
      <c r="I71" s="23"/>
      <c r="J71" s="23"/>
      <c r="K71" s="23"/>
      <c r="L71" s="23"/>
      <c r="M71" s="23"/>
      <c r="N71" s="23"/>
      <c r="O71" s="23"/>
      <c r="P71" s="23"/>
      <c r="Q71" s="37" t="str">
        <f t="shared" si="4"/>
        <v/>
      </c>
      <c r="R71" s="37" t="str">
        <f t="shared" si="6"/>
        <v/>
      </c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>
        <v>2.0</v>
      </c>
      <c r="AP71" s="23">
        <v>2.0</v>
      </c>
      <c r="AQ71" s="23"/>
      <c r="AR71" s="23"/>
      <c r="AS71" s="66">
        <v>1.0</v>
      </c>
      <c r="AT71" s="66">
        <v>1.0</v>
      </c>
      <c r="AU71" s="23"/>
      <c r="AV71" s="23"/>
      <c r="AW71" s="23"/>
      <c r="AX71" s="23"/>
      <c r="AY71" s="23"/>
      <c r="AZ71" s="23"/>
      <c r="BA71" s="23"/>
      <c r="BB71" s="23"/>
      <c r="BC71" s="23">
        <v>1.0</v>
      </c>
      <c r="BD71" s="23">
        <v>1.0</v>
      </c>
      <c r="BE71" s="67"/>
      <c r="BF71" s="23"/>
      <c r="BG71" s="23"/>
      <c r="BH71" s="23"/>
      <c r="BI71" s="37">
        <f>H.Son!H71</f>
        <v>1</v>
      </c>
      <c r="BJ71" s="37">
        <f>H.Son!I71</f>
        <v>1</v>
      </c>
      <c r="BK71" s="23"/>
      <c r="BL71" s="23"/>
      <c r="BM71" s="68"/>
      <c r="BN71" s="43">
        <f>if($F71=$G71,if(and($F71=$G71,I71&lt;&gt;J71),'Thể lệ'!$E$6,if($F71=I71,0,0.5*'Thể lệ'!$E$6)),if(and($F71=I71,$G71=J71),"0",if(($F71-$G71)*(I71-J71)&gt;0,0.5*'Thể lệ'!$E$6,'Thể lệ'!$E$6)))</f>
        <v>0</v>
      </c>
      <c r="BO71" s="29"/>
      <c r="BP71" s="43">
        <f>if($F71=$G71,if(and($F71=$G71,K71&lt;&gt;L71),'Thể lệ'!$E$6,if($F71=K71,0,0.5*'Thể lệ'!$E$6)),if(and($F71=K71,$G71=L71),"0",if(($F71-$G71)*(K71-L71)&gt;0,0.5*'Thể lệ'!$E$6,'Thể lệ'!$E$6)))</f>
        <v>0</v>
      </c>
      <c r="BQ71" s="29"/>
      <c r="BR71" s="43">
        <f>if($F71=$G71,if(and($F71=$G71,M71&lt;&gt;N71),'Thể lệ'!$E$6,if($F71=M71,0,0.5*'Thể lệ'!$E$6)),if(and($F71=M71,$G71=N71),"0",if(($F71-$G71)*(M71-N71)&gt;0,0.5*'Thể lệ'!$E$6,'Thể lệ'!$E$6)))</f>
        <v>0</v>
      </c>
      <c r="BS71" s="29"/>
      <c r="BT71" s="43">
        <f>if($F71=$G71,if(and($F71=$G71,O71&lt;&gt;P71),'Thể lệ'!$E$6,if($F71=O71,0,0.5*'Thể lệ'!$E$6)),if(and($F71=O71,$G71=P71),"0",if(($F71-$G71)*(O71-P71)&gt;0,0.5*'Thể lệ'!$E$6,'Thể lệ'!$E$6)))</f>
        <v>0</v>
      </c>
      <c r="BU71" s="29"/>
      <c r="BV71" s="43">
        <f>if($F71=$G71,if(and($F71=$G71,Q71&lt;&gt;R71),'Thể lệ'!$E$6,if($F71=Q71,0,0.5*'Thể lệ'!$E$6)),if(and($F71=Q71,$G71=R71),"0",if(($F71-$G71)*(Q71-R71)&gt;0,0.5*'Thể lệ'!$E$6,'Thể lệ'!$E$6)))</f>
        <v>0</v>
      </c>
      <c r="BW71" s="29"/>
      <c r="BX71" s="43">
        <f>if($F71=$G71,if(and($F71=$G71,S71&lt;&gt;T71),'Thể lệ'!$E$6,if($F71=S71,0,0.5*'Thể lệ'!$E$6)),if(and($F71=S71,$G71=T71),"0",if(($F71-$G71)*(S71-T71)&gt;0,0.5*'Thể lệ'!$E$6,'Thể lệ'!$E$6)))</f>
        <v>0</v>
      </c>
      <c r="BY71" s="29"/>
      <c r="BZ71" s="43">
        <f>if($F71=$G71,if(and($F71=$G71,U71&lt;&gt;V71),'Thể lệ'!$E$6,if($F71=U71,0,0.5*'Thể lệ'!$E$6)),if(and($F71=U71,$G71=V71),"0",if(($F71-$G71)*(U71-V71)&gt;0,0.5*'Thể lệ'!$E$6,'Thể lệ'!$E$6)))</f>
        <v>0</v>
      </c>
      <c r="CA71" s="29"/>
      <c r="CB71" s="43">
        <f>if($F71=$G71,if(and($F71=$G71,W71&lt;&gt;X71),'Thể lệ'!$E$6,if($F71=W71,0,0.5*'Thể lệ'!$E$6)),if(and($F71=W71,$G71=X71),"0",if(($F71-$G71)*(W71-X71)&gt;0,0.5*'Thể lệ'!$E$6,'Thể lệ'!$E$6)))</f>
        <v>0</v>
      </c>
      <c r="CC71" s="29"/>
      <c r="CD71" s="43">
        <f>if($F71=$G71,if(and($F71=$G71,Y71&lt;&gt;Z71),'Thể lệ'!$E$6,if($F71=Y71,0,0.5*'Thể lệ'!$E$6)),if(and($F71=Y71,$G71=Z71),"0",if(($F71-$G71)*(Y71-Z71)&gt;0,0.5*'Thể lệ'!$E$6,'Thể lệ'!$E$6)))</f>
        <v>0</v>
      </c>
      <c r="CE71" s="29"/>
      <c r="CF71" s="43">
        <f>if($F71=$G71,if(and($F71=$G71,AA71&lt;&gt;AB71),'Thể lệ'!$E$6,if($F71=AA71,0,0.5*'Thể lệ'!$E$6)),if(and($F71=AA71,$G71=AB71),"0",if(($F71-$G71)*(AA71-AB71)&gt;0,0.5*'Thể lệ'!$E$6,'Thể lệ'!$E$6)))</f>
        <v>0</v>
      </c>
      <c r="CG71" s="29"/>
      <c r="CH71" s="43">
        <f>if($F71=$G71,if(and($F71=$G71,AC71&lt;&gt;AD71),'Thể lệ'!$E$6,if($F71=AC71,0,0.5*'Thể lệ'!$E$6)),if(and($F71=AC71,$G71=AD71),"0",if(($F71-$G71)*(AC71-AD71)&gt;0,0.5*'Thể lệ'!$E$6,'Thể lệ'!$E$6)))</f>
        <v>0</v>
      </c>
      <c r="CI71" s="29"/>
      <c r="CJ71" s="43">
        <f>if($F71=$G71,if(and($F71=$G71,AE71&lt;&gt;AF71),'Thể lệ'!$E$6,if($F71=AE71,0,0.5*'Thể lệ'!$E$6)),if(and($F71=AE71,$G71=AF71),"0",if(($F71-$G71)*(AE71-AF71)&gt;0,0.5*'Thể lệ'!$E$6,'Thể lệ'!$E$6)))</f>
        <v>0</v>
      </c>
      <c r="CK71" s="29"/>
      <c r="CL71" s="43">
        <f>if($F71=$G71,if(and($F71=$G71,AG71&lt;&gt;AH71),'Thể lệ'!$E$6,if($F71=AG71,0,0.5*'Thể lệ'!$E$6)),if(and($F71=AG71,$G71=AH71),"0",if(($F71-$G71)*(AG71-AH71)&gt;0,0.5*'Thể lệ'!$E$6,'Thể lệ'!$E$6)))</f>
        <v>0</v>
      </c>
      <c r="CM71" s="29"/>
      <c r="CN71" s="43">
        <f>if($F71=$G71,if(and($F71=$G71,AI71&lt;&gt;AJ71),'Thể lệ'!$E$6,if($F71=AI71,0,0.5*'Thể lệ'!$E$6)),if(and($F71=AI71,$G71=AJ71),"0",if(($F71-$G71)*(AI71-AJ71)&gt;0,0.5*'Thể lệ'!$E$6,'Thể lệ'!$E$6)))</f>
        <v>0</v>
      </c>
      <c r="CO71" s="29"/>
      <c r="CP71" s="43">
        <f>if($F71=$G71,if(and($F71=$G71,AK71&lt;&gt;AL71),'Thể lệ'!$E$6,if($F71=AK71,0,0.5*'Thể lệ'!$E$6)),if(and($F71=AK71,$G71=AL71),"0",if(($F71-$G71)*(AK71-AL71)&gt;0,0.5*'Thể lệ'!$E$6,'Thể lệ'!$E$6)))</f>
        <v>0</v>
      </c>
      <c r="CQ71" s="29"/>
      <c r="CR71" s="43">
        <f>if($F71=$G71,if(and($F71=$G71,AM71&lt;&gt;AN71),'Thể lệ'!$E$6,if($F71=AM71,0,0.5*'Thể lệ'!$E$6)),if(and($F71=AM71,$G71=AN71),"0",if(($F71-$G71)*(AM71-AN71)&gt;0,0.5*'Thể lệ'!$E$6,'Thể lệ'!$E$6)))</f>
        <v>0</v>
      </c>
      <c r="CS71" s="29"/>
      <c r="CT71" s="44">
        <f>if($F71=$G71,if(and($F71=$G71,AO71&lt;&gt;AP71),'Thể lệ'!$E$6,if($F71=AO71,0,0.5*'Thể lệ'!$E$6)),if(and($F71=AO71,$G71=AP71),"0",if(($F71-$G71)*(AO71-AP71)&gt;0,0.5*'Thể lệ'!$E$6,'Thể lệ'!$E$6)))</f>
        <v>5000</v>
      </c>
      <c r="CU71" s="29"/>
      <c r="CV71" s="43">
        <f>if($F71=$G71,if(and($F71=$G71,AQ71&lt;&gt;AR71),'Thể lệ'!$E$6,if($F71=AQ71,0,0.5*'Thể lệ'!$E$6)),if(and($F71=AQ71,$G71=AR71),"0",if(($F71-$G71)*(AQ71-AR71)&gt;0,0.5*'Thể lệ'!$E$6,'Thể lệ'!$E$6)))</f>
        <v>0</v>
      </c>
      <c r="CW71" s="29"/>
      <c r="CX71" s="44">
        <f>if($F71=$G71,if(and($F71=$G71,AS71&lt;&gt;AT71),'Thể lệ'!$E$6,if($F71=AS71,0,0.5*'Thể lệ'!$E$6)),if(and($F71=AS71,$G71=AT71),"0",if(($F71-$G71)*(AS71-AT71)&gt;0,0.5*'Thể lệ'!$E$6,'Thể lệ'!$E$6)))</f>
        <v>5000</v>
      </c>
      <c r="CY71" s="29"/>
      <c r="CZ71" s="43">
        <f>if($F71=$G71,if(and($F71=$G71,AU71&lt;&gt;AV71),'Thể lệ'!$E$6,if($F71=AU71,0,0.5*'Thể lệ'!$E$6)),if(and($F71=AU71,$G71=AV71),"0",if(($F71-$G71)*(AU71-AV71)&gt;0,0.5*'Thể lệ'!$E$6,'Thể lệ'!$E$6)))</f>
        <v>0</v>
      </c>
      <c r="DA71" s="29"/>
      <c r="DB71" s="43">
        <f>if($F71=$G71,if(and($F71=$G71,AW71&lt;&gt;AX71),'Thể lệ'!$E$6,if($F71=AW71,0,0.5*'Thể lệ'!$E$6)),if(and($F71=AW71,$G71=AX71),"0",if(($F71-$G71)*(AW71-AX71)&gt;0,0.5*'Thể lệ'!$E$6,'Thể lệ'!$E$6)))</f>
        <v>0</v>
      </c>
      <c r="DC71" s="69"/>
      <c r="DD71" s="43">
        <f>if($F71=$G71,if(and($F71=$G71,AY71&lt;&gt;AZ71),'Thể lệ'!$E$6,if($F71=AY71,0,0.5*'Thể lệ'!$E$6)),if(and($F71=AY71,$G71=AZ71),"0",if(($F71-$G71)*(AY71-AZ71)&gt;0,0.5*'Thể lệ'!$E$6,'Thể lệ'!$E$6)))</f>
        <v>0</v>
      </c>
      <c r="DE71" s="69"/>
      <c r="DF71" s="43">
        <f>if($F71=$G71,if(and($F71=$G71,BA71&lt;&gt;BB71),'Thể lệ'!$E$6,if($F71=BA71,0,0.5*'Thể lệ'!$E$6)),if(and($F71=BA71,$G71=BB71),"0",if(($F71-$G71)*(BA71-BB71)&gt;0,0.5*'Thể lệ'!$E$6,'Thể lệ'!$E$6)))</f>
        <v>0</v>
      </c>
      <c r="DG71" s="69"/>
      <c r="DH71" s="44">
        <f>if($F71=$G71,if(and($F71=$G71,BC71&lt;&gt;BD71),'Thể lệ'!$E$6,if($F71=BC71,0,0.5*'Thể lệ'!$E$6)),if(and($F71=BC71,$G71=BD71),"0",if(($F71-$G71)*(BC71-BD71)&gt;0,0.5*'Thể lệ'!$E$6,'Thể lệ'!$E$6)))</f>
        <v>5000</v>
      </c>
      <c r="DI71" s="69"/>
      <c r="DJ71" s="43">
        <f>if($F71=$G71,if(and($F71=$G71,BE71&lt;&gt;BF71),'Thể lệ'!$E$6,if($F71=BE71,0,0.5*'Thể lệ'!$E$6)),if(and($F71=BE71,$G71=BF71),"0",if(($F71-$G71)*(BE71-BF71)&gt;0,0.5*'Thể lệ'!$E$6,'Thể lệ'!$E$6)))</f>
        <v>0</v>
      </c>
      <c r="DK71" s="69"/>
      <c r="DL71" s="43">
        <f>if($F71=$G71,if(and($F71=$G71,BG71&lt;&gt;BH71),'Thể lệ'!$E$6,if($F71=BG71,0,0.5*'Thể lệ'!$E$6)),if(and($F71=BG71,$G71=BH71),"0",if(($F71-$G71)*(BG71-BH71)&gt;0,0.5*'Thể lệ'!$E$6,'Thể lệ'!$E$6)))</f>
        <v>0</v>
      </c>
      <c r="DM71" s="69"/>
      <c r="DN71" s="44">
        <f>if($F71=$G71,if(and($F71=$G71,BI71&lt;&gt;BJ71),'Thể lệ'!$E$6,if($F71=BI71,0,0.5*'Thể lệ'!$E$6)),if(and($F71=BI71,$G71=BJ71),"0",if(($F71-$G71)*(BI71-BJ71)&gt;0,0.5*'Thể lệ'!$E$6,'Thể lệ'!$E$6)))</f>
        <v>5000</v>
      </c>
      <c r="DO71" s="69"/>
      <c r="DP71" s="69"/>
    </row>
    <row r="72">
      <c r="A72" s="63"/>
      <c r="B72" s="22">
        <v>66.0</v>
      </c>
      <c r="C72" s="64">
        <v>46200.416666666664</v>
      </c>
      <c r="D72" s="65">
        <v>46200.416666666664</v>
      </c>
      <c r="E72" s="55" t="s">
        <v>63</v>
      </c>
      <c r="F72" s="23"/>
      <c r="G72" s="23"/>
      <c r="H72" s="55" t="s">
        <v>58</v>
      </c>
      <c r="I72" s="23"/>
      <c r="J72" s="23"/>
      <c r="K72" s="23"/>
      <c r="L72" s="23"/>
      <c r="M72" s="23"/>
      <c r="N72" s="23"/>
      <c r="O72" s="23"/>
      <c r="P72" s="23"/>
      <c r="Q72" s="37" t="str">
        <f t="shared" si="4"/>
        <v/>
      </c>
      <c r="R72" s="37" t="str">
        <f t="shared" si="6"/>
        <v/>
      </c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>
        <v>1.0</v>
      </c>
      <c r="AP72" s="23">
        <v>3.0</v>
      </c>
      <c r="AQ72" s="23"/>
      <c r="AR72" s="23"/>
      <c r="AS72" s="66">
        <v>0.0</v>
      </c>
      <c r="AT72" s="66">
        <v>3.0</v>
      </c>
      <c r="AU72" s="23"/>
      <c r="AV72" s="23"/>
      <c r="AW72" s="23"/>
      <c r="AX72" s="23"/>
      <c r="AY72" s="23"/>
      <c r="AZ72" s="23"/>
      <c r="BA72" s="23"/>
      <c r="BB72" s="23"/>
      <c r="BC72" s="23">
        <v>0.0</v>
      </c>
      <c r="BD72" s="23">
        <v>4.0</v>
      </c>
      <c r="BE72" s="67"/>
      <c r="BF72" s="23"/>
      <c r="BG72" s="23"/>
      <c r="BH72" s="23"/>
      <c r="BI72" s="37">
        <f>H.Son!H72</f>
        <v>0</v>
      </c>
      <c r="BJ72" s="37">
        <f>H.Son!I72</f>
        <v>2</v>
      </c>
      <c r="BK72" s="23"/>
      <c r="BL72" s="23"/>
      <c r="BM72" s="68"/>
      <c r="BN72" s="43">
        <f>if($F72=$G72,if(and($F72=$G72,I72&lt;&gt;J72),'Thể lệ'!$E$6,if($F72=I72,0,0.5*'Thể lệ'!$E$6)),if(and($F72=I72,$G72=J72),"0",if(($F72-$G72)*(I72-J72)&gt;0,0.5*'Thể lệ'!$E$6,'Thể lệ'!$E$6)))</f>
        <v>0</v>
      </c>
      <c r="BO72" s="29"/>
      <c r="BP72" s="43">
        <f>if($F72=$G72,if(and($F72=$G72,K72&lt;&gt;L72),'Thể lệ'!$E$6,if($F72=K72,0,0.5*'Thể lệ'!$E$6)),if(and($F72=K72,$G72=L72),"0",if(($F72-$G72)*(K72-L72)&gt;0,0.5*'Thể lệ'!$E$6,'Thể lệ'!$E$6)))</f>
        <v>0</v>
      </c>
      <c r="BQ72" s="29"/>
      <c r="BR72" s="43">
        <f>if($F72=$G72,if(and($F72=$G72,M72&lt;&gt;N72),'Thể lệ'!$E$6,if($F72=M72,0,0.5*'Thể lệ'!$E$6)),if(and($F72=M72,$G72=N72),"0",if(($F72-$G72)*(M72-N72)&gt;0,0.5*'Thể lệ'!$E$6,'Thể lệ'!$E$6)))</f>
        <v>0</v>
      </c>
      <c r="BS72" s="29"/>
      <c r="BT72" s="43">
        <f>if($F72=$G72,if(and($F72=$G72,O72&lt;&gt;P72),'Thể lệ'!$E$6,if($F72=O72,0,0.5*'Thể lệ'!$E$6)),if(and($F72=O72,$G72=P72),"0",if(($F72-$G72)*(O72-P72)&gt;0,0.5*'Thể lệ'!$E$6,'Thể lệ'!$E$6)))</f>
        <v>0</v>
      </c>
      <c r="BU72" s="29"/>
      <c r="BV72" s="43">
        <f>if($F72=$G72,if(and($F72=$G72,Q72&lt;&gt;R72),'Thể lệ'!$E$6,if($F72=Q72,0,0.5*'Thể lệ'!$E$6)),if(and($F72=Q72,$G72=R72),"0",if(($F72-$G72)*(Q72-R72)&gt;0,0.5*'Thể lệ'!$E$6,'Thể lệ'!$E$6)))</f>
        <v>0</v>
      </c>
      <c r="BW72" s="29"/>
      <c r="BX72" s="43">
        <f>if($F72=$G72,if(and($F72=$G72,S72&lt;&gt;T72),'Thể lệ'!$E$6,if($F72=S72,0,0.5*'Thể lệ'!$E$6)),if(and($F72=S72,$G72=T72),"0",if(($F72-$G72)*(S72-T72)&gt;0,0.5*'Thể lệ'!$E$6,'Thể lệ'!$E$6)))</f>
        <v>0</v>
      </c>
      <c r="BY72" s="29"/>
      <c r="BZ72" s="43">
        <f>if($F72=$G72,if(and($F72=$G72,U72&lt;&gt;V72),'Thể lệ'!$E$6,if($F72=U72,0,0.5*'Thể lệ'!$E$6)),if(and($F72=U72,$G72=V72),"0",if(($F72-$G72)*(U72-V72)&gt;0,0.5*'Thể lệ'!$E$6,'Thể lệ'!$E$6)))</f>
        <v>0</v>
      </c>
      <c r="CA72" s="29"/>
      <c r="CB72" s="43">
        <f>if($F72=$G72,if(and($F72=$G72,W72&lt;&gt;X72),'Thể lệ'!$E$6,if($F72=W72,0,0.5*'Thể lệ'!$E$6)),if(and($F72=W72,$G72=X72),"0",if(($F72-$G72)*(W72-X72)&gt;0,0.5*'Thể lệ'!$E$6,'Thể lệ'!$E$6)))</f>
        <v>0</v>
      </c>
      <c r="CC72" s="29"/>
      <c r="CD72" s="43">
        <f>if($F72=$G72,if(and($F72=$G72,Y72&lt;&gt;Z72),'Thể lệ'!$E$6,if($F72=Y72,0,0.5*'Thể lệ'!$E$6)),if(and($F72=Y72,$G72=Z72),"0",if(($F72-$G72)*(Y72-Z72)&gt;0,0.5*'Thể lệ'!$E$6,'Thể lệ'!$E$6)))</f>
        <v>0</v>
      </c>
      <c r="CE72" s="29"/>
      <c r="CF72" s="43">
        <f>if($F72=$G72,if(and($F72=$G72,AA72&lt;&gt;AB72),'Thể lệ'!$E$6,if($F72=AA72,0,0.5*'Thể lệ'!$E$6)),if(and($F72=AA72,$G72=AB72),"0",if(($F72-$G72)*(AA72-AB72)&gt;0,0.5*'Thể lệ'!$E$6,'Thể lệ'!$E$6)))</f>
        <v>0</v>
      </c>
      <c r="CG72" s="29"/>
      <c r="CH72" s="43">
        <f>if($F72=$G72,if(and($F72=$G72,AC72&lt;&gt;AD72),'Thể lệ'!$E$6,if($F72=AC72,0,0.5*'Thể lệ'!$E$6)),if(and($F72=AC72,$G72=AD72),"0",if(($F72-$G72)*(AC72-AD72)&gt;0,0.5*'Thể lệ'!$E$6,'Thể lệ'!$E$6)))</f>
        <v>0</v>
      </c>
      <c r="CI72" s="29"/>
      <c r="CJ72" s="43">
        <f>if($F72=$G72,if(and($F72=$G72,AE72&lt;&gt;AF72),'Thể lệ'!$E$6,if($F72=AE72,0,0.5*'Thể lệ'!$E$6)),if(and($F72=AE72,$G72=AF72),"0",if(($F72-$G72)*(AE72-AF72)&gt;0,0.5*'Thể lệ'!$E$6,'Thể lệ'!$E$6)))</f>
        <v>0</v>
      </c>
      <c r="CK72" s="29"/>
      <c r="CL72" s="43">
        <f>if($F72=$G72,if(and($F72=$G72,AG72&lt;&gt;AH72),'Thể lệ'!$E$6,if($F72=AG72,0,0.5*'Thể lệ'!$E$6)),if(and($F72=AG72,$G72=AH72),"0",if(($F72-$G72)*(AG72-AH72)&gt;0,0.5*'Thể lệ'!$E$6,'Thể lệ'!$E$6)))</f>
        <v>0</v>
      </c>
      <c r="CM72" s="29"/>
      <c r="CN72" s="43">
        <f>if($F72=$G72,if(and($F72=$G72,AI72&lt;&gt;AJ72),'Thể lệ'!$E$6,if($F72=AI72,0,0.5*'Thể lệ'!$E$6)),if(and($F72=AI72,$G72=AJ72),"0",if(($F72-$G72)*(AI72-AJ72)&gt;0,0.5*'Thể lệ'!$E$6,'Thể lệ'!$E$6)))</f>
        <v>0</v>
      </c>
      <c r="CO72" s="29"/>
      <c r="CP72" s="43">
        <f>if($F72=$G72,if(and($F72=$G72,AK72&lt;&gt;AL72),'Thể lệ'!$E$6,if($F72=AK72,0,0.5*'Thể lệ'!$E$6)),if(and($F72=AK72,$G72=AL72),"0",if(($F72-$G72)*(AK72-AL72)&gt;0,0.5*'Thể lệ'!$E$6,'Thể lệ'!$E$6)))</f>
        <v>0</v>
      </c>
      <c r="CQ72" s="29"/>
      <c r="CR72" s="43">
        <f>if($F72=$G72,if(and($F72=$G72,AM72&lt;&gt;AN72),'Thể lệ'!$E$6,if($F72=AM72,0,0.5*'Thể lệ'!$E$6)),if(and($F72=AM72,$G72=AN72),"0",if(($F72-$G72)*(AM72-AN72)&gt;0,0.5*'Thể lệ'!$E$6,'Thể lệ'!$E$6)))</f>
        <v>0</v>
      </c>
      <c r="CS72" s="29"/>
      <c r="CT72" s="44">
        <f>if($F72=$G72,if(and($F72=$G72,AO72&lt;&gt;AP72),'Thể lệ'!$E$6,if($F72=AO72,0,0.5*'Thể lệ'!$E$6)),if(and($F72=AO72,$G72=AP72),"0",if(($F72-$G72)*(AO72-AP72)&gt;0,0.5*'Thể lệ'!$E$6,'Thể lệ'!$E$6)))</f>
        <v>10000</v>
      </c>
      <c r="CU72" s="29"/>
      <c r="CV72" s="43">
        <f>if($F72=$G72,if(and($F72=$G72,AQ72&lt;&gt;AR72),'Thể lệ'!$E$6,if($F72=AQ72,0,0.5*'Thể lệ'!$E$6)),if(and($F72=AQ72,$G72=AR72),"0",if(($F72-$G72)*(AQ72-AR72)&gt;0,0.5*'Thể lệ'!$E$6,'Thể lệ'!$E$6)))</f>
        <v>0</v>
      </c>
      <c r="CW72" s="29"/>
      <c r="CX72" s="44">
        <f>if($F72=$G72,if(and($F72=$G72,AS72&lt;&gt;AT72),'Thể lệ'!$E$6,if($F72=AS72,0,0.5*'Thể lệ'!$E$6)),if(and($F72=AS72,$G72=AT72),"0",if(($F72-$G72)*(AS72-AT72)&gt;0,0.5*'Thể lệ'!$E$6,'Thể lệ'!$E$6)))</f>
        <v>10000</v>
      </c>
      <c r="CY72" s="29"/>
      <c r="CZ72" s="43">
        <f>if($F72=$G72,if(and($F72=$G72,AU72&lt;&gt;AV72),'Thể lệ'!$E$6,if($F72=AU72,0,0.5*'Thể lệ'!$E$6)),if(and($F72=AU72,$G72=AV72),"0",if(($F72-$G72)*(AU72-AV72)&gt;0,0.5*'Thể lệ'!$E$6,'Thể lệ'!$E$6)))</f>
        <v>0</v>
      </c>
      <c r="DA72" s="29"/>
      <c r="DB72" s="43">
        <f>if($F72=$G72,if(and($F72=$G72,AW72&lt;&gt;AX72),'Thể lệ'!$E$6,if($F72=AW72,0,0.5*'Thể lệ'!$E$6)),if(and($F72=AW72,$G72=AX72),"0",if(($F72-$G72)*(AW72-AX72)&gt;0,0.5*'Thể lệ'!$E$6,'Thể lệ'!$E$6)))</f>
        <v>0</v>
      </c>
      <c r="DC72" s="69"/>
      <c r="DD72" s="43">
        <f>if($F72=$G72,if(and($F72=$G72,AY72&lt;&gt;AZ72),'Thể lệ'!$E$6,if($F72=AY72,0,0.5*'Thể lệ'!$E$6)),if(and($F72=AY72,$G72=AZ72),"0",if(($F72-$G72)*(AY72-AZ72)&gt;0,0.5*'Thể lệ'!$E$6,'Thể lệ'!$E$6)))</f>
        <v>0</v>
      </c>
      <c r="DE72" s="69"/>
      <c r="DF72" s="43">
        <f>if($F72=$G72,if(and($F72=$G72,BA72&lt;&gt;BB72),'Thể lệ'!$E$6,if($F72=BA72,0,0.5*'Thể lệ'!$E$6)),if(and($F72=BA72,$G72=BB72),"0",if(($F72-$G72)*(BA72-BB72)&gt;0,0.5*'Thể lệ'!$E$6,'Thể lệ'!$E$6)))</f>
        <v>0</v>
      </c>
      <c r="DG72" s="69"/>
      <c r="DH72" s="44">
        <f>if($F72=$G72,if(and($F72=$G72,BC72&lt;&gt;BD72),'Thể lệ'!$E$6,if($F72=BC72,0,0.5*'Thể lệ'!$E$6)),if(and($F72=BC72,$G72=BD72),"0",if(($F72-$G72)*(BC72-BD72)&gt;0,0.5*'Thể lệ'!$E$6,'Thể lệ'!$E$6)))</f>
        <v>10000</v>
      </c>
      <c r="DI72" s="69"/>
      <c r="DJ72" s="43">
        <f>if($F72=$G72,if(and($F72=$G72,BE72&lt;&gt;BF72),'Thể lệ'!$E$6,if($F72=BE72,0,0.5*'Thể lệ'!$E$6)),if(and($F72=BE72,$G72=BF72),"0",if(($F72-$G72)*(BE72-BF72)&gt;0,0.5*'Thể lệ'!$E$6,'Thể lệ'!$E$6)))</f>
        <v>0</v>
      </c>
      <c r="DK72" s="69"/>
      <c r="DL72" s="43">
        <f>if($F72=$G72,if(and($F72=$G72,BG72&lt;&gt;BH72),'Thể lệ'!$E$6,if($F72=BG72,0,0.5*'Thể lệ'!$E$6)),if(and($F72=BG72,$G72=BH72),"0",if(($F72-$G72)*(BG72-BH72)&gt;0,0.5*'Thể lệ'!$E$6,'Thể lệ'!$E$6)))</f>
        <v>0</v>
      </c>
      <c r="DM72" s="69"/>
      <c r="DN72" s="44">
        <f>if($F72=$G72,if(and($F72=$G72,BI72&lt;&gt;BJ72),'Thể lệ'!$E$6,if($F72=BI72,0,0.5*'Thể lệ'!$E$6)),if(and($F72=BI72,$G72=BJ72),"0",if(($F72-$G72)*(BI72-BJ72)&gt;0,0.5*'Thể lệ'!$E$6,'Thể lệ'!$E$6)))</f>
        <v>10000</v>
      </c>
      <c r="DO72" s="69"/>
      <c r="DP72" s="69"/>
    </row>
    <row r="73">
      <c r="A73" s="63"/>
      <c r="B73" s="22">
        <v>67.0</v>
      </c>
      <c r="C73" s="64">
        <v>46201.166666666664</v>
      </c>
      <c r="D73" s="65">
        <v>46201.166666666664</v>
      </c>
      <c r="E73" s="55" t="s">
        <v>77</v>
      </c>
      <c r="F73" s="23"/>
      <c r="G73" s="23"/>
      <c r="H73" s="55" t="s">
        <v>74</v>
      </c>
      <c r="I73" s="23"/>
      <c r="J73" s="23"/>
      <c r="K73" s="23"/>
      <c r="L73" s="23"/>
      <c r="M73" s="23"/>
      <c r="N73" s="23"/>
      <c r="O73" s="23"/>
      <c r="P73" s="23"/>
      <c r="Q73" s="37" t="str">
        <f t="shared" si="4"/>
        <v/>
      </c>
      <c r="R73" s="37" t="str">
        <f t="shared" si="6"/>
        <v/>
      </c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>
        <v>1.0</v>
      </c>
      <c r="AP73" s="23">
        <v>3.0</v>
      </c>
      <c r="AQ73" s="23"/>
      <c r="AR73" s="23"/>
      <c r="AS73" s="66">
        <v>0.0</v>
      </c>
      <c r="AT73" s="66">
        <v>3.0</v>
      </c>
      <c r="AU73" s="23"/>
      <c r="AV73" s="23"/>
      <c r="AW73" s="23"/>
      <c r="AX73" s="23"/>
      <c r="AY73" s="23"/>
      <c r="AZ73" s="23"/>
      <c r="BA73" s="23"/>
      <c r="BB73" s="23"/>
      <c r="BC73" s="23">
        <v>0.0</v>
      </c>
      <c r="BD73" s="23">
        <v>4.0</v>
      </c>
      <c r="BE73" s="67"/>
      <c r="BF73" s="23"/>
      <c r="BG73" s="23"/>
      <c r="BH73" s="23"/>
      <c r="BI73" s="37">
        <f>H.Son!H73</f>
        <v>0</v>
      </c>
      <c r="BJ73" s="37">
        <f>H.Son!I73</f>
        <v>2</v>
      </c>
      <c r="BK73" s="23"/>
      <c r="BL73" s="23"/>
      <c r="BM73" s="68"/>
      <c r="BN73" s="43">
        <f>if($F73=$G73,if(and($F73=$G73,I73&lt;&gt;J73),'Thể lệ'!$E$6,if($F73=I73,0,0.5*'Thể lệ'!$E$6)),if(and($F73=I73,$G73=J73),"0",if(($F73-$G73)*(I73-J73)&gt;0,0.5*'Thể lệ'!$E$6,'Thể lệ'!$E$6)))</f>
        <v>0</v>
      </c>
      <c r="BO73" s="29"/>
      <c r="BP73" s="43">
        <f>if($F73=$G73,if(and($F73=$G73,K73&lt;&gt;L73),'Thể lệ'!$E$6,if($F73=K73,0,0.5*'Thể lệ'!$E$6)),if(and($F73=K73,$G73=L73),"0",if(($F73-$G73)*(K73-L73)&gt;0,0.5*'Thể lệ'!$E$6,'Thể lệ'!$E$6)))</f>
        <v>0</v>
      </c>
      <c r="BQ73" s="29"/>
      <c r="BR73" s="43">
        <f>if($F73=$G73,if(and($F73=$G73,M73&lt;&gt;N73),'Thể lệ'!$E$6,if($F73=M73,0,0.5*'Thể lệ'!$E$6)),if(and($F73=M73,$G73=N73),"0",if(($F73-$G73)*(M73-N73)&gt;0,0.5*'Thể lệ'!$E$6,'Thể lệ'!$E$6)))</f>
        <v>0</v>
      </c>
      <c r="BS73" s="29"/>
      <c r="BT73" s="43">
        <f>if($F73=$G73,if(and($F73=$G73,O73&lt;&gt;P73),'Thể lệ'!$E$6,if($F73=O73,0,0.5*'Thể lệ'!$E$6)),if(and($F73=O73,$G73=P73),"0",if(($F73-$G73)*(O73-P73)&gt;0,0.5*'Thể lệ'!$E$6,'Thể lệ'!$E$6)))</f>
        <v>0</v>
      </c>
      <c r="BU73" s="29"/>
      <c r="BV73" s="43">
        <f>if($F73=$G73,if(and($F73=$G73,Q73&lt;&gt;R73),'Thể lệ'!$E$6,if($F73=Q73,0,0.5*'Thể lệ'!$E$6)),if(and($F73=Q73,$G73=R73),"0",if(($F73-$G73)*(Q73-R73)&gt;0,0.5*'Thể lệ'!$E$6,'Thể lệ'!$E$6)))</f>
        <v>0</v>
      </c>
      <c r="BW73" s="29"/>
      <c r="BX73" s="43">
        <f>if($F73=$G73,if(and($F73=$G73,S73&lt;&gt;T73),'Thể lệ'!$E$6,if($F73=S73,0,0.5*'Thể lệ'!$E$6)),if(and($F73=S73,$G73=T73),"0",if(($F73-$G73)*(S73-T73)&gt;0,0.5*'Thể lệ'!$E$6,'Thể lệ'!$E$6)))</f>
        <v>0</v>
      </c>
      <c r="BY73" s="29"/>
      <c r="BZ73" s="43">
        <f>if($F73=$G73,if(and($F73=$G73,U73&lt;&gt;V73),'Thể lệ'!$E$6,if($F73=U73,0,0.5*'Thể lệ'!$E$6)),if(and($F73=U73,$G73=V73),"0",if(($F73-$G73)*(U73-V73)&gt;0,0.5*'Thể lệ'!$E$6,'Thể lệ'!$E$6)))</f>
        <v>0</v>
      </c>
      <c r="CA73" s="29"/>
      <c r="CB73" s="43">
        <f>if($F73=$G73,if(and($F73=$G73,W73&lt;&gt;X73),'Thể lệ'!$E$6,if($F73=W73,0,0.5*'Thể lệ'!$E$6)),if(and($F73=W73,$G73=X73),"0",if(($F73-$G73)*(W73-X73)&gt;0,0.5*'Thể lệ'!$E$6,'Thể lệ'!$E$6)))</f>
        <v>0</v>
      </c>
      <c r="CC73" s="29"/>
      <c r="CD73" s="43">
        <f>if($F73=$G73,if(and($F73=$G73,Y73&lt;&gt;Z73),'Thể lệ'!$E$6,if($F73=Y73,0,0.5*'Thể lệ'!$E$6)),if(and($F73=Y73,$G73=Z73),"0",if(($F73-$G73)*(Y73-Z73)&gt;0,0.5*'Thể lệ'!$E$6,'Thể lệ'!$E$6)))</f>
        <v>0</v>
      </c>
      <c r="CE73" s="29"/>
      <c r="CF73" s="43">
        <f>if($F73=$G73,if(and($F73=$G73,AA73&lt;&gt;AB73),'Thể lệ'!$E$6,if($F73=AA73,0,0.5*'Thể lệ'!$E$6)),if(and($F73=AA73,$G73=AB73),"0",if(($F73-$G73)*(AA73-AB73)&gt;0,0.5*'Thể lệ'!$E$6,'Thể lệ'!$E$6)))</f>
        <v>0</v>
      </c>
      <c r="CG73" s="29"/>
      <c r="CH73" s="43">
        <f>if($F73=$G73,if(and($F73=$G73,AC73&lt;&gt;AD73),'Thể lệ'!$E$6,if($F73=AC73,0,0.5*'Thể lệ'!$E$6)),if(and($F73=AC73,$G73=AD73),"0",if(($F73-$G73)*(AC73-AD73)&gt;0,0.5*'Thể lệ'!$E$6,'Thể lệ'!$E$6)))</f>
        <v>0</v>
      </c>
      <c r="CI73" s="29"/>
      <c r="CJ73" s="43">
        <f>if($F73=$G73,if(and($F73=$G73,AE73&lt;&gt;AF73),'Thể lệ'!$E$6,if($F73=AE73,0,0.5*'Thể lệ'!$E$6)),if(and($F73=AE73,$G73=AF73),"0",if(($F73-$G73)*(AE73-AF73)&gt;0,0.5*'Thể lệ'!$E$6,'Thể lệ'!$E$6)))</f>
        <v>0</v>
      </c>
      <c r="CK73" s="29"/>
      <c r="CL73" s="43">
        <f>if($F73=$G73,if(and($F73=$G73,AG73&lt;&gt;AH73),'Thể lệ'!$E$6,if($F73=AG73,0,0.5*'Thể lệ'!$E$6)),if(and($F73=AG73,$G73=AH73),"0",if(($F73-$G73)*(AG73-AH73)&gt;0,0.5*'Thể lệ'!$E$6,'Thể lệ'!$E$6)))</f>
        <v>0</v>
      </c>
      <c r="CM73" s="29"/>
      <c r="CN73" s="43">
        <f>if($F73=$G73,if(and($F73=$G73,AI73&lt;&gt;AJ73),'Thể lệ'!$E$6,if($F73=AI73,0,0.5*'Thể lệ'!$E$6)),if(and($F73=AI73,$G73=AJ73),"0",if(($F73-$G73)*(AI73-AJ73)&gt;0,0.5*'Thể lệ'!$E$6,'Thể lệ'!$E$6)))</f>
        <v>0</v>
      </c>
      <c r="CO73" s="29"/>
      <c r="CP73" s="43">
        <f>if($F73=$G73,if(and($F73=$G73,AK73&lt;&gt;AL73),'Thể lệ'!$E$6,if($F73=AK73,0,0.5*'Thể lệ'!$E$6)),if(and($F73=AK73,$G73=AL73),"0",if(($F73-$G73)*(AK73-AL73)&gt;0,0.5*'Thể lệ'!$E$6,'Thể lệ'!$E$6)))</f>
        <v>0</v>
      </c>
      <c r="CQ73" s="29"/>
      <c r="CR73" s="43">
        <f>if($F73=$G73,if(and($F73=$G73,AM73&lt;&gt;AN73),'Thể lệ'!$E$6,if($F73=AM73,0,0.5*'Thể lệ'!$E$6)),if(and($F73=AM73,$G73=AN73),"0",if(($F73-$G73)*(AM73-AN73)&gt;0,0.5*'Thể lệ'!$E$6,'Thể lệ'!$E$6)))</f>
        <v>0</v>
      </c>
      <c r="CS73" s="29"/>
      <c r="CT73" s="44">
        <f>if($F73=$G73,if(and($F73=$G73,AO73&lt;&gt;AP73),'Thể lệ'!$E$6,if($F73=AO73,0,0.5*'Thể lệ'!$E$6)),if(and($F73=AO73,$G73=AP73),"0",if(($F73-$G73)*(AO73-AP73)&gt;0,0.5*'Thể lệ'!$E$6,'Thể lệ'!$E$6)))</f>
        <v>10000</v>
      </c>
      <c r="CU73" s="29"/>
      <c r="CV73" s="43">
        <f>if($F73=$G73,if(and($F73=$G73,AQ73&lt;&gt;AR73),'Thể lệ'!$E$6,if($F73=AQ73,0,0.5*'Thể lệ'!$E$6)),if(and($F73=AQ73,$G73=AR73),"0",if(($F73-$G73)*(AQ73-AR73)&gt;0,0.5*'Thể lệ'!$E$6,'Thể lệ'!$E$6)))</f>
        <v>0</v>
      </c>
      <c r="CW73" s="29"/>
      <c r="CX73" s="44">
        <f>if($F73=$G73,if(and($F73=$G73,AS73&lt;&gt;AT73),'Thể lệ'!$E$6,if($F73=AS73,0,0.5*'Thể lệ'!$E$6)),if(and($F73=AS73,$G73=AT73),"0",if(($F73-$G73)*(AS73-AT73)&gt;0,0.5*'Thể lệ'!$E$6,'Thể lệ'!$E$6)))</f>
        <v>10000</v>
      </c>
      <c r="CY73" s="29"/>
      <c r="CZ73" s="43">
        <f>if($F73=$G73,if(and($F73=$G73,AU73&lt;&gt;AV73),'Thể lệ'!$E$6,if($F73=AU73,0,0.5*'Thể lệ'!$E$6)),if(and($F73=AU73,$G73=AV73),"0",if(($F73-$G73)*(AU73-AV73)&gt;0,0.5*'Thể lệ'!$E$6,'Thể lệ'!$E$6)))</f>
        <v>0</v>
      </c>
      <c r="DA73" s="29"/>
      <c r="DB73" s="43">
        <f>if($F73=$G73,if(and($F73=$G73,AW73&lt;&gt;AX73),'Thể lệ'!$E$6,if($F73=AW73,0,0.5*'Thể lệ'!$E$6)),if(and($F73=AW73,$G73=AX73),"0",if(($F73-$G73)*(AW73-AX73)&gt;0,0.5*'Thể lệ'!$E$6,'Thể lệ'!$E$6)))</f>
        <v>0</v>
      </c>
      <c r="DC73" s="69"/>
      <c r="DD73" s="43">
        <f>if($F73=$G73,if(and($F73=$G73,AY73&lt;&gt;AZ73),'Thể lệ'!$E$6,if($F73=AY73,0,0.5*'Thể lệ'!$E$6)),if(and($F73=AY73,$G73=AZ73),"0",if(($F73-$G73)*(AY73-AZ73)&gt;0,0.5*'Thể lệ'!$E$6,'Thể lệ'!$E$6)))</f>
        <v>0</v>
      </c>
      <c r="DE73" s="69"/>
      <c r="DF73" s="43">
        <f>if($F73=$G73,if(and($F73=$G73,BA73&lt;&gt;BB73),'Thể lệ'!$E$6,if($F73=BA73,0,0.5*'Thể lệ'!$E$6)),if(and($F73=BA73,$G73=BB73),"0",if(($F73-$G73)*(BA73-BB73)&gt;0,0.5*'Thể lệ'!$E$6,'Thể lệ'!$E$6)))</f>
        <v>0</v>
      </c>
      <c r="DG73" s="69"/>
      <c r="DH73" s="44">
        <f>if($F73=$G73,if(and($F73=$G73,BC73&lt;&gt;BD73),'Thể lệ'!$E$6,if($F73=BC73,0,0.5*'Thể lệ'!$E$6)),if(and($F73=BC73,$G73=BD73),"0",if(($F73-$G73)*(BC73-BD73)&gt;0,0.5*'Thể lệ'!$E$6,'Thể lệ'!$E$6)))</f>
        <v>10000</v>
      </c>
      <c r="DI73" s="69"/>
      <c r="DJ73" s="43">
        <f>if($F73=$G73,if(and($F73=$G73,BE73&lt;&gt;BF73),'Thể lệ'!$E$6,if($F73=BE73,0,0.5*'Thể lệ'!$E$6)),if(and($F73=BE73,$G73=BF73),"0",if(($F73-$G73)*(BE73-BF73)&gt;0,0.5*'Thể lệ'!$E$6,'Thể lệ'!$E$6)))</f>
        <v>0</v>
      </c>
      <c r="DK73" s="69"/>
      <c r="DL73" s="43">
        <f>if($F73=$G73,if(and($F73=$G73,BG73&lt;&gt;BH73),'Thể lệ'!$E$6,if($F73=BG73,0,0.5*'Thể lệ'!$E$6)),if(and($F73=BG73,$G73=BH73),"0",if(($F73-$G73)*(BG73-BH73)&gt;0,0.5*'Thể lệ'!$E$6,'Thể lệ'!$E$6)))</f>
        <v>0</v>
      </c>
      <c r="DM73" s="69"/>
      <c r="DN73" s="44">
        <f>if($F73=$G73,if(and($F73=$G73,BI73&lt;&gt;BJ73),'Thể lệ'!$E$6,if($F73=BI73,0,0.5*'Thể lệ'!$E$6)),if(and($F73=BI73,$G73=BJ73),"0",if(($F73-$G73)*(BI73-BJ73)&gt;0,0.5*'Thể lệ'!$E$6,'Thể lệ'!$E$6)))</f>
        <v>10000</v>
      </c>
      <c r="DO73" s="69"/>
      <c r="DP73" s="69"/>
    </row>
    <row r="74">
      <c r="A74" s="63"/>
      <c r="B74" s="22">
        <v>68.0</v>
      </c>
      <c r="C74" s="64">
        <v>46201.166666666664</v>
      </c>
      <c r="D74" s="65">
        <v>46201.166666666664</v>
      </c>
      <c r="E74" s="55" t="s">
        <v>75</v>
      </c>
      <c r="F74" s="23"/>
      <c r="G74" s="23"/>
      <c r="H74" s="55" t="s">
        <v>76</v>
      </c>
      <c r="I74" s="23"/>
      <c r="J74" s="23"/>
      <c r="K74" s="23"/>
      <c r="L74" s="23"/>
      <c r="M74" s="23"/>
      <c r="N74" s="23"/>
      <c r="O74" s="23"/>
      <c r="P74" s="23"/>
      <c r="Q74" s="37" t="str">
        <f t="shared" si="4"/>
        <v/>
      </c>
      <c r="R74" s="37" t="str">
        <f t="shared" si="6"/>
        <v/>
      </c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>
        <v>2.0</v>
      </c>
      <c r="AP74" s="23">
        <v>2.0</v>
      </c>
      <c r="AQ74" s="23"/>
      <c r="AR74" s="23"/>
      <c r="AS74" s="66">
        <v>3.0</v>
      </c>
      <c r="AT74" s="66">
        <v>0.0</v>
      </c>
      <c r="AU74" s="23"/>
      <c r="AV74" s="23"/>
      <c r="AW74" s="23"/>
      <c r="AX74" s="23"/>
      <c r="AY74" s="23"/>
      <c r="AZ74" s="23"/>
      <c r="BA74" s="23"/>
      <c r="BB74" s="23"/>
      <c r="BC74" s="23">
        <v>1.0</v>
      </c>
      <c r="BD74" s="23">
        <v>1.0</v>
      </c>
      <c r="BE74" s="67"/>
      <c r="BF74" s="23"/>
      <c r="BG74" s="23"/>
      <c r="BH74" s="23"/>
      <c r="BI74" s="37">
        <f>H.Son!H74</f>
        <v>1</v>
      </c>
      <c r="BJ74" s="37">
        <f>H.Son!I74</f>
        <v>0</v>
      </c>
      <c r="BK74" s="23"/>
      <c r="BL74" s="23"/>
      <c r="BM74" s="68"/>
      <c r="BN74" s="43">
        <f>if($F74=$G74,if(and($F74=$G74,I74&lt;&gt;J74),'Thể lệ'!$E$6,if($F74=I74,0,0.5*'Thể lệ'!$E$6)),if(and($F74=I74,$G74=J74),"0",if(($F74-$G74)*(I74-J74)&gt;0,0.5*'Thể lệ'!$E$6,'Thể lệ'!$E$6)))</f>
        <v>0</v>
      </c>
      <c r="BO74" s="29"/>
      <c r="BP74" s="43">
        <f>if($F74=$G74,if(and($F74=$G74,K74&lt;&gt;L74),'Thể lệ'!$E$6,if($F74=K74,0,0.5*'Thể lệ'!$E$6)),if(and($F74=K74,$G74=L74),"0",if(($F74-$G74)*(K74-L74)&gt;0,0.5*'Thể lệ'!$E$6,'Thể lệ'!$E$6)))</f>
        <v>0</v>
      </c>
      <c r="BQ74" s="29"/>
      <c r="BR74" s="43">
        <f>if($F74=$G74,if(and($F74=$G74,M74&lt;&gt;N74),'Thể lệ'!$E$6,if($F74=M74,0,0.5*'Thể lệ'!$E$6)),if(and($F74=M74,$G74=N74),"0",if(($F74-$G74)*(M74-N74)&gt;0,0.5*'Thể lệ'!$E$6,'Thể lệ'!$E$6)))</f>
        <v>0</v>
      </c>
      <c r="BS74" s="29"/>
      <c r="BT74" s="43">
        <f>if($F74=$G74,if(and($F74=$G74,O74&lt;&gt;P74),'Thể lệ'!$E$6,if($F74=O74,0,0.5*'Thể lệ'!$E$6)),if(and($F74=O74,$G74=P74),"0",if(($F74-$G74)*(O74-P74)&gt;0,0.5*'Thể lệ'!$E$6,'Thể lệ'!$E$6)))</f>
        <v>0</v>
      </c>
      <c r="BU74" s="29"/>
      <c r="BV74" s="43">
        <f>if($F74=$G74,if(and($F74=$G74,Q74&lt;&gt;R74),'Thể lệ'!$E$6,if($F74=Q74,0,0.5*'Thể lệ'!$E$6)),if(and($F74=Q74,$G74=R74),"0",if(($F74-$G74)*(Q74-R74)&gt;0,0.5*'Thể lệ'!$E$6,'Thể lệ'!$E$6)))</f>
        <v>0</v>
      </c>
      <c r="BW74" s="29"/>
      <c r="BX74" s="43">
        <f>if($F74=$G74,if(and($F74=$G74,S74&lt;&gt;T74),'Thể lệ'!$E$6,if($F74=S74,0,0.5*'Thể lệ'!$E$6)),if(and($F74=S74,$G74=T74),"0",if(($F74-$G74)*(S74-T74)&gt;0,0.5*'Thể lệ'!$E$6,'Thể lệ'!$E$6)))</f>
        <v>0</v>
      </c>
      <c r="BY74" s="29"/>
      <c r="BZ74" s="43">
        <f>if($F74=$G74,if(and($F74=$G74,U74&lt;&gt;V74),'Thể lệ'!$E$6,if($F74=U74,0,0.5*'Thể lệ'!$E$6)),if(and($F74=U74,$G74=V74),"0",if(($F74-$G74)*(U74-V74)&gt;0,0.5*'Thể lệ'!$E$6,'Thể lệ'!$E$6)))</f>
        <v>0</v>
      </c>
      <c r="CA74" s="29"/>
      <c r="CB74" s="43">
        <f>if($F74=$G74,if(and($F74=$G74,W74&lt;&gt;X74),'Thể lệ'!$E$6,if($F74=W74,0,0.5*'Thể lệ'!$E$6)),if(and($F74=W74,$G74=X74),"0",if(($F74-$G74)*(W74-X74)&gt;0,0.5*'Thể lệ'!$E$6,'Thể lệ'!$E$6)))</f>
        <v>0</v>
      </c>
      <c r="CC74" s="29"/>
      <c r="CD74" s="43">
        <f>if($F74=$G74,if(and($F74=$G74,Y74&lt;&gt;Z74),'Thể lệ'!$E$6,if($F74=Y74,0,0.5*'Thể lệ'!$E$6)),if(and($F74=Y74,$G74=Z74),"0",if(($F74-$G74)*(Y74-Z74)&gt;0,0.5*'Thể lệ'!$E$6,'Thể lệ'!$E$6)))</f>
        <v>0</v>
      </c>
      <c r="CE74" s="29"/>
      <c r="CF74" s="43">
        <f>if($F74=$G74,if(and($F74=$G74,AA74&lt;&gt;AB74),'Thể lệ'!$E$6,if($F74=AA74,0,0.5*'Thể lệ'!$E$6)),if(and($F74=AA74,$G74=AB74),"0",if(($F74-$G74)*(AA74-AB74)&gt;0,0.5*'Thể lệ'!$E$6,'Thể lệ'!$E$6)))</f>
        <v>0</v>
      </c>
      <c r="CG74" s="29"/>
      <c r="CH74" s="43">
        <f>if($F74=$G74,if(and($F74=$G74,AC74&lt;&gt;AD74),'Thể lệ'!$E$6,if($F74=AC74,0,0.5*'Thể lệ'!$E$6)),if(and($F74=AC74,$G74=AD74),"0",if(($F74-$G74)*(AC74-AD74)&gt;0,0.5*'Thể lệ'!$E$6,'Thể lệ'!$E$6)))</f>
        <v>0</v>
      </c>
      <c r="CI74" s="29"/>
      <c r="CJ74" s="43">
        <f>if($F74=$G74,if(and($F74=$G74,AE74&lt;&gt;AF74),'Thể lệ'!$E$6,if($F74=AE74,0,0.5*'Thể lệ'!$E$6)),if(and($F74=AE74,$G74=AF74),"0",if(($F74-$G74)*(AE74-AF74)&gt;0,0.5*'Thể lệ'!$E$6,'Thể lệ'!$E$6)))</f>
        <v>0</v>
      </c>
      <c r="CK74" s="29"/>
      <c r="CL74" s="43">
        <f>if($F74=$G74,if(and($F74=$G74,AG74&lt;&gt;AH74),'Thể lệ'!$E$6,if($F74=AG74,0,0.5*'Thể lệ'!$E$6)),if(and($F74=AG74,$G74=AH74),"0",if(($F74-$G74)*(AG74-AH74)&gt;0,0.5*'Thể lệ'!$E$6,'Thể lệ'!$E$6)))</f>
        <v>0</v>
      </c>
      <c r="CM74" s="29"/>
      <c r="CN74" s="43">
        <f>if($F74=$G74,if(and($F74=$G74,AI74&lt;&gt;AJ74),'Thể lệ'!$E$6,if($F74=AI74,0,0.5*'Thể lệ'!$E$6)),if(and($F74=AI74,$G74=AJ74),"0",if(($F74-$G74)*(AI74-AJ74)&gt;0,0.5*'Thể lệ'!$E$6,'Thể lệ'!$E$6)))</f>
        <v>0</v>
      </c>
      <c r="CO74" s="29"/>
      <c r="CP74" s="43">
        <f>if($F74=$G74,if(and($F74=$G74,AK74&lt;&gt;AL74),'Thể lệ'!$E$6,if($F74=AK74,0,0.5*'Thể lệ'!$E$6)),if(and($F74=AK74,$G74=AL74),"0",if(($F74-$G74)*(AK74-AL74)&gt;0,0.5*'Thể lệ'!$E$6,'Thể lệ'!$E$6)))</f>
        <v>0</v>
      </c>
      <c r="CQ74" s="29"/>
      <c r="CR74" s="43">
        <f>if($F74=$G74,if(and($F74=$G74,AM74&lt;&gt;AN74),'Thể lệ'!$E$6,if($F74=AM74,0,0.5*'Thể lệ'!$E$6)),if(and($F74=AM74,$G74=AN74),"0",if(($F74-$G74)*(AM74-AN74)&gt;0,0.5*'Thể lệ'!$E$6,'Thể lệ'!$E$6)))</f>
        <v>0</v>
      </c>
      <c r="CS74" s="29"/>
      <c r="CT74" s="44">
        <f>if($F74=$G74,if(and($F74=$G74,AO74&lt;&gt;AP74),'Thể lệ'!$E$6,if($F74=AO74,0,0.5*'Thể lệ'!$E$6)),if(and($F74=AO74,$G74=AP74),"0",if(($F74-$G74)*(AO74-AP74)&gt;0,0.5*'Thể lệ'!$E$6,'Thể lệ'!$E$6)))</f>
        <v>5000</v>
      </c>
      <c r="CU74" s="29"/>
      <c r="CV74" s="43">
        <f>if($F74=$G74,if(and($F74=$G74,AQ74&lt;&gt;AR74),'Thể lệ'!$E$6,if($F74=AQ74,0,0.5*'Thể lệ'!$E$6)),if(and($F74=AQ74,$G74=AR74),"0",if(($F74-$G74)*(AQ74-AR74)&gt;0,0.5*'Thể lệ'!$E$6,'Thể lệ'!$E$6)))</f>
        <v>0</v>
      </c>
      <c r="CW74" s="29"/>
      <c r="CX74" s="44">
        <f>if($F74=$G74,if(and($F74=$G74,AS74&lt;&gt;AT74),'Thể lệ'!$E$6,if($F74=AS74,0,0.5*'Thể lệ'!$E$6)),if(and($F74=AS74,$G74=AT74),"0",if(($F74-$G74)*(AS74-AT74)&gt;0,0.5*'Thể lệ'!$E$6,'Thể lệ'!$E$6)))</f>
        <v>10000</v>
      </c>
      <c r="CY74" s="29"/>
      <c r="CZ74" s="43">
        <f>if($F74=$G74,if(and($F74=$G74,AU74&lt;&gt;AV74),'Thể lệ'!$E$6,if($F74=AU74,0,0.5*'Thể lệ'!$E$6)),if(and($F74=AU74,$G74=AV74),"0",if(($F74-$G74)*(AU74-AV74)&gt;0,0.5*'Thể lệ'!$E$6,'Thể lệ'!$E$6)))</f>
        <v>0</v>
      </c>
      <c r="DA74" s="29"/>
      <c r="DB74" s="43">
        <f>if($F74=$G74,if(and($F74=$G74,AW74&lt;&gt;AX74),'Thể lệ'!$E$6,if($F74=AW74,0,0.5*'Thể lệ'!$E$6)),if(and($F74=AW74,$G74=AX74),"0",if(($F74-$G74)*(AW74-AX74)&gt;0,0.5*'Thể lệ'!$E$6,'Thể lệ'!$E$6)))</f>
        <v>0</v>
      </c>
      <c r="DC74" s="69"/>
      <c r="DD74" s="43">
        <f>if($F74=$G74,if(and($F74=$G74,AY74&lt;&gt;AZ74),'Thể lệ'!$E$6,if($F74=AY74,0,0.5*'Thể lệ'!$E$6)),if(and($F74=AY74,$G74=AZ74),"0",if(($F74-$G74)*(AY74-AZ74)&gt;0,0.5*'Thể lệ'!$E$6,'Thể lệ'!$E$6)))</f>
        <v>0</v>
      </c>
      <c r="DE74" s="69"/>
      <c r="DF74" s="43">
        <f>if($F74=$G74,if(and($F74=$G74,BA74&lt;&gt;BB74),'Thể lệ'!$E$6,if($F74=BA74,0,0.5*'Thể lệ'!$E$6)),if(and($F74=BA74,$G74=BB74),"0",if(($F74-$G74)*(BA74-BB74)&gt;0,0.5*'Thể lệ'!$E$6,'Thể lệ'!$E$6)))</f>
        <v>0</v>
      </c>
      <c r="DG74" s="69"/>
      <c r="DH74" s="44">
        <f>if($F74=$G74,if(and($F74=$G74,BC74&lt;&gt;BD74),'Thể lệ'!$E$6,if($F74=BC74,0,0.5*'Thể lệ'!$E$6)),if(and($F74=BC74,$G74=BD74),"0",if(($F74-$G74)*(BC74-BD74)&gt;0,0.5*'Thể lệ'!$E$6,'Thể lệ'!$E$6)))</f>
        <v>5000</v>
      </c>
      <c r="DI74" s="69"/>
      <c r="DJ74" s="43">
        <f>if($F74=$G74,if(and($F74=$G74,BE74&lt;&gt;BF74),'Thể lệ'!$E$6,if($F74=BE74,0,0.5*'Thể lệ'!$E$6)),if(and($F74=BE74,$G74=BF74),"0",if(($F74-$G74)*(BE74-BF74)&gt;0,0.5*'Thể lệ'!$E$6,'Thể lệ'!$E$6)))</f>
        <v>0</v>
      </c>
      <c r="DK74" s="69"/>
      <c r="DL74" s="43">
        <f>if($F74=$G74,if(and($F74=$G74,BG74&lt;&gt;BH74),'Thể lệ'!$E$6,if($F74=BG74,0,0.5*'Thể lệ'!$E$6)),if(and($F74=BG74,$G74=BH74),"0",if(($F74-$G74)*(BG74-BH74)&gt;0,0.5*'Thể lệ'!$E$6,'Thể lệ'!$E$6)))</f>
        <v>0</v>
      </c>
      <c r="DM74" s="69"/>
      <c r="DN74" s="44">
        <f>if($F74=$G74,if(and($F74=$G74,BI74&lt;&gt;BJ74),'Thể lệ'!$E$6,if($F74=BI74,0,0.5*'Thể lệ'!$E$6)),if(and($F74=BI74,$G74=BJ74),"0",if(($F74-$G74)*(BI74-BJ74)&gt;0,0.5*'Thể lệ'!$E$6,'Thể lệ'!$E$6)))</f>
        <v>10000</v>
      </c>
      <c r="DO74" s="69"/>
      <c r="DP74" s="69"/>
    </row>
    <row r="75">
      <c r="A75" s="63"/>
      <c r="B75" s="22">
        <v>69.0</v>
      </c>
      <c r="C75" s="64">
        <v>46201.27083333333</v>
      </c>
      <c r="D75" s="65">
        <v>46201.27083333333</v>
      </c>
      <c r="E75" s="55" t="s">
        <v>79</v>
      </c>
      <c r="F75" s="23"/>
      <c r="G75" s="23"/>
      <c r="H75" s="55" t="s">
        <v>72</v>
      </c>
      <c r="I75" s="23"/>
      <c r="J75" s="23"/>
      <c r="K75" s="23"/>
      <c r="L75" s="23"/>
      <c r="M75" s="23"/>
      <c r="N75" s="23"/>
      <c r="O75" s="23"/>
      <c r="P75" s="23"/>
      <c r="Q75" s="37" t="str">
        <f t="shared" si="4"/>
        <v/>
      </c>
      <c r="R75" s="37" t="str">
        <f t="shared" si="6"/>
        <v/>
      </c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>
        <v>3.0</v>
      </c>
      <c r="AP75" s="23">
        <v>2.0</v>
      </c>
      <c r="AQ75" s="23"/>
      <c r="AR75" s="23"/>
      <c r="AS75" s="66">
        <v>0.0</v>
      </c>
      <c r="AT75" s="66">
        <v>2.0</v>
      </c>
      <c r="AU75" s="23"/>
      <c r="AV75" s="23"/>
      <c r="AW75" s="23"/>
      <c r="AX75" s="23"/>
      <c r="AY75" s="23"/>
      <c r="AZ75" s="23"/>
      <c r="BA75" s="23"/>
      <c r="BB75" s="23"/>
      <c r="BC75" s="23">
        <v>1.0</v>
      </c>
      <c r="BD75" s="23">
        <v>2.0</v>
      </c>
      <c r="BE75" s="67"/>
      <c r="BF75" s="23"/>
      <c r="BG75" s="23"/>
      <c r="BH75" s="23"/>
      <c r="BI75" s="37">
        <f>H.Son!H75</f>
        <v>1</v>
      </c>
      <c r="BJ75" s="37">
        <f>H.Son!I75</f>
        <v>1</v>
      </c>
      <c r="BK75" s="23"/>
      <c r="BL75" s="23"/>
      <c r="BM75" s="68"/>
      <c r="BN75" s="43">
        <f>if($F75=$G75,if(and($F75=$G75,I75&lt;&gt;J75),'Thể lệ'!$E$6,if($F75=I75,0,0.5*'Thể lệ'!$E$6)),if(and($F75=I75,$G75=J75),"0",if(($F75-$G75)*(I75-J75)&gt;0,0.5*'Thể lệ'!$E$6,'Thể lệ'!$E$6)))</f>
        <v>0</v>
      </c>
      <c r="BO75" s="29"/>
      <c r="BP75" s="43">
        <f>if($F75=$G75,if(and($F75=$G75,K75&lt;&gt;L75),'Thể lệ'!$E$6,if($F75=K75,0,0.5*'Thể lệ'!$E$6)),if(and($F75=K75,$G75=L75),"0",if(($F75-$G75)*(K75-L75)&gt;0,0.5*'Thể lệ'!$E$6,'Thể lệ'!$E$6)))</f>
        <v>0</v>
      </c>
      <c r="BQ75" s="29"/>
      <c r="BR75" s="43">
        <f>if($F75=$G75,if(and($F75=$G75,M75&lt;&gt;N75),'Thể lệ'!$E$6,if($F75=M75,0,0.5*'Thể lệ'!$E$6)),if(and($F75=M75,$G75=N75),"0",if(($F75-$G75)*(M75-N75)&gt;0,0.5*'Thể lệ'!$E$6,'Thể lệ'!$E$6)))</f>
        <v>0</v>
      </c>
      <c r="BS75" s="29"/>
      <c r="BT75" s="43">
        <f>if($F75=$G75,if(and($F75=$G75,O75&lt;&gt;P75),'Thể lệ'!$E$6,if($F75=O75,0,0.5*'Thể lệ'!$E$6)),if(and($F75=O75,$G75=P75),"0",if(($F75-$G75)*(O75-P75)&gt;0,0.5*'Thể lệ'!$E$6,'Thể lệ'!$E$6)))</f>
        <v>0</v>
      </c>
      <c r="BU75" s="29"/>
      <c r="BV75" s="43">
        <f>if($F75=$G75,if(and($F75=$G75,Q75&lt;&gt;R75),'Thể lệ'!$E$6,if($F75=Q75,0,0.5*'Thể lệ'!$E$6)),if(and($F75=Q75,$G75=R75),"0",if(($F75-$G75)*(Q75-R75)&gt;0,0.5*'Thể lệ'!$E$6,'Thể lệ'!$E$6)))</f>
        <v>0</v>
      </c>
      <c r="BW75" s="29"/>
      <c r="BX75" s="43">
        <f>if($F75=$G75,if(and($F75=$G75,S75&lt;&gt;T75),'Thể lệ'!$E$6,if($F75=S75,0,0.5*'Thể lệ'!$E$6)),if(and($F75=S75,$G75=T75),"0",if(($F75-$G75)*(S75-T75)&gt;0,0.5*'Thể lệ'!$E$6,'Thể lệ'!$E$6)))</f>
        <v>0</v>
      </c>
      <c r="BY75" s="29"/>
      <c r="BZ75" s="43">
        <f>if($F75=$G75,if(and($F75=$G75,U75&lt;&gt;V75),'Thể lệ'!$E$6,if($F75=U75,0,0.5*'Thể lệ'!$E$6)),if(and($F75=U75,$G75=V75),"0",if(($F75-$G75)*(U75-V75)&gt;0,0.5*'Thể lệ'!$E$6,'Thể lệ'!$E$6)))</f>
        <v>0</v>
      </c>
      <c r="CA75" s="29"/>
      <c r="CB75" s="43">
        <f>if($F75=$G75,if(and($F75=$G75,W75&lt;&gt;X75),'Thể lệ'!$E$6,if($F75=W75,0,0.5*'Thể lệ'!$E$6)),if(and($F75=W75,$G75=X75),"0",if(($F75-$G75)*(W75-X75)&gt;0,0.5*'Thể lệ'!$E$6,'Thể lệ'!$E$6)))</f>
        <v>0</v>
      </c>
      <c r="CC75" s="29"/>
      <c r="CD75" s="43">
        <f>if($F75=$G75,if(and($F75=$G75,Y75&lt;&gt;Z75),'Thể lệ'!$E$6,if($F75=Y75,0,0.5*'Thể lệ'!$E$6)),if(and($F75=Y75,$G75=Z75),"0",if(($F75-$G75)*(Y75-Z75)&gt;0,0.5*'Thể lệ'!$E$6,'Thể lệ'!$E$6)))</f>
        <v>0</v>
      </c>
      <c r="CE75" s="29"/>
      <c r="CF75" s="43">
        <f>if($F75=$G75,if(and($F75=$G75,AA75&lt;&gt;AB75),'Thể lệ'!$E$6,if($F75=AA75,0,0.5*'Thể lệ'!$E$6)),if(and($F75=AA75,$G75=AB75),"0",if(($F75-$G75)*(AA75-AB75)&gt;0,0.5*'Thể lệ'!$E$6,'Thể lệ'!$E$6)))</f>
        <v>0</v>
      </c>
      <c r="CG75" s="29"/>
      <c r="CH75" s="43">
        <f>if($F75=$G75,if(and($F75=$G75,AC75&lt;&gt;AD75),'Thể lệ'!$E$6,if($F75=AC75,0,0.5*'Thể lệ'!$E$6)),if(and($F75=AC75,$G75=AD75),"0",if(($F75-$G75)*(AC75-AD75)&gt;0,0.5*'Thể lệ'!$E$6,'Thể lệ'!$E$6)))</f>
        <v>0</v>
      </c>
      <c r="CI75" s="29"/>
      <c r="CJ75" s="43">
        <f>if($F75=$G75,if(and($F75=$G75,AE75&lt;&gt;AF75),'Thể lệ'!$E$6,if($F75=AE75,0,0.5*'Thể lệ'!$E$6)),if(and($F75=AE75,$G75=AF75),"0",if(($F75-$G75)*(AE75-AF75)&gt;0,0.5*'Thể lệ'!$E$6,'Thể lệ'!$E$6)))</f>
        <v>0</v>
      </c>
      <c r="CK75" s="29"/>
      <c r="CL75" s="43">
        <f>if($F75=$G75,if(and($F75=$G75,AG75&lt;&gt;AH75),'Thể lệ'!$E$6,if($F75=AG75,0,0.5*'Thể lệ'!$E$6)),if(and($F75=AG75,$G75=AH75),"0",if(($F75-$G75)*(AG75-AH75)&gt;0,0.5*'Thể lệ'!$E$6,'Thể lệ'!$E$6)))</f>
        <v>0</v>
      </c>
      <c r="CM75" s="29"/>
      <c r="CN75" s="43">
        <f>if($F75=$G75,if(and($F75=$G75,AI75&lt;&gt;AJ75),'Thể lệ'!$E$6,if($F75=AI75,0,0.5*'Thể lệ'!$E$6)),if(and($F75=AI75,$G75=AJ75),"0",if(($F75-$G75)*(AI75-AJ75)&gt;0,0.5*'Thể lệ'!$E$6,'Thể lệ'!$E$6)))</f>
        <v>0</v>
      </c>
      <c r="CO75" s="29"/>
      <c r="CP75" s="43">
        <f>if($F75=$G75,if(and($F75=$G75,AK75&lt;&gt;AL75),'Thể lệ'!$E$6,if($F75=AK75,0,0.5*'Thể lệ'!$E$6)),if(and($F75=AK75,$G75=AL75),"0",if(($F75-$G75)*(AK75-AL75)&gt;0,0.5*'Thể lệ'!$E$6,'Thể lệ'!$E$6)))</f>
        <v>0</v>
      </c>
      <c r="CQ75" s="29"/>
      <c r="CR75" s="43">
        <f>if($F75=$G75,if(and($F75=$G75,AM75&lt;&gt;AN75),'Thể lệ'!$E$6,if($F75=AM75,0,0.5*'Thể lệ'!$E$6)),if(and($F75=AM75,$G75=AN75),"0",if(($F75-$G75)*(AM75-AN75)&gt;0,0.5*'Thể lệ'!$E$6,'Thể lệ'!$E$6)))</f>
        <v>0</v>
      </c>
      <c r="CS75" s="29"/>
      <c r="CT75" s="44">
        <f>if($F75=$G75,if(and($F75=$G75,AO75&lt;&gt;AP75),'Thể lệ'!$E$6,if($F75=AO75,0,0.5*'Thể lệ'!$E$6)),if(and($F75=AO75,$G75=AP75),"0",if(($F75-$G75)*(AO75-AP75)&gt;0,0.5*'Thể lệ'!$E$6,'Thể lệ'!$E$6)))</f>
        <v>10000</v>
      </c>
      <c r="CU75" s="29"/>
      <c r="CV75" s="43">
        <f>if($F75=$G75,if(and($F75=$G75,AQ75&lt;&gt;AR75),'Thể lệ'!$E$6,if($F75=AQ75,0,0.5*'Thể lệ'!$E$6)),if(and($F75=AQ75,$G75=AR75),"0",if(($F75-$G75)*(AQ75-AR75)&gt;0,0.5*'Thể lệ'!$E$6,'Thể lệ'!$E$6)))</f>
        <v>0</v>
      </c>
      <c r="CW75" s="29"/>
      <c r="CX75" s="44">
        <f>if($F75=$G75,if(and($F75=$G75,AS75&lt;&gt;AT75),'Thể lệ'!$E$6,if($F75=AS75,0,0.5*'Thể lệ'!$E$6)),if(and($F75=AS75,$G75=AT75),"0",if(($F75-$G75)*(AS75-AT75)&gt;0,0.5*'Thể lệ'!$E$6,'Thể lệ'!$E$6)))</f>
        <v>10000</v>
      </c>
      <c r="CY75" s="29"/>
      <c r="CZ75" s="43">
        <f>if($F75=$G75,if(and($F75=$G75,AU75&lt;&gt;AV75),'Thể lệ'!$E$6,if($F75=AU75,0,0.5*'Thể lệ'!$E$6)),if(and($F75=AU75,$G75=AV75),"0",if(($F75-$G75)*(AU75-AV75)&gt;0,0.5*'Thể lệ'!$E$6,'Thể lệ'!$E$6)))</f>
        <v>0</v>
      </c>
      <c r="DA75" s="29"/>
      <c r="DB75" s="43">
        <f>if($F75=$G75,if(and($F75=$G75,AW75&lt;&gt;AX75),'Thể lệ'!$E$6,if($F75=AW75,0,0.5*'Thể lệ'!$E$6)),if(and($F75=AW75,$G75=AX75),"0",if(($F75-$G75)*(AW75-AX75)&gt;0,0.5*'Thể lệ'!$E$6,'Thể lệ'!$E$6)))</f>
        <v>0</v>
      </c>
      <c r="DC75" s="69"/>
      <c r="DD75" s="43">
        <f>if($F75=$G75,if(and($F75=$G75,AY75&lt;&gt;AZ75),'Thể lệ'!$E$6,if($F75=AY75,0,0.5*'Thể lệ'!$E$6)),if(and($F75=AY75,$G75=AZ75),"0",if(($F75-$G75)*(AY75-AZ75)&gt;0,0.5*'Thể lệ'!$E$6,'Thể lệ'!$E$6)))</f>
        <v>0</v>
      </c>
      <c r="DE75" s="69"/>
      <c r="DF75" s="43">
        <f>if($F75=$G75,if(and($F75=$G75,BA75&lt;&gt;BB75),'Thể lệ'!$E$6,if($F75=BA75,0,0.5*'Thể lệ'!$E$6)),if(and($F75=BA75,$G75=BB75),"0",if(($F75-$G75)*(BA75-BB75)&gt;0,0.5*'Thể lệ'!$E$6,'Thể lệ'!$E$6)))</f>
        <v>0</v>
      </c>
      <c r="DG75" s="69"/>
      <c r="DH75" s="44">
        <f>if($F75=$G75,if(and($F75=$G75,BC75&lt;&gt;BD75),'Thể lệ'!$E$6,if($F75=BC75,0,0.5*'Thể lệ'!$E$6)),if(and($F75=BC75,$G75=BD75),"0",if(($F75-$G75)*(BC75-BD75)&gt;0,0.5*'Thể lệ'!$E$6,'Thể lệ'!$E$6)))</f>
        <v>10000</v>
      </c>
      <c r="DI75" s="69"/>
      <c r="DJ75" s="43">
        <f>if($F75=$G75,if(and($F75=$G75,BE75&lt;&gt;BF75),'Thể lệ'!$E$6,if($F75=BE75,0,0.5*'Thể lệ'!$E$6)),if(and($F75=BE75,$G75=BF75),"0",if(($F75-$G75)*(BE75-BF75)&gt;0,0.5*'Thể lệ'!$E$6,'Thể lệ'!$E$6)))</f>
        <v>0</v>
      </c>
      <c r="DK75" s="69"/>
      <c r="DL75" s="43">
        <f>if($F75=$G75,if(and($F75=$G75,BG75&lt;&gt;BH75),'Thể lệ'!$E$6,if($F75=BG75,0,0.5*'Thể lệ'!$E$6)),if(and($F75=BG75,$G75=BH75),"0",if(($F75-$G75)*(BG75-BH75)&gt;0,0.5*'Thể lệ'!$E$6,'Thể lệ'!$E$6)))</f>
        <v>0</v>
      </c>
      <c r="DM75" s="69"/>
      <c r="DN75" s="44">
        <f>if($F75=$G75,if(and($F75=$G75,BI75&lt;&gt;BJ75),'Thể lệ'!$E$6,if($F75=BI75,0,0.5*'Thể lệ'!$E$6)),if(and($F75=BI75,$G75=BJ75),"0",if(($F75-$G75)*(BI75-BJ75)&gt;0,0.5*'Thể lệ'!$E$6,'Thể lệ'!$E$6)))</f>
        <v>5000</v>
      </c>
      <c r="DO75" s="69"/>
      <c r="DP75" s="69"/>
    </row>
    <row r="76">
      <c r="A76" s="63"/>
      <c r="B76" s="22">
        <v>70.0</v>
      </c>
      <c r="C76" s="64">
        <v>46201.27083333333</v>
      </c>
      <c r="D76" s="65">
        <v>46201.27083333333</v>
      </c>
      <c r="E76" s="55" t="s">
        <v>73</v>
      </c>
      <c r="F76" s="23"/>
      <c r="G76" s="23"/>
      <c r="H76" s="55" t="s">
        <v>78</v>
      </c>
      <c r="I76" s="23"/>
      <c r="J76" s="23"/>
      <c r="K76" s="23"/>
      <c r="L76" s="23"/>
      <c r="M76" s="23"/>
      <c r="N76" s="23"/>
      <c r="O76" s="23"/>
      <c r="P76" s="23"/>
      <c r="Q76" s="37" t="str">
        <f t="shared" si="4"/>
        <v/>
      </c>
      <c r="R76" s="37" t="str">
        <f t="shared" si="6"/>
        <v/>
      </c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>
        <v>2.0</v>
      </c>
      <c r="AP76" s="23">
        <v>1.0</v>
      </c>
      <c r="AQ76" s="23"/>
      <c r="AR76" s="23"/>
      <c r="AS76" s="66">
        <v>1.0</v>
      </c>
      <c r="AT76" s="66">
        <v>1.0</v>
      </c>
      <c r="AU76" s="23"/>
      <c r="AV76" s="23"/>
      <c r="AW76" s="23"/>
      <c r="AX76" s="23"/>
      <c r="AY76" s="23"/>
      <c r="AZ76" s="23"/>
      <c r="BA76" s="23"/>
      <c r="BB76" s="23"/>
      <c r="BC76" s="23">
        <v>1.0</v>
      </c>
      <c r="BD76" s="23">
        <v>1.0</v>
      </c>
      <c r="BE76" s="67"/>
      <c r="BF76" s="23"/>
      <c r="BG76" s="23"/>
      <c r="BH76" s="23"/>
      <c r="BI76" s="37">
        <f>H.Son!H76</f>
        <v>1</v>
      </c>
      <c r="BJ76" s="37">
        <f>H.Son!I76</f>
        <v>1</v>
      </c>
      <c r="BK76" s="23"/>
      <c r="BL76" s="23"/>
      <c r="BM76" s="68"/>
      <c r="BN76" s="43">
        <f>if($F76=$G76,if(and($F76=$G76,I76&lt;&gt;J76),'Thể lệ'!$E$6,if($F76=I76,0,0.5*'Thể lệ'!$E$6)),if(and($F76=I76,$G76=J76),"0",if(($F76-$G76)*(I76-J76)&gt;0,0.5*'Thể lệ'!$E$6,'Thể lệ'!$E$6)))</f>
        <v>0</v>
      </c>
      <c r="BO76" s="29"/>
      <c r="BP76" s="43">
        <f>if($F76=$G76,if(and($F76=$G76,K76&lt;&gt;L76),'Thể lệ'!$E$6,if($F76=K76,0,0.5*'Thể lệ'!$E$6)),if(and($F76=K76,$G76=L76),"0",if(($F76-$G76)*(K76-L76)&gt;0,0.5*'Thể lệ'!$E$6,'Thể lệ'!$E$6)))</f>
        <v>0</v>
      </c>
      <c r="BQ76" s="29"/>
      <c r="BR76" s="43">
        <f>if($F76=$G76,if(and($F76=$G76,M76&lt;&gt;N76),'Thể lệ'!$E$6,if($F76=M76,0,0.5*'Thể lệ'!$E$6)),if(and($F76=M76,$G76=N76),"0",if(($F76-$G76)*(M76-N76)&gt;0,0.5*'Thể lệ'!$E$6,'Thể lệ'!$E$6)))</f>
        <v>0</v>
      </c>
      <c r="BS76" s="29"/>
      <c r="BT76" s="43">
        <f>if($F76=$G76,if(and($F76=$G76,O76&lt;&gt;P76),'Thể lệ'!$E$6,if($F76=O76,0,0.5*'Thể lệ'!$E$6)),if(and($F76=O76,$G76=P76),"0",if(($F76-$G76)*(O76-P76)&gt;0,0.5*'Thể lệ'!$E$6,'Thể lệ'!$E$6)))</f>
        <v>0</v>
      </c>
      <c r="BU76" s="29"/>
      <c r="BV76" s="43">
        <f>if($F76=$G76,if(and($F76=$G76,Q76&lt;&gt;R76),'Thể lệ'!$E$6,if($F76=Q76,0,0.5*'Thể lệ'!$E$6)),if(and($F76=Q76,$G76=R76),"0",if(($F76-$G76)*(Q76-R76)&gt;0,0.5*'Thể lệ'!$E$6,'Thể lệ'!$E$6)))</f>
        <v>0</v>
      </c>
      <c r="BW76" s="29"/>
      <c r="BX76" s="43">
        <f>if($F76=$G76,if(and($F76=$G76,S76&lt;&gt;T76),'Thể lệ'!$E$6,if($F76=S76,0,0.5*'Thể lệ'!$E$6)),if(and($F76=S76,$G76=T76),"0",if(($F76-$G76)*(S76-T76)&gt;0,0.5*'Thể lệ'!$E$6,'Thể lệ'!$E$6)))</f>
        <v>0</v>
      </c>
      <c r="BY76" s="29"/>
      <c r="BZ76" s="43">
        <f>if($F76=$G76,if(and($F76=$G76,U76&lt;&gt;V76),'Thể lệ'!$E$6,if($F76=U76,0,0.5*'Thể lệ'!$E$6)),if(and($F76=U76,$G76=V76),"0",if(($F76-$G76)*(U76-V76)&gt;0,0.5*'Thể lệ'!$E$6,'Thể lệ'!$E$6)))</f>
        <v>0</v>
      </c>
      <c r="CA76" s="29"/>
      <c r="CB76" s="43">
        <f>if($F76=$G76,if(and($F76=$G76,W76&lt;&gt;X76),'Thể lệ'!$E$6,if($F76=W76,0,0.5*'Thể lệ'!$E$6)),if(and($F76=W76,$G76=X76),"0",if(($F76-$G76)*(W76-X76)&gt;0,0.5*'Thể lệ'!$E$6,'Thể lệ'!$E$6)))</f>
        <v>0</v>
      </c>
      <c r="CC76" s="29"/>
      <c r="CD76" s="43">
        <f>if($F76=$G76,if(and($F76=$G76,Y76&lt;&gt;Z76),'Thể lệ'!$E$6,if($F76=Y76,0,0.5*'Thể lệ'!$E$6)),if(and($F76=Y76,$G76=Z76),"0",if(($F76-$G76)*(Y76-Z76)&gt;0,0.5*'Thể lệ'!$E$6,'Thể lệ'!$E$6)))</f>
        <v>0</v>
      </c>
      <c r="CE76" s="29"/>
      <c r="CF76" s="43">
        <f>if($F76=$G76,if(and($F76=$G76,AA76&lt;&gt;AB76),'Thể lệ'!$E$6,if($F76=AA76,0,0.5*'Thể lệ'!$E$6)),if(and($F76=AA76,$G76=AB76),"0",if(($F76-$G76)*(AA76-AB76)&gt;0,0.5*'Thể lệ'!$E$6,'Thể lệ'!$E$6)))</f>
        <v>0</v>
      </c>
      <c r="CG76" s="29"/>
      <c r="CH76" s="43">
        <f>if($F76=$G76,if(and($F76=$G76,AC76&lt;&gt;AD76),'Thể lệ'!$E$6,if($F76=AC76,0,0.5*'Thể lệ'!$E$6)),if(and($F76=AC76,$G76=AD76),"0",if(($F76-$G76)*(AC76-AD76)&gt;0,0.5*'Thể lệ'!$E$6,'Thể lệ'!$E$6)))</f>
        <v>0</v>
      </c>
      <c r="CI76" s="29"/>
      <c r="CJ76" s="43">
        <f>if($F76=$G76,if(and($F76=$G76,AE76&lt;&gt;AF76),'Thể lệ'!$E$6,if($F76=AE76,0,0.5*'Thể lệ'!$E$6)),if(and($F76=AE76,$G76=AF76),"0",if(($F76-$G76)*(AE76-AF76)&gt;0,0.5*'Thể lệ'!$E$6,'Thể lệ'!$E$6)))</f>
        <v>0</v>
      </c>
      <c r="CK76" s="29"/>
      <c r="CL76" s="43">
        <f>if($F76=$G76,if(and($F76=$G76,AG76&lt;&gt;AH76),'Thể lệ'!$E$6,if($F76=AG76,0,0.5*'Thể lệ'!$E$6)),if(and($F76=AG76,$G76=AH76),"0",if(($F76-$G76)*(AG76-AH76)&gt;0,0.5*'Thể lệ'!$E$6,'Thể lệ'!$E$6)))</f>
        <v>0</v>
      </c>
      <c r="CM76" s="29"/>
      <c r="CN76" s="43">
        <f>if($F76=$G76,if(and($F76=$G76,AI76&lt;&gt;AJ76),'Thể lệ'!$E$6,if($F76=AI76,0,0.5*'Thể lệ'!$E$6)),if(and($F76=AI76,$G76=AJ76),"0",if(($F76-$G76)*(AI76-AJ76)&gt;0,0.5*'Thể lệ'!$E$6,'Thể lệ'!$E$6)))</f>
        <v>0</v>
      </c>
      <c r="CO76" s="29"/>
      <c r="CP76" s="43">
        <f>if($F76=$G76,if(and($F76=$G76,AK76&lt;&gt;AL76),'Thể lệ'!$E$6,if($F76=AK76,0,0.5*'Thể lệ'!$E$6)),if(and($F76=AK76,$G76=AL76),"0",if(($F76-$G76)*(AK76-AL76)&gt;0,0.5*'Thể lệ'!$E$6,'Thể lệ'!$E$6)))</f>
        <v>0</v>
      </c>
      <c r="CQ76" s="29"/>
      <c r="CR76" s="43">
        <f>if($F76=$G76,if(and($F76=$G76,AM76&lt;&gt;AN76),'Thể lệ'!$E$6,if($F76=AM76,0,0.5*'Thể lệ'!$E$6)),if(and($F76=AM76,$G76=AN76),"0",if(($F76-$G76)*(AM76-AN76)&gt;0,0.5*'Thể lệ'!$E$6,'Thể lệ'!$E$6)))</f>
        <v>0</v>
      </c>
      <c r="CS76" s="29"/>
      <c r="CT76" s="44">
        <f>if($F76=$G76,if(and($F76=$G76,AO76&lt;&gt;AP76),'Thể lệ'!$E$6,if($F76=AO76,0,0.5*'Thể lệ'!$E$6)),if(and($F76=AO76,$G76=AP76),"0",if(($F76-$G76)*(AO76-AP76)&gt;0,0.5*'Thể lệ'!$E$6,'Thể lệ'!$E$6)))</f>
        <v>10000</v>
      </c>
      <c r="CU76" s="29"/>
      <c r="CV76" s="43">
        <f>if($F76=$G76,if(and($F76=$G76,AQ76&lt;&gt;AR76),'Thể lệ'!$E$6,if($F76=AQ76,0,0.5*'Thể lệ'!$E$6)),if(and($F76=AQ76,$G76=AR76),"0",if(($F76-$G76)*(AQ76-AR76)&gt;0,0.5*'Thể lệ'!$E$6,'Thể lệ'!$E$6)))</f>
        <v>0</v>
      </c>
      <c r="CW76" s="29"/>
      <c r="CX76" s="44">
        <f>if($F76=$G76,if(and($F76=$G76,AS76&lt;&gt;AT76),'Thể lệ'!$E$6,if($F76=AS76,0,0.5*'Thể lệ'!$E$6)),if(and($F76=AS76,$G76=AT76),"0",if(($F76-$G76)*(AS76-AT76)&gt;0,0.5*'Thể lệ'!$E$6,'Thể lệ'!$E$6)))</f>
        <v>5000</v>
      </c>
      <c r="CY76" s="29"/>
      <c r="CZ76" s="43">
        <f>if($F76=$G76,if(and($F76=$G76,AU76&lt;&gt;AV76),'Thể lệ'!$E$6,if($F76=AU76,0,0.5*'Thể lệ'!$E$6)),if(and($F76=AU76,$G76=AV76),"0",if(($F76-$G76)*(AU76-AV76)&gt;0,0.5*'Thể lệ'!$E$6,'Thể lệ'!$E$6)))</f>
        <v>0</v>
      </c>
      <c r="DA76" s="29"/>
      <c r="DB76" s="43">
        <f>if($F76=$G76,if(and($F76=$G76,AW76&lt;&gt;AX76),'Thể lệ'!$E$6,if($F76=AW76,0,0.5*'Thể lệ'!$E$6)),if(and($F76=AW76,$G76=AX76),"0",if(($F76-$G76)*(AW76-AX76)&gt;0,0.5*'Thể lệ'!$E$6,'Thể lệ'!$E$6)))</f>
        <v>0</v>
      </c>
      <c r="DC76" s="69"/>
      <c r="DD76" s="43">
        <f>if($F76=$G76,if(and($F76=$G76,AY76&lt;&gt;AZ76),'Thể lệ'!$E$6,if($F76=AY76,0,0.5*'Thể lệ'!$E$6)),if(and($F76=AY76,$G76=AZ76),"0",if(($F76-$G76)*(AY76-AZ76)&gt;0,0.5*'Thể lệ'!$E$6,'Thể lệ'!$E$6)))</f>
        <v>0</v>
      </c>
      <c r="DE76" s="69"/>
      <c r="DF76" s="43">
        <f>if($F76=$G76,if(and($F76=$G76,BA76&lt;&gt;BB76),'Thể lệ'!$E$6,if($F76=BA76,0,0.5*'Thể lệ'!$E$6)),if(and($F76=BA76,$G76=BB76),"0",if(($F76-$G76)*(BA76-BB76)&gt;0,0.5*'Thể lệ'!$E$6,'Thể lệ'!$E$6)))</f>
        <v>0</v>
      </c>
      <c r="DG76" s="69"/>
      <c r="DH76" s="44">
        <f>if($F76=$G76,if(and($F76=$G76,BC76&lt;&gt;BD76),'Thể lệ'!$E$6,if($F76=BC76,0,0.5*'Thể lệ'!$E$6)),if(and($F76=BC76,$G76=BD76),"0",if(($F76-$G76)*(BC76-BD76)&gt;0,0.5*'Thể lệ'!$E$6,'Thể lệ'!$E$6)))</f>
        <v>5000</v>
      </c>
      <c r="DI76" s="69"/>
      <c r="DJ76" s="43">
        <f>if($F76=$G76,if(and($F76=$G76,BE76&lt;&gt;BF76),'Thể lệ'!$E$6,if($F76=BE76,0,0.5*'Thể lệ'!$E$6)),if(and($F76=BE76,$G76=BF76),"0",if(($F76-$G76)*(BE76-BF76)&gt;0,0.5*'Thể lệ'!$E$6,'Thể lệ'!$E$6)))</f>
        <v>0</v>
      </c>
      <c r="DK76" s="69"/>
      <c r="DL76" s="43">
        <f>if($F76=$G76,if(and($F76=$G76,BG76&lt;&gt;BH76),'Thể lệ'!$E$6,if($F76=BG76,0,0.5*'Thể lệ'!$E$6)),if(and($F76=BG76,$G76=BH76),"0",if(($F76-$G76)*(BG76-BH76)&gt;0,0.5*'Thể lệ'!$E$6,'Thể lệ'!$E$6)))</f>
        <v>0</v>
      </c>
      <c r="DM76" s="69"/>
      <c r="DN76" s="44">
        <f>if($F76=$G76,if(and($F76=$G76,BI76&lt;&gt;BJ76),'Thể lệ'!$E$6,if($F76=BI76,0,0.5*'Thể lệ'!$E$6)),if(and($F76=BI76,$G76=BJ76),"0",if(($F76-$G76)*(BI76-BJ76)&gt;0,0.5*'Thể lệ'!$E$6,'Thể lệ'!$E$6)))</f>
        <v>5000</v>
      </c>
      <c r="DO76" s="69"/>
      <c r="DP76" s="69"/>
    </row>
    <row r="77">
      <c r="A77" s="63"/>
      <c r="B77" s="22">
        <v>71.0</v>
      </c>
      <c r="C77" s="64">
        <v>46201.37499999999</v>
      </c>
      <c r="D77" s="65">
        <v>46201.37499999999</v>
      </c>
      <c r="E77" s="55" t="s">
        <v>69</v>
      </c>
      <c r="F77" s="23"/>
      <c r="G77" s="23"/>
      <c r="H77" s="55" t="s">
        <v>70</v>
      </c>
      <c r="I77" s="23"/>
      <c r="J77" s="23"/>
      <c r="K77" s="23"/>
      <c r="L77" s="23"/>
      <c r="M77" s="23"/>
      <c r="N77" s="23"/>
      <c r="O77" s="23"/>
      <c r="P77" s="23"/>
      <c r="Q77" s="37" t="str">
        <f t="shared" si="4"/>
        <v/>
      </c>
      <c r="R77" s="37" t="str">
        <f t="shared" si="6"/>
        <v/>
      </c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>
        <v>1.0</v>
      </c>
      <c r="AP77" s="23">
        <v>1.0</v>
      </c>
      <c r="AQ77" s="23"/>
      <c r="AR77" s="23"/>
      <c r="AS77" s="66">
        <v>0.0</v>
      </c>
      <c r="AT77" s="66">
        <v>2.0</v>
      </c>
      <c r="AU77" s="23"/>
      <c r="AV77" s="23"/>
      <c r="AW77" s="23"/>
      <c r="AX77" s="23"/>
      <c r="AY77" s="23"/>
      <c r="AZ77" s="23"/>
      <c r="BA77" s="23"/>
      <c r="BB77" s="23"/>
      <c r="BC77" s="23">
        <v>1.0</v>
      </c>
      <c r="BD77" s="23">
        <v>2.0</v>
      </c>
      <c r="BE77" s="67"/>
      <c r="BF77" s="23"/>
      <c r="BG77" s="23"/>
      <c r="BH77" s="23"/>
      <c r="BI77" s="37">
        <f>H.Son!H77</f>
        <v>1</v>
      </c>
      <c r="BJ77" s="37">
        <f>H.Son!I77</f>
        <v>1</v>
      </c>
      <c r="BK77" s="23"/>
      <c r="BL77" s="23"/>
      <c r="BM77" s="68"/>
      <c r="BN77" s="43">
        <f>if($F77=$G77,if(and($F77=$G77,I77&lt;&gt;J77),'Thể lệ'!$E$6,if($F77=I77,0,0.5*'Thể lệ'!$E$6)),if(and($F77=I77,$G77=J77),"0",if(($F77-$G77)*(I77-J77)&gt;0,0.5*'Thể lệ'!$E$6,'Thể lệ'!$E$6)))</f>
        <v>0</v>
      </c>
      <c r="BO77" s="29"/>
      <c r="BP77" s="43">
        <f>if($F77=$G77,if(and($F77=$G77,K77&lt;&gt;L77),'Thể lệ'!$E$6,if($F77=K77,0,0.5*'Thể lệ'!$E$6)),if(and($F77=K77,$G77=L77),"0",if(($F77-$G77)*(K77-L77)&gt;0,0.5*'Thể lệ'!$E$6,'Thể lệ'!$E$6)))</f>
        <v>0</v>
      </c>
      <c r="BQ77" s="29"/>
      <c r="BR77" s="43">
        <f>if($F77=$G77,if(and($F77=$G77,M77&lt;&gt;N77),'Thể lệ'!$E$6,if($F77=M77,0,0.5*'Thể lệ'!$E$6)),if(and($F77=M77,$G77=N77),"0",if(($F77-$G77)*(M77-N77)&gt;0,0.5*'Thể lệ'!$E$6,'Thể lệ'!$E$6)))</f>
        <v>0</v>
      </c>
      <c r="BS77" s="29"/>
      <c r="BT77" s="43">
        <f>if($F77=$G77,if(and($F77=$G77,O77&lt;&gt;P77),'Thể lệ'!$E$6,if($F77=O77,0,0.5*'Thể lệ'!$E$6)),if(and($F77=O77,$G77=P77),"0",if(($F77-$G77)*(O77-P77)&gt;0,0.5*'Thể lệ'!$E$6,'Thể lệ'!$E$6)))</f>
        <v>0</v>
      </c>
      <c r="BU77" s="29"/>
      <c r="BV77" s="43">
        <f>if($F77=$G77,if(and($F77=$G77,Q77&lt;&gt;R77),'Thể lệ'!$E$6,if($F77=Q77,0,0.5*'Thể lệ'!$E$6)),if(and($F77=Q77,$G77=R77),"0",if(($F77-$G77)*(Q77-R77)&gt;0,0.5*'Thể lệ'!$E$6,'Thể lệ'!$E$6)))</f>
        <v>0</v>
      </c>
      <c r="BW77" s="29"/>
      <c r="BX77" s="43">
        <f>if($F77=$G77,if(and($F77=$G77,S77&lt;&gt;T77),'Thể lệ'!$E$6,if($F77=S77,0,0.5*'Thể lệ'!$E$6)),if(and($F77=S77,$G77=T77),"0",if(($F77-$G77)*(S77-T77)&gt;0,0.5*'Thể lệ'!$E$6,'Thể lệ'!$E$6)))</f>
        <v>0</v>
      </c>
      <c r="BY77" s="29"/>
      <c r="BZ77" s="43">
        <f>if($F77=$G77,if(and($F77=$G77,U77&lt;&gt;V77),'Thể lệ'!$E$6,if($F77=U77,0,0.5*'Thể lệ'!$E$6)),if(and($F77=U77,$G77=V77),"0",if(($F77-$G77)*(U77-V77)&gt;0,0.5*'Thể lệ'!$E$6,'Thể lệ'!$E$6)))</f>
        <v>0</v>
      </c>
      <c r="CA77" s="29"/>
      <c r="CB77" s="43">
        <f>if($F77=$G77,if(and($F77=$G77,W77&lt;&gt;X77),'Thể lệ'!$E$6,if($F77=W77,0,0.5*'Thể lệ'!$E$6)),if(and($F77=W77,$G77=X77),"0",if(($F77-$G77)*(W77-X77)&gt;0,0.5*'Thể lệ'!$E$6,'Thể lệ'!$E$6)))</f>
        <v>0</v>
      </c>
      <c r="CC77" s="29"/>
      <c r="CD77" s="43">
        <f>if($F77=$G77,if(and($F77=$G77,Y77&lt;&gt;Z77),'Thể lệ'!$E$6,if($F77=Y77,0,0.5*'Thể lệ'!$E$6)),if(and($F77=Y77,$G77=Z77),"0",if(($F77-$G77)*(Y77-Z77)&gt;0,0.5*'Thể lệ'!$E$6,'Thể lệ'!$E$6)))</f>
        <v>0</v>
      </c>
      <c r="CE77" s="29"/>
      <c r="CF77" s="43">
        <f>if($F77=$G77,if(and($F77=$G77,AA77&lt;&gt;AB77),'Thể lệ'!$E$6,if($F77=AA77,0,0.5*'Thể lệ'!$E$6)),if(and($F77=AA77,$G77=AB77),"0",if(($F77-$G77)*(AA77-AB77)&gt;0,0.5*'Thể lệ'!$E$6,'Thể lệ'!$E$6)))</f>
        <v>0</v>
      </c>
      <c r="CG77" s="29"/>
      <c r="CH77" s="43">
        <f>if($F77=$G77,if(and($F77=$G77,AC77&lt;&gt;AD77),'Thể lệ'!$E$6,if($F77=AC77,0,0.5*'Thể lệ'!$E$6)),if(and($F77=AC77,$G77=AD77),"0",if(($F77-$G77)*(AC77-AD77)&gt;0,0.5*'Thể lệ'!$E$6,'Thể lệ'!$E$6)))</f>
        <v>0</v>
      </c>
      <c r="CI77" s="29"/>
      <c r="CJ77" s="43">
        <f>if($F77=$G77,if(and($F77=$G77,AE77&lt;&gt;AF77),'Thể lệ'!$E$6,if($F77=AE77,0,0.5*'Thể lệ'!$E$6)),if(and($F77=AE77,$G77=AF77),"0",if(($F77-$G77)*(AE77-AF77)&gt;0,0.5*'Thể lệ'!$E$6,'Thể lệ'!$E$6)))</f>
        <v>0</v>
      </c>
      <c r="CK77" s="29"/>
      <c r="CL77" s="43">
        <f>if($F77=$G77,if(and($F77=$G77,AG77&lt;&gt;AH77),'Thể lệ'!$E$6,if($F77=AG77,0,0.5*'Thể lệ'!$E$6)),if(and($F77=AG77,$G77=AH77),"0",if(($F77-$G77)*(AG77-AH77)&gt;0,0.5*'Thể lệ'!$E$6,'Thể lệ'!$E$6)))</f>
        <v>0</v>
      </c>
      <c r="CM77" s="29"/>
      <c r="CN77" s="43">
        <f>if($F77=$G77,if(and($F77=$G77,AI77&lt;&gt;AJ77),'Thể lệ'!$E$6,if($F77=AI77,0,0.5*'Thể lệ'!$E$6)),if(and($F77=AI77,$G77=AJ77),"0",if(($F77-$G77)*(AI77-AJ77)&gt;0,0.5*'Thể lệ'!$E$6,'Thể lệ'!$E$6)))</f>
        <v>0</v>
      </c>
      <c r="CO77" s="29"/>
      <c r="CP77" s="43">
        <f>if($F77=$G77,if(and($F77=$G77,AK77&lt;&gt;AL77),'Thể lệ'!$E$6,if($F77=AK77,0,0.5*'Thể lệ'!$E$6)),if(and($F77=AK77,$G77=AL77),"0",if(($F77-$G77)*(AK77-AL77)&gt;0,0.5*'Thể lệ'!$E$6,'Thể lệ'!$E$6)))</f>
        <v>0</v>
      </c>
      <c r="CQ77" s="29"/>
      <c r="CR77" s="43">
        <f>if($F77=$G77,if(and($F77=$G77,AM77&lt;&gt;AN77),'Thể lệ'!$E$6,if($F77=AM77,0,0.5*'Thể lệ'!$E$6)),if(and($F77=AM77,$G77=AN77),"0",if(($F77-$G77)*(AM77-AN77)&gt;0,0.5*'Thể lệ'!$E$6,'Thể lệ'!$E$6)))</f>
        <v>0</v>
      </c>
      <c r="CS77" s="29"/>
      <c r="CT77" s="44">
        <f>if($F77=$G77,if(and($F77=$G77,AO77&lt;&gt;AP77),'Thể lệ'!$E$6,if($F77=AO77,0,0.5*'Thể lệ'!$E$6)),if(and($F77=AO77,$G77=AP77),"0",if(($F77-$G77)*(AO77-AP77)&gt;0,0.5*'Thể lệ'!$E$6,'Thể lệ'!$E$6)))</f>
        <v>5000</v>
      </c>
      <c r="CU77" s="29"/>
      <c r="CV77" s="43">
        <f>if($F77=$G77,if(and($F77=$G77,AQ77&lt;&gt;AR77),'Thể lệ'!$E$6,if($F77=AQ77,0,0.5*'Thể lệ'!$E$6)),if(and($F77=AQ77,$G77=AR77),"0",if(($F77-$G77)*(AQ77-AR77)&gt;0,0.5*'Thể lệ'!$E$6,'Thể lệ'!$E$6)))</f>
        <v>0</v>
      </c>
      <c r="CW77" s="29"/>
      <c r="CX77" s="44">
        <f>if($F77=$G77,if(and($F77=$G77,AS77&lt;&gt;AT77),'Thể lệ'!$E$6,if($F77=AS77,0,0.5*'Thể lệ'!$E$6)),if(and($F77=AS77,$G77=AT77),"0",if(($F77-$G77)*(AS77-AT77)&gt;0,0.5*'Thể lệ'!$E$6,'Thể lệ'!$E$6)))</f>
        <v>10000</v>
      </c>
      <c r="CY77" s="29"/>
      <c r="CZ77" s="43">
        <f>if($F77=$G77,if(and($F77=$G77,AU77&lt;&gt;AV77),'Thể lệ'!$E$6,if($F77=AU77,0,0.5*'Thể lệ'!$E$6)),if(and($F77=AU77,$G77=AV77),"0",if(($F77-$G77)*(AU77-AV77)&gt;0,0.5*'Thể lệ'!$E$6,'Thể lệ'!$E$6)))</f>
        <v>0</v>
      </c>
      <c r="DA77" s="29"/>
      <c r="DB77" s="43">
        <f>if($F77=$G77,if(and($F77=$G77,AW77&lt;&gt;AX77),'Thể lệ'!$E$6,if($F77=AW77,0,0.5*'Thể lệ'!$E$6)),if(and($F77=AW77,$G77=AX77),"0",if(($F77-$G77)*(AW77-AX77)&gt;0,0.5*'Thể lệ'!$E$6,'Thể lệ'!$E$6)))</f>
        <v>0</v>
      </c>
      <c r="DC77" s="69"/>
      <c r="DD77" s="43">
        <f>if($F77=$G77,if(and($F77=$G77,AY77&lt;&gt;AZ77),'Thể lệ'!$E$6,if($F77=AY77,0,0.5*'Thể lệ'!$E$6)),if(and($F77=AY77,$G77=AZ77),"0",if(($F77-$G77)*(AY77-AZ77)&gt;0,0.5*'Thể lệ'!$E$6,'Thể lệ'!$E$6)))</f>
        <v>0</v>
      </c>
      <c r="DE77" s="69"/>
      <c r="DF77" s="43">
        <f>if($F77=$G77,if(and($F77=$G77,BA77&lt;&gt;BB77),'Thể lệ'!$E$6,if($F77=BA77,0,0.5*'Thể lệ'!$E$6)),if(and($F77=BA77,$G77=BB77),"0",if(($F77-$G77)*(BA77-BB77)&gt;0,0.5*'Thể lệ'!$E$6,'Thể lệ'!$E$6)))</f>
        <v>0</v>
      </c>
      <c r="DG77" s="69"/>
      <c r="DH77" s="44">
        <f>if($F77=$G77,if(and($F77=$G77,BC77&lt;&gt;BD77),'Thể lệ'!$E$6,if($F77=BC77,0,0.5*'Thể lệ'!$E$6)),if(and($F77=BC77,$G77=BD77),"0",if(($F77-$G77)*(BC77-BD77)&gt;0,0.5*'Thể lệ'!$E$6,'Thể lệ'!$E$6)))</f>
        <v>10000</v>
      </c>
      <c r="DI77" s="69"/>
      <c r="DJ77" s="43">
        <f>if($F77=$G77,if(and($F77=$G77,BE77&lt;&gt;BF77),'Thể lệ'!$E$6,if($F77=BE77,0,0.5*'Thể lệ'!$E$6)),if(and($F77=BE77,$G77=BF77),"0",if(($F77-$G77)*(BE77-BF77)&gt;0,0.5*'Thể lệ'!$E$6,'Thể lệ'!$E$6)))</f>
        <v>0</v>
      </c>
      <c r="DK77" s="69"/>
      <c r="DL77" s="43">
        <f>if($F77=$G77,if(and($F77=$G77,BG77&lt;&gt;BH77),'Thể lệ'!$E$6,if($F77=BG77,0,0.5*'Thể lệ'!$E$6)),if(and($F77=BG77,$G77=BH77),"0",if(($F77-$G77)*(BG77-BH77)&gt;0,0.5*'Thể lệ'!$E$6,'Thể lệ'!$E$6)))</f>
        <v>0</v>
      </c>
      <c r="DM77" s="69"/>
      <c r="DN77" s="44">
        <f>if($F77=$G77,if(and($F77=$G77,BI77&lt;&gt;BJ77),'Thể lệ'!$E$6,if($F77=BI77,0,0.5*'Thể lệ'!$E$6)),if(and($F77=BI77,$G77=BJ77),"0",if(($F77-$G77)*(BI77-BJ77)&gt;0,0.5*'Thể lệ'!$E$6,'Thể lệ'!$E$6)))</f>
        <v>5000</v>
      </c>
      <c r="DO77" s="69"/>
      <c r="DP77" s="69"/>
    </row>
    <row r="78">
      <c r="A78" s="63"/>
      <c r="B78" s="22">
        <v>72.0</v>
      </c>
      <c r="C78" s="64">
        <v>46201.37499999999</v>
      </c>
      <c r="D78" s="65">
        <v>46201.37499999999</v>
      </c>
      <c r="E78" s="55" t="s">
        <v>71</v>
      </c>
      <c r="F78" s="23"/>
      <c r="G78" s="23"/>
      <c r="H78" s="55" t="s">
        <v>68</v>
      </c>
      <c r="I78" s="23"/>
      <c r="J78" s="23"/>
      <c r="K78" s="23"/>
      <c r="L78" s="23"/>
      <c r="M78" s="23"/>
      <c r="N78" s="23"/>
      <c r="O78" s="23"/>
      <c r="P78" s="23"/>
      <c r="Q78" s="37" t="str">
        <f t="shared" si="4"/>
        <v/>
      </c>
      <c r="R78" s="37" t="str">
        <f t="shared" si="6"/>
        <v/>
      </c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>
        <v>1.0</v>
      </c>
      <c r="AP78" s="23">
        <v>2.0</v>
      </c>
      <c r="AQ78" s="23"/>
      <c r="AR78" s="23"/>
      <c r="AS78" s="66">
        <v>0.0</v>
      </c>
      <c r="AT78" s="66">
        <v>3.0</v>
      </c>
      <c r="AU78" s="23"/>
      <c r="AV78" s="23"/>
      <c r="AW78" s="23"/>
      <c r="AX78" s="23"/>
      <c r="AY78" s="23"/>
      <c r="AZ78" s="23"/>
      <c r="BA78" s="23"/>
      <c r="BB78" s="23"/>
      <c r="BC78" s="23">
        <v>0.0</v>
      </c>
      <c r="BD78" s="23">
        <v>4.0</v>
      </c>
      <c r="BE78" s="67"/>
      <c r="BF78" s="23"/>
      <c r="BG78" s="23"/>
      <c r="BH78" s="23"/>
      <c r="BI78" s="37">
        <f>H.Son!H78</f>
        <v>0</v>
      </c>
      <c r="BJ78" s="37">
        <f>H.Son!I78</f>
        <v>3</v>
      </c>
      <c r="BK78" s="23"/>
      <c r="BL78" s="23"/>
      <c r="BM78" s="68"/>
      <c r="BN78" s="43">
        <f>if($F78=$G78,if(and($F78=$G78,I78&lt;&gt;J78),'Thể lệ'!$E$6,if($F78=I78,0,0.5*'Thể lệ'!$E$6)),if(and($F78=I78,$G78=J78),"0",if(($F78-$G78)*(I78-J78)&gt;0,0.5*'Thể lệ'!$E$6,'Thể lệ'!$E$6)))</f>
        <v>0</v>
      </c>
      <c r="BO78" s="29"/>
      <c r="BP78" s="43">
        <f>if($F78=$G78,if(and($F78=$G78,K78&lt;&gt;L78),'Thể lệ'!$E$6,if($F78=K78,0,0.5*'Thể lệ'!$E$6)),if(and($F78=K78,$G78=L78),"0",if(($F78-$G78)*(K78-L78)&gt;0,0.5*'Thể lệ'!$E$6,'Thể lệ'!$E$6)))</f>
        <v>0</v>
      </c>
      <c r="BQ78" s="29"/>
      <c r="BR78" s="43">
        <f>if($F78=$G78,if(and($F78=$G78,M78&lt;&gt;N78),'Thể lệ'!$E$6,if($F78=M78,0,0.5*'Thể lệ'!$E$6)),if(and($F78=M78,$G78=N78),"0",if(($F78-$G78)*(M78-N78)&gt;0,0.5*'Thể lệ'!$E$6,'Thể lệ'!$E$6)))</f>
        <v>0</v>
      </c>
      <c r="BS78" s="29"/>
      <c r="BT78" s="43">
        <f>if($F78=$G78,if(and($F78=$G78,O78&lt;&gt;P78),'Thể lệ'!$E$6,if($F78=O78,0,0.5*'Thể lệ'!$E$6)),if(and($F78=O78,$G78=P78),"0",if(($F78-$G78)*(O78-P78)&gt;0,0.5*'Thể lệ'!$E$6,'Thể lệ'!$E$6)))</f>
        <v>0</v>
      </c>
      <c r="BU78" s="29"/>
      <c r="BV78" s="43">
        <f>if($F78=$G78,if(and($F78=$G78,Q78&lt;&gt;R78),'Thể lệ'!$E$6,if($F78=Q78,0,0.5*'Thể lệ'!$E$6)),if(and($F78=Q78,$G78=R78),"0",if(($F78-$G78)*(Q78-R78)&gt;0,0.5*'Thể lệ'!$E$6,'Thể lệ'!$E$6)))</f>
        <v>0</v>
      </c>
      <c r="BW78" s="29"/>
      <c r="BX78" s="43">
        <f>if($F78=$G78,if(and($F78=$G78,S78&lt;&gt;T78),'Thể lệ'!$E$6,if($F78=S78,0,0.5*'Thể lệ'!$E$6)),if(and($F78=S78,$G78=T78),"0",if(($F78-$G78)*(S78-T78)&gt;0,0.5*'Thể lệ'!$E$6,'Thể lệ'!$E$6)))</f>
        <v>0</v>
      </c>
      <c r="BY78" s="29"/>
      <c r="BZ78" s="43">
        <f>if($F78=$G78,if(and($F78=$G78,U78&lt;&gt;V78),'Thể lệ'!$E$6,if($F78=U78,0,0.5*'Thể lệ'!$E$6)),if(and($F78=U78,$G78=V78),"0",if(($F78-$G78)*(U78-V78)&gt;0,0.5*'Thể lệ'!$E$6,'Thể lệ'!$E$6)))</f>
        <v>0</v>
      </c>
      <c r="CA78" s="29"/>
      <c r="CB78" s="43">
        <f>if($F78=$G78,if(and($F78=$G78,W78&lt;&gt;X78),'Thể lệ'!$E$6,if($F78=W78,0,0.5*'Thể lệ'!$E$6)),if(and($F78=W78,$G78=X78),"0",if(($F78-$G78)*(W78-X78)&gt;0,0.5*'Thể lệ'!$E$6,'Thể lệ'!$E$6)))</f>
        <v>0</v>
      </c>
      <c r="CC78" s="29"/>
      <c r="CD78" s="43">
        <f>if($F78=$G78,if(and($F78=$G78,Y78&lt;&gt;Z78),'Thể lệ'!$E$6,if($F78=Y78,0,0.5*'Thể lệ'!$E$6)),if(and($F78=Y78,$G78=Z78),"0",if(($F78-$G78)*(Y78-Z78)&gt;0,0.5*'Thể lệ'!$E$6,'Thể lệ'!$E$6)))</f>
        <v>0</v>
      </c>
      <c r="CE78" s="29"/>
      <c r="CF78" s="43">
        <f>if($F78=$G78,if(and($F78=$G78,AA78&lt;&gt;AB78),'Thể lệ'!$E$6,if($F78=AA78,0,0.5*'Thể lệ'!$E$6)),if(and($F78=AA78,$G78=AB78),"0",if(($F78-$G78)*(AA78-AB78)&gt;0,0.5*'Thể lệ'!$E$6,'Thể lệ'!$E$6)))</f>
        <v>0</v>
      </c>
      <c r="CG78" s="29"/>
      <c r="CH78" s="43">
        <f>if($F78=$G78,if(and($F78=$G78,AC78&lt;&gt;AD78),'Thể lệ'!$E$6,if($F78=AC78,0,0.5*'Thể lệ'!$E$6)),if(and($F78=AC78,$G78=AD78),"0",if(($F78-$G78)*(AC78-AD78)&gt;0,0.5*'Thể lệ'!$E$6,'Thể lệ'!$E$6)))</f>
        <v>0</v>
      </c>
      <c r="CI78" s="29"/>
      <c r="CJ78" s="43">
        <f>if($F78=$G78,if(and($F78=$G78,AE78&lt;&gt;AF78),'Thể lệ'!$E$6,if($F78=AE78,0,0.5*'Thể lệ'!$E$6)),if(and($F78=AE78,$G78=AF78),"0",if(($F78-$G78)*(AE78-AF78)&gt;0,0.5*'Thể lệ'!$E$6,'Thể lệ'!$E$6)))</f>
        <v>0</v>
      </c>
      <c r="CK78" s="29"/>
      <c r="CL78" s="43">
        <f>if($F78=$G78,if(and($F78=$G78,AG78&lt;&gt;AH78),'Thể lệ'!$E$6,if($F78=AG78,0,0.5*'Thể lệ'!$E$6)),if(and($F78=AG78,$G78=AH78),"0",if(($F78-$G78)*(AG78-AH78)&gt;0,0.5*'Thể lệ'!$E$6,'Thể lệ'!$E$6)))</f>
        <v>0</v>
      </c>
      <c r="CM78" s="29"/>
      <c r="CN78" s="43">
        <f>if($F78=$G78,if(and($F78=$G78,AI78&lt;&gt;AJ78),'Thể lệ'!$E$6,if($F78=AI78,0,0.5*'Thể lệ'!$E$6)),if(and($F78=AI78,$G78=AJ78),"0",if(($F78-$G78)*(AI78-AJ78)&gt;0,0.5*'Thể lệ'!$E$6,'Thể lệ'!$E$6)))</f>
        <v>0</v>
      </c>
      <c r="CO78" s="29"/>
      <c r="CP78" s="43">
        <f>if($F78=$G78,if(and($F78=$G78,AK78&lt;&gt;AL78),'Thể lệ'!$E$6,if($F78=AK78,0,0.5*'Thể lệ'!$E$6)),if(and($F78=AK78,$G78=AL78),"0",if(($F78-$G78)*(AK78-AL78)&gt;0,0.5*'Thể lệ'!$E$6,'Thể lệ'!$E$6)))</f>
        <v>0</v>
      </c>
      <c r="CQ78" s="29"/>
      <c r="CR78" s="43">
        <f>if($F78=$G78,if(and($F78=$G78,AM78&lt;&gt;AN78),'Thể lệ'!$E$6,if($F78=AM78,0,0.5*'Thể lệ'!$E$6)),if(and($F78=AM78,$G78=AN78),"0",if(($F78-$G78)*(AM78-AN78)&gt;0,0.5*'Thể lệ'!$E$6,'Thể lệ'!$E$6)))</f>
        <v>0</v>
      </c>
      <c r="CS78" s="29"/>
      <c r="CT78" s="44">
        <f>if($F78=$G78,if(and($F78=$G78,AO78&lt;&gt;AP78),'Thể lệ'!$E$6,if($F78=AO78,0,0.5*'Thể lệ'!$E$6)),if(and($F78=AO78,$G78=AP78),"0",if(($F78-$G78)*(AO78-AP78)&gt;0,0.5*'Thể lệ'!$E$6,'Thể lệ'!$E$6)))</f>
        <v>10000</v>
      </c>
      <c r="CU78" s="29"/>
      <c r="CV78" s="43">
        <f>if($F78=$G78,if(and($F78=$G78,AQ78&lt;&gt;AR78),'Thể lệ'!$E$6,if($F78=AQ78,0,0.5*'Thể lệ'!$E$6)),if(and($F78=AQ78,$G78=AR78),"0",if(($F78-$G78)*(AQ78-AR78)&gt;0,0.5*'Thể lệ'!$E$6,'Thể lệ'!$E$6)))</f>
        <v>0</v>
      </c>
      <c r="CW78" s="29"/>
      <c r="CX78" s="44">
        <f>if($F78=$G78,if(and($F78=$G78,AS78&lt;&gt;AT78),'Thể lệ'!$E$6,if($F78=AS78,0,0.5*'Thể lệ'!$E$6)),if(and($F78=AS78,$G78=AT78),"0",if(($F78-$G78)*(AS78-AT78)&gt;0,0.5*'Thể lệ'!$E$6,'Thể lệ'!$E$6)))</f>
        <v>10000</v>
      </c>
      <c r="CY78" s="29"/>
      <c r="CZ78" s="43">
        <f>if($F78=$G78,if(and($F78=$G78,AU78&lt;&gt;AV78),'Thể lệ'!$E$6,if($F78=AU78,0,0.5*'Thể lệ'!$E$6)),if(and($F78=AU78,$G78=AV78),"0",if(($F78-$G78)*(AU78-AV78)&gt;0,0.5*'Thể lệ'!$E$6,'Thể lệ'!$E$6)))</f>
        <v>0</v>
      </c>
      <c r="DA78" s="29"/>
      <c r="DB78" s="43">
        <f>if($F78=$G78,if(and($F78=$G78,AW78&lt;&gt;AX78),'Thể lệ'!$E$6,if($F78=AW78,0,0.5*'Thể lệ'!$E$6)),if(and($F78=AW78,$G78=AX78),"0",if(($F78-$G78)*(AW78-AX78)&gt;0,0.5*'Thể lệ'!$E$6,'Thể lệ'!$E$6)))</f>
        <v>0</v>
      </c>
      <c r="DC78" s="69"/>
      <c r="DD78" s="43">
        <f>if($F78=$G78,if(and($F78=$G78,AY78&lt;&gt;AZ78),'Thể lệ'!$E$6,if($F78=AY78,0,0.5*'Thể lệ'!$E$6)),if(and($F78=AY78,$G78=AZ78),"0",if(($F78-$G78)*(AY78-AZ78)&gt;0,0.5*'Thể lệ'!$E$6,'Thể lệ'!$E$6)))</f>
        <v>0</v>
      </c>
      <c r="DE78" s="69"/>
      <c r="DF78" s="43">
        <f>if($F78=$G78,if(and($F78=$G78,BA78&lt;&gt;BB78),'Thể lệ'!$E$6,if($F78=BA78,0,0.5*'Thể lệ'!$E$6)),if(and($F78=BA78,$G78=BB78),"0",if(($F78-$G78)*(BA78-BB78)&gt;0,0.5*'Thể lệ'!$E$6,'Thể lệ'!$E$6)))</f>
        <v>0</v>
      </c>
      <c r="DG78" s="69"/>
      <c r="DH78" s="44">
        <f>if($F78=$G78,if(and($F78=$G78,BC78&lt;&gt;BD78),'Thể lệ'!$E$6,if($F78=BC78,0,0.5*'Thể lệ'!$E$6)),if(and($F78=BC78,$G78=BD78),"0",if(($F78-$G78)*(BC78-BD78)&gt;0,0.5*'Thể lệ'!$E$6,'Thể lệ'!$E$6)))</f>
        <v>10000</v>
      </c>
      <c r="DI78" s="69"/>
      <c r="DJ78" s="43">
        <f>if($F78=$G78,if(and($F78=$G78,BE78&lt;&gt;BF78),'Thể lệ'!$E$6,if($F78=BE78,0,0.5*'Thể lệ'!$E$6)),if(and($F78=BE78,$G78=BF78),"0",if(($F78-$G78)*(BE78-BF78)&gt;0,0.5*'Thể lệ'!$E$6,'Thể lệ'!$E$6)))</f>
        <v>0</v>
      </c>
      <c r="DK78" s="69"/>
      <c r="DL78" s="43">
        <f>if($F78=$G78,if(and($F78=$G78,BG78&lt;&gt;BH78),'Thể lệ'!$E$6,if($F78=BG78,0,0.5*'Thể lệ'!$E$6)),if(and($F78=BG78,$G78=BH78),"0",if(($F78-$G78)*(BG78-BH78)&gt;0,0.5*'Thể lệ'!$E$6,'Thể lệ'!$E$6)))</f>
        <v>0</v>
      </c>
      <c r="DM78" s="69"/>
      <c r="DN78" s="44">
        <f>if($F78=$G78,if(and($F78=$G78,BI78&lt;&gt;BJ78),'Thể lệ'!$E$6,if($F78=BI78,0,0.5*'Thể lệ'!$E$6)),if(and($F78=BI78,$G78=BJ78),"0",if(($F78-$G78)*(BI78-BJ78)&gt;0,0.5*'Thể lệ'!$E$6,'Thể lệ'!$E$6)))</f>
        <v>10000</v>
      </c>
      <c r="DO78" s="69"/>
      <c r="DP78" s="69"/>
    </row>
    <row r="79">
      <c r="A79" s="63"/>
      <c r="B79" s="22"/>
      <c r="C79" s="70" t="s">
        <v>80</v>
      </c>
      <c r="D79" s="65"/>
      <c r="E79" s="55"/>
      <c r="F79" s="23"/>
      <c r="G79" s="23"/>
      <c r="H79" s="55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67"/>
      <c r="BF79" s="23"/>
      <c r="BG79" s="23"/>
      <c r="BH79" s="23"/>
      <c r="BI79" s="37" t="str">
        <f>H.Son!H79</f>
        <v/>
      </c>
      <c r="BJ79" s="37" t="str">
        <f>H.Son!I79</f>
        <v/>
      </c>
      <c r="BK79" s="23"/>
      <c r="BL79" s="23"/>
      <c r="BM79" s="68"/>
      <c r="BN79" s="29">
        <f>if($F79=$G79,if(and($F79=$G79,I79&lt;&gt;J79),'Thể lệ'!$E$11,if($F79=I79,0,0.5*'Thể lệ'!$E$11)),if(and($F79=I79,$G79=J79),"0",if(($F79-$G79)*(I79-J79)&gt;0,0.5*'Thể lệ'!$E$11,'Thể lệ'!$E$11)))</f>
        <v>0</v>
      </c>
      <c r="BO79" s="29"/>
      <c r="BP79" s="29">
        <f>if($F79=$G79,if(and($F79=$G79,K79&lt;&gt;L79),'Thể lệ'!$E$11,if($F79=K79,0,0.5*'Thể lệ'!$E$11)),if(and($F79=K79,$G79=L79),"0",if(($F79-$G79)*(K79-L79)&gt;0,0.5*'Thể lệ'!$E$11,'Thể lệ'!$E$11)))</f>
        <v>0</v>
      </c>
      <c r="BQ79" s="29"/>
      <c r="BR79" s="29">
        <f>if($F79=$G79,if(and($F79=$G79,M79&lt;&gt;N79),'Thể lệ'!$E$11,if($F79=M79,0,0.5*'Thể lệ'!$E$11)),if(and($F79=M79,$G79=N79),"0",if(($F79-$G79)*(M79-N79)&gt;0,0.5*'Thể lệ'!$E$11,'Thể lệ'!$E$11)))</f>
        <v>0</v>
      </c>
      <c r="BS79" s="29"/>
      <c r="BT79" s="29">
        <f>if($F79=$G79,if(and($F79=$G79,O79&lt;&gt;P79),'Thể lệ'!$E$11,if($F79=O79,0,0.5*'Thể lệ'!$E$11)),if(and($F79=O79,$G79=P79),"0",if(($F79-$G79)*(O79-P79)&gt;0,0.5*'Thể lệ'!$E$11,'Thể lệ'!$E$11)))</f>
        <v>0</v>
      </c>
      <c r="BU79" s="29"/>
      <c r="BV79" s="29">
        <f>if($F79=$G79,if(and($F79=$G79,Q79&lt;&gt;R79),'Thể lệ'!$E$11,if($F79=Q79,0,0.5*'Thể lệ'!$E$11)),if(and($F79=Q79,$G79=R79),"0",if(($F79-$G79)*(Q79-R79)&gt;0,0.5*'Thể lệ'!$E$11,'Thể lệ'!$E$11)))</f>
        <v>0</v>
      </c>
      <c r="BW79" s="29"/>
      <c r="BX79" s="29">
        <f>if($F79=$G79,if(and($F79=$G79,S79&lt;&gt;T79),'Thể lệ'!$E$11,if($F79=S79,0,0.5*'Thể lệ'!$E$11)),if(and($F79=S79,$G79=T79),"0",if(($F79-$G79)*(S79-T79)&gt;0,0.5*'Thể lệ'!$E$11,'Thể lệ'!$E$11)))</f>
        <v>0</v>
      </c>
      <c r="BY79" s="29"/>
      <c r="BZ79" s="29">
        <f>if($F79=$G79,if(and($F79=$G79,U79&lt;&gt;V79),'Thể lệ'!$E$11,if($F79=U79,0,0.5*'Thể lệ'!$E$11)),if(and($F79=U79,$G79=V79),"0",if(($F79-$G79)*(U79-V79)&gt;0,0.5*'Thể lệ'!$E$11,'Thể lệ'!$E$11)))</f>
        <v>0</v>
      </c>
      <c r="CA79" s="29"/>
      <c r="CB79" s="29">
        <f>if($F79=$G79,if(and($F79=$G79,W79&lt;&gt;X79),'Thể lệ'!$E$11,if($F79=W79,0,0.5*'Thể lệ'!$E$11)),if(and($F79=W79,$G79=X79),"0",if(($F79-$G79)*(W79-X79)&gt;0,0.5*'Thể lệ'!$E$11,'Thể lệ'!$E$11)))</f>
        <v>0</v>
      </c>
      <c r="CC79" s="29"/>
      <c r="CD79" s="29">
        <f>if($F79=$G79,if(and($F79=$G79,Y79&lt;&gt;Z79),'Thể lệ'!$E$11,if($F79=Y79,0,0.5*'Thể lệ'!$E$11)),if(and($F79=Y79,$G79=Z79),"0",if(($F79-$G79)*(Y79-Z79)&gt;0,0.5*'Thể lệ'!$E$11,'Thể lệ'!$E$11)))</f>
        <v>0</v>
      </c>
      <c r="CE79" s="29"/>
      <c r="CF79" s="29">
        <f>if($F79=$G79,if(and($F79=$G79,AA79&lt;&gt;AB79),'Thể lệ'!$E$11,if($F79=AA79,0,0.5*'Thể lệ'!$E$11)),if(and($F79=AA79,$G79=AB79),"0",if(($F79-$G79)*(AA79-AB79)&gt;0,0.5*'Thể lệ'!$E$11,'Thể lệ'!$E$11)))</f>
        <v>0</v>
      </c>
      <c r="CG79" s="29"/>
      <c r="CH79" s="29">
        <f>if($F79=$G79,if(and($F79=$G79,AC79&lt;&gt;AD79),'Thể lệ'!$E$11,if($F79=AC79,0,0.5*'Thể lệ'!$E$11)),if(and($F79=AC79,$G79=AD79),"0",if(($F79-$G79)*(AC79-AD79)&gt;0,0.5*'Thể lệ'!$E$11,'Thể lệ'!$E$11)))</f>
        <v>0</v>
      </c>
      <c r="CI79" s="29"/>
      <c r="CJ79" s="29">
        <f>if($F79=$G79,if(and($F79=$G79,AE79&lt;&gt;AF79),'Thể lệ'!$E$11,if($F79=AE79,0,0.5*'Thể lệ'!$E$11)),if(and($F79=AE79,$G79=AF79),"0",if(($F79-$G79)*(AE79-AF79)&gt;0,0.5*'Thể lệ'!$E$11,'Thể lệ'!$E$11)))</f>
        <v>0</v>
      </c>
      <c r="CK79" s="29"/>
      <c r="CL79" s="29">
        <f>if($F79=$G79,if(and($F79=$G79,AG79&lt;&gt;AH79),'Thể lệ'!$E$11,if($F79=AG79,0,0.5*'Thể lệ'!$E$11)),if(and($F79=AG79,$G79=AH79),"0",if(($F79-$G79)*(AG79-AH79)&gt;0,0.5*'Thể lệ'!$E$11,'Thể lệ'!$E$11)))</f>
        <v>0</v>
      </c>
      <c r="CM79" s="29"/>
      <c r="CN79" s="29">
        <f>if($F79=$G79,if(and($F79=$G79,AI79&lt;&gt;AJ79),'Thể lệ'!$E$11,if($F79=AI79,0,0.5*'Thể lệ'!$E$11)),if(and($F79=AI79,$G79=AJ79),"0",if(($F79-$G79)*(AI79-AJ79)&gt;0,0.5*'Thể lệ'!$E$11,'Thể lệ'!$E$11)))</f>
        <v>0</v>
      </c>
      <c r="CO79" s="29"/>
      <c r="CP79" s="29">
        <f>if($F79=$G79,if(and($F79=$G79,AK79&lt;&gt;AL79),'Thể lệ'!$E$11,if($F79=AK79,0,0.5*'Thể lệ'!$E$11)),if(and($F79=AK79,$G79=AL79),"0",if(($F79-$G79)*(AK79-AL79)&gt;0,0.5*'Thể lệ'!$E$11,'Thể lệ'!$E$11)))</f>
        <v>0</v>
      </c>
      <c r="CQ79" s="29"/>
      <c r="CR79" s="29">
        <f>if($F79=$G79,if(and($F79=$G79,AM79&lt;&gt;AN79),'Thể lệ'!$E$11,if($F79=AM79,0,0.5*'Thể lệ'!$E$11)),if(and($F79=AM79,$G79=AN79),"0",if(($F79-$G79)*(AM79-AN79)&gt;0,0.5*'Thể lệ'!$E$11,'Thể lệ'!$E$11)))</f>
        <v>0</v>
      </c>
      <c r="CS79" s="29"/>
      <c r="CT79" s="29">
        <f>if($F79=$G79,if(and($F79=$G79,AO79&lt;&gt;AP79),'Thể lệ'!$E$11,if($F79=AO79,0,0.5*'Thể lệ'!$E$11)),if(and($F79=AO79,$G79=AP79),"0",if(($F79-$G79)*(AO79-AP79)&gt;0,0.5*'Thể lệ'!$E$11,'Thể lệ'!$E$11)))</f>
        <v>0</v>
      </c>
      <c r="CU79" s="29"/>
      <c r="CV79" s="29">
        <f>if($F79=$G79,if(and($F79=$G79,AQ79&lt;&gt;AR79),'Thể lệ'!$E$11,if($F79=AQ79,0,0.5*'Thể lệ'!$E$11)),if(and($F79=AQ79,$G79=AR79),"0",if(($F79-$G79)*(AQ79-AR79)&gt;0,0.5*'Thể lệ'!$E$11,'Thể lệ'!$E$11)))</f>
        <v>0</v>
      </c>
      <c r="CW79" s="29"/>
      <c r="CX79" s="29">
        <f>if($F79=$G79,if(and($F79=$G79,AS79&lt;&gt;AT79),'Thể lệ'!$E$11,if($F79=AS79,0,0.5*'Thể lệ'!$E$11)),if(and($F79=AS79,$G79=AT79),"0",if(($F79-$G79)*(AS79-AT79)&gt;0,0.5*'Thể lệ'!$E$11,'Thể lệ'!$E$11)))</f>
        <v>0</v>
      </c>
      <c r="CY79" s="29"/>
      <c r="CZ79" s="29">
        <f>if($F79=$G79,if(and($F79=$G79,AU79&lt;&gt;AV79),'Thể lệ'!$E$11,if($F79=AU79,0,0.5*'Thể lệ'!$E$11)),if(and($F79=AU79,$G79=AV79),"0",if(($F79-$G79)*(AU79-AV79)&gt;0,0.5*'Thể lệ'!$E$11,'Thể lệ'!$E$11)))</f>
        <v>0</v>
      </c>
      <c r="DA79" s="29"/>
      <c r="DB79" s="29">
        <f>if($F79=$G79,if(and($F79=$G79,AW79&lt;&gt;AX79),'Thể lệ'!$E$11,if($F79=AW79,0,0.5*'Thể lệ'!$E$11)),if(and($F79=AW79,$G79=AX79),"0",if(($F79-$G79)*(AW79-AX79)&gt;0,0.5*'Thể lệ'!$E$11,'Thể lệ'!$E$11)))</f>
        <v>0</v>
      </c>
      <c r="DC79" s="69"/>
      <c r="DD79" s="29">
        <f>if($F79=$G79,if(and($F79=$G79,AY79&lt;&gt;AZ79),'Thể lệ'!$E$11,if($F79=AY79,0,0.5*'Thể lệ'!$E$11)),if(and($F79=AY79,$G79=AZ79),"0",if(($F79-$G79)*(AY79-AZ79)&gt;0,0.5*'Thể lệ'!$E$11,'Thể lệ'!$E$11)))</f>
        <v>0</v>
      </c>
      <c r="DE79" s="69"/>
      <c r="DF79" s="29">
        <f>if($F79=$G79,if(and($F79=$G79,BA79&lt;&gt;BB79),'Thể lệ'!$E$11,if($F79=BA79,0,0.5*'Thể lệ'!$E$11)),if(and($F79=BA79,$G79=BB79),"0",if(($F79-$G79)*(BA79-BB79)&gt;0,0.5*'Thể lệ'!$E$11,'Thể lệ'!$E$11)))</f>
        <v>0</v>
      </c>
      <c r="DG79" s="69"/>
      <c r="DH79" s="29">
        <f>if($F79=$G79,if(and($F79=$G79,BC79&lt;&gt;BD79),'Thể lệ'!$E$11,if($F79=BC79,0,0.5*'Thể lệ'!$E$11)),if(and($F79=BC79,$G79=BD79),"0",if(($F79-$G79)*(BC79-BD79)&gt;0,0.5*'Thể lệ'!$E$11,'Thể lệ'!$E$11)))</f>
        <v>0</v>
      </c>
      <c r="DI79" s="69"/>
      <c r="DJ79" s="29">
        <f>if($F79=$G79,if(and($F79=$G79,BE79&lt;&gt;BF79),'Thể lệ'!$E$11,if($F79=BE79,0,0.5*'Thể lệ'!$E$11)),if(and($F79=BE79,$G79=BF79),"0",if(($F79-$G79)*(BE79-BF79)&gt;0,0.5*'Thể lệ'!$E$11,'Thể lệ'!$E$11)))</f>
        <v>0</v>
      </c>
      <c r="DK79" s="69"/>
      <c r="DL79" s="29">
        <f>if($F79=$G79,if(and($F79=$G79,BG79&lt;&gt;BH79),'Thể lệ'!$E$11,if($F79=BG79,0,0.5*'Thể lệ'!$E$11)),if(and($F79=BG79,$G79=BH79),"0",if(($F79-$G79)*(BG79-BH79)&gt;0,0.5*'Thể lệ'!$E$11,'Thể lệ'!$E$11)))</f>
        <v>0</v>
      </c>
      <c r="DM79" s="69"/>
      <c r="DN79" s="29">
        <f>if($F79=$G79,if(and($F79=$G79,BI79&lt;&gt;BJ79),'Thể lệ'!$E$11,if($F79=BI79,0,0.5*'Thể lệ'!$E$11)),if(and($F79=BI79,$G79=BJ79),"0",if(($F79-$G79)*(BI79-BJ79)&gt;0,0.5*'Thể lệ'!$E$11,'Thể lệ'!$E$11)))</f>
        <v>0</v>
      </c>
      <c r="DO79" s="69"/>
      <c r="DP79" s="69"/>
    </row>
    <row r="80">
      <c r="A80" s="63"/>
      <c r="B80" s="71">
        <v>73.0</v>
      </c>
      <c r="C80" s="64">
        <v>46202.08333333333</v>
      </c>
      <c r="D80" s="65">
        <v>46202.08333333333</v>
      </c>
      <c r="E80" s="55" t="s">
        <v>81</v>
      </c>
      <c r="F80" s="23"/>
      <c r="G80" s="23"/>
      <c r="H80" s="55" t="s">
        <v>81</v>
      </c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67"/>
      <c r="BF80" s="23"/>
      <c r="BG80" s="23"/>
      <c r="BH80" s="23"/>
      <c r="BI80" s="37">
        <f>H.Son!H80</f>
        <v>1</v>
      </c>
      <c r="BJ80" s="37">
        <f>H.Son!I80</f>
        <v>1</v>
      </c>
      <c r="BK80" s="23"/>
      <c r="BL80" s="23"/>
      <c r="BM80" s="68"/>
      <c r="BN80" s="29">
        <f>if($F80=$G80,if(and($F80=$G80,I80&lt;&gt;J80),'Thể lệ'!$E$7,if($F80=I80,0,0.5*'Thể lệ'!$E$7)),if(and($F80=I80,$G80=J80),"0",if(($F80-$G80)*(I80-J80)&gt;0,0.5*'Thể lệ'!$E$7,'Thể lệ'!$E$7)))</f>
        <v>0</v>
      </c>
      <c r="BO80" s="29"/>
      <c r="BP80" s="29">
        <f>if($F80=$G80,if(and($F80=$G80,K80&lt;&gt;L80),'Thể lệ'!$E$7,if($F80=K80,0,0.5*'Thể lệ'!$E$7)),if(and($F80=K80,$G80=L80),"0",if(($F80-$G80)*(K80-L80)&gt;0,0.5*'Thể lệ'!$E$7,'Thể lệ'!$E$7)))</f>
        <v>0</v>
      </c>
      <c r="BQ80" s="29"/>
      <c r="BR80" s="29">
        <f>if($F80=$G80,if(and($F80=$G80,M80&lt;&gt;N80),'Thể lệ'!$E$7,if($F80=M80,0,0.5*'Thể lệ'!$E$7)),if(and($F80=M80,$G80=N80),"0",if(($F80-$G80)*(M80-N80)&gt;0,0.5*'Thể lệ'!$E$7,'Thể lệ'!$E$7)))</f>
        <v>0</v>
      </c>
      <c r="BS80" s="29"/>
      <c r="BT80" s="29">
        <f>if($F80=$G80,if(and($F80=$G80,O80&lt;&gt;P80),'Thể lệ'!$E$7,if($F80=O80,0,0.5*'Thể lệ'!$E$7)),if(and($F80=O80,$G80=P80),"0",if(($F80-$G80)*(O80-P80)&gt;0,0.5*'Thể lệ'!$E$7,'Thể lệ'!$E$7)))</f>
        <v>0</v>
      </c>
      <c r="BU80" s="29"/>
      <c r="BV80" s="29">
        <f>if($F80=$G80,if(and($F80=$G80,Q80&lt;&gt;R80),'Thể lệ'!$E$7,if($F80=Q80,0,0.5*'Thể lệ'!$E$7)),if(and($F80=Q80,$G80=R80),"0",if(($F80-$G80)*(Q80-R80)&gt;0,0.5*'Thể lệ'!$E$7,'Thể lệ'!$E$7)))</f>
        <v>0</v>
      </c>
      <c r="BW80" s="29"/>
      <c r="BX80" s="29">
        <f>if($F80=$G80,if(and($F80=$G80,S80&lt;&gt;T80),'Thể lệ'!$E$7,if($F80=S80,0,0.5*'Thể lệ'!$E$7)),if(and($F80=S80,$G80=T80),"0",if(($F80-$G80)*(S80-T80)&gt;0,0.5*'Thể lệ'!$E$7,'Thể lệ'!$E$7)))</f>
        <v>0</v>
      </c>
      <c r="BY80" s="29"/>
      <c r="BZ80" s="29">
        <f>if($F80=$G80,if(and($F80=$G80,U80&lt;&gt;V80),'Thể lệ'!$E$7,if($F80=U80,0,0.5*'Thể lệ'!$E$7)),if(and($F80=U80,$G80=V80),"0",if(($F80-$G80)*(U80-V80)&gt;0,0.5*'Thể lệ'!$E$7,'Thể lệ'!$E$7)))</f>
        <v>0</v>
      </c>
      <c r="CA80" s="29"/>
      <c r="CB80" s="29">
        <f>if($F80=$G80,if(and($F80=$G80,W80&lt;&gt;X80),'Thể lệ'!$E$7,if($F80=W80,0,0.5*'Thể lệ'!$E$7)),if(and($F80=W80,$G80=X80),"0",if(($F80-$G80)*(W80-X80)&gt;0,0.5*'Thể lệ'!$E$7,'Thể lệ'!$E$7)))</f>
        <v>0</v>
      </c>
      <c r="CC80" s="29"/>
      <c r="CD80" s="29">
        <f>if($F80=$G80,if(and($F80=$G80,Y80&lt;&gt;Z80),'Thể lệ'!$E$7,if($F80=Y80,0,0.5*'Thể lệ'!$E$7)),if(and($F80=Y80,$G80=Z80),"0",if(($F80-$G80)*(Y80-Z80)&gt;0,0.5*'Thể lệ'!$E$7,'Thể lệ'!$E$7)))</f>
        <v>0</v>
      </c>
      <c r="CE80" s="29"/>
      <c r="CF80" s="29">
        <f>if($F80=$G80,if(and($F80=$G80,AA80&lt;&gt;AB80),'Thể lệ'!$E$7,if($F80=AA80,0,0.5*'Thể lệ'!$E$7)),if(and($F80=AA80,$G80=AB80),"0",if(($F80-$G80)*(AA80-AB80)&gt;0,0.5*'Thể lệ'!$E$7,'Thể lệ'!$E$7)))</f>
        <v>0</v>
      </c>
      <c r="CG80" s="29"/>
      <c r="CH80" s="29">
        <f>if($F80=$G80,if(and($F80=$G80,AC80&lt;&gt;AD80),'Thể lệ'!$E$7,if($F80=AC80,0,0.5*'Thể lệ'!$E$7)),if(and($F80=AC80,$G80=AD80),"0",if(($F80-$G80)*(AC80-AD80)&gt;0,0.5*'Thể lệ'!$E$7,'Thể lệ'!$E$7)))</f>
        <v>0</v>
      </c>
      <c r="CI80" s="29"/>
      <c r="CJ80" s="29">
        <f>if($F80=$G80,if(and($F80=$G80,AE80&lt;&gt;AF80),'Thể lệ'!$E$7,if($F80=AE80,0,0.5*'Thể lệ'!$E$7)),if(and($F80=AE80,$G80=AF80),"0",if(($F80-$G80)*(AE80-AF80)&gt;0,0.5*'Thể lệ'!$E$7,'Thể lệ'!$E$7)))</f>
        <v>0</v>
      </c>
      <c r="CK80" s="29"/>
      <c r="CL80" s="29">
        <f>if($F80=$G80,if(and($F80=$G80,AG80&lt;&gt;AH80),'Thể lệ'!$E$7,if($F80=AG80,0,0.5*'Thể lệ'!$E$7)),if(and($F80=AG80,$G80=AH80),"0",if(($F80-$G80)*(AG80-AH80)&gt;0,0.5*'Thể lệ'!$E$7,'Thể lệ'!$E$7)))</f>
        <v>0</v>
      </c>
      <c r="CM80" s="29"/>
      <c r="CN80" s="29">
        <f>if($F80=$G80,if(and($F80=$G80,AI80&lt;&gt;AJ80),'Thể lệ'!$E$7,if($F80=AI80,0,0.5*'Thể lệ'!$E$7)),if(and($F80=AI80,$G80=AJ80),"0",if(($F80-$G80)*(AI80-AJ80)&gt;0,0.5*'Thể lệ'!$E$7,'Thể lệ'!$E$7)))</f>
        <v>0</v>
      </c>
      <c r="CO80" s="29"/>
      <c r="CP80" s="29">
        <f>if($F80=$G80,if(and($F80=$G80,AK80&lt;&gt;AL80),'Thể lệ'!$E$7,if($F80=AK80,0,0.5*'Thể lệ'!$E$7)),if(and($F80=AK80,$G80=AL80),"0",if(($F80-$G80)*(AK80-AL80)&gt;0,0.5*'Thể lệ'!$E$7,'Thể lệ'!$E$7)))</f>
        <v>0</v>
      </c>
      <c r="CQ80" s="29"/>
      <c r="CR80" s="29">
        <f>if($F80=$G80,if(and($F80=$G80,AM80&lt;&gt;AN80),'Thể lệ'!$E$7,if($F80=AM80,0,0.5*'Thể lệ'!$E$7)),if(and($F80=AM80,$G80=AN80),"0",if(($F80-$G80)*(AM80-AN80)&gt;0,0.5*'Thể lệ'!$E$7,'Thể lệ'!$E$7)))</f>
        <v>0</v>
      </c>
      <c r="CS80" s="29"/>
      <c r="CT80" s="29">
        <f>if($F80=$G80,if(and($F80=$G80,AO80&lt;&gt;AP80),'Thể lệ'!$E$7,if($F80=AO80,0,0.5*'Thể lệ'!$E$7)),if(and($F80=AO80,$G80=AP80),"0",if(($F80-$G80)*(AO80-AP80)&gt;0,0.5*'Thể lệ'!$E$7,'Thể lệ'!$E$7)))</f>
        <v>0</v>
      </c>
      <c r="CU80" s="29"/>
      <c r="CV80" s="29">
        <f>if($F80=$G80,if(and($F80=$G80,AQ80&lt;&gt;AR80),'Thể lệ'!$E$7,if($F80=AQ80,0,0.5*'Thể lệ'!$E$7)),if(and($F80=AQ80,$G80=AR80),"0",if(($F80-$G80)*(AQ80-AR80)&gt;0,0.5*'Thể lệ'!$E$7,'Thể lệ'!$E$7)))</f>
        <v>0</v>
      </c>
      <c r="CW80" s="29"/>
      <c r="CX80" s="29">
        <f>if($F80=$G80,if(and($F80=$G80,AS80&lt;&gt;AT80),'Thể lệ'!$E$7,if($F80=AS80,0,0.5*'Thể lệ'!$E$7)),if(and($F80=AS80,$G80=AT80),"0",if(($F80-$G80)*(AS80-AT80)&gt;0,0.5*'Thể lệ'!$E$7,'Thể lệ'!$E$7)))</f>
        <v>0</v>
      </c>
      <c r="CY80" s="29"/>
      <c r="CZ80" s="29">
        <f>if($F80=$G80,if(and($F80=$G80,AU80&lt;&gt;AV80),'Thể lệ'!$E$7,if($F80=AU80,0,0.5*'Thể lệ'!$E$7)),if(and($F80=AU80,$G80=AV80),"0",if(($F80-$G80)*(AU80-AV80)&gt;0,0.5*'Thể lệ'!$E$7,'Thể lệ'!$E$7)))</f>
        <v>0</v>
      </c>
      <c r="DA80" s="29"/>
      <c r="DB80" s="29">
        <f>if($F80=$G80,if(and($F80=$G80,AW80&lt;&gt;AX80),'Thể lệ'!$E$7,if($F80=AW80,0,0.5*'Thể lệ'!$E$7)),if(and($F80=AW80,$G80=AX80),"0",if(($F80-$G80)*(AW80-AX80)&gt;0,0.5*'Thể lệ'!$E$7,'Thể lệ'!$E$7)))</f>
        <v>0</v>
      </c>
      <c r="DC80" s="69"/>
      <c r="DD80" s="29">
        <f>if($F80=$G80,if(and($F80=$G80,AY80&lt;&gt;AZ80),'Thể lệ'!$E$7,if($F80=AY80,0,0.5*'Thể lệ'!$E$7)),if(and($F80=AY80,$G80=AZ80),"0",if(($F80-$G80)*(AY80-AZ80)&gt;0,0.5*'Thể lệ'!$E$7,'Thể lệ'!$E$7)))</f>
        <v>0</v>
      </c>
      <c r="DE80" s="69"/>
      <c r="DF80" s="29">
        <f>if($F80=$G80,if(and($F80=$G80,BA80&lt;&gt;BB80),'Thể lệ'!$E$7,if($F80=BA80,0,0.5*'Thể lệ'!$E$7)),if(and($F80=BA80,$G80=BB80),"0",if(($F80-$G80)*(BA80-BB80)&gt;0,0.5*'Thể lệ'!$E$7,'Thể lệ'!$E$7)))</f>
        <v>0</v>
      </c>
      <c r="DG80" s="69"/>
      <c r="DH80" s="29">
        <f>if($F80=$G80,if(and($F80=$G80,BC80&lt;&gt;BD80),'Thể lệ'!$E$7,if($F80=BC80,0,0.5*'Thể lệ'!$E$7)),if(and($F80=BC80,$G80=BD80),"0",if(($F80-$G80)*(BC80-BD80)&gt;0,0.5*'Thể lệ'!$E$7,'Thể lệ'!$E$7)))</f>
        <v>0</v>
      </c>
      <c r="DI80" s="69"/>
      <c r="DJ80" s="29">
        <f>if($F80=$G80,if(and($F80=$G80,BE80&lt;&gt;BF80),'Thể lệ'!$E$7,if($F80=BE80,0,0.5*'Thể lệ'!$E$7)),if(and($F80=BE80,$G80=BF80),"0",if(($F80-$G80)*(BE80-BF80)&gt;0,0.5*'Thể lệ'!$E$7,'Thể lệ'!$E$7)))</f>
        <v>0</v>
      </c>
      <c r="DK80" s="69"/>
      <c r="DL80" s="29">
        <f>if($F80=$G80,if(and($F80=$G80,BG80&lt;&gt;BH80),'Thể lệ'!$E$7,if($F80=BG80,0,0.5*'Thể lệ'!$E$7)),if(and($F80=BG80,$G80=BH80),"0",if(($F80-$G80)*(BG80-BH80)&gt;0,0.5*'Thể lệ'!$E$7,'Thể lệ'!$E$7)))</f>
        <v>0</v>
      </c>
      <c r="DM80" s="69"/>
      <c r="DN80" s="72">
        <f>if($F80=$G80,if(and($F80=$G80,BI80&lt;&gt;BJ80),'Thể lệ'!$E$7,if($F80=BI80,0,0.5*'Thể lệ'!$E$7)),if(and($F80=BI80,$G80=BJ80),"0",if(($F80-$G80)*(BI80-BJ80)&gt;0,0.5*'Thể lệ'!$E$7,'Thể lệ'!$E$7)))</f>
        <v>7500</v>
      </c>
      <c r="DO80" s="69"/>
      <c r="DP80" s="69"/>
    </row>
    <row r="81">
      <c r="A81" s="63"/>
      <c r="B81" s="71">
        <v>74.0</v>
      </c>
      <c r="C81" s="64">
        <v>46202.99999999999</v>
      </c>
      <c r="D81" s="65">
        <v>46202.99999999999</v>
      </c>
      <c r="E81" s="55" t="s">
        <v>81</v>
      </c>
      <c r="F81" s="23"/>
      <c r="G81" s="23"/>
      <c r="H81" s="55" t="s">
        <v>81</v>
      </c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67"/>
      <c r="BF81" s="23"/>
      <c r="BG81" s="23"/>
      <c r="BH81" s="23"/>
      <c r="BI81" s="37">
        <f>H.Son!H81</f>
        <v>1</v>
      </c>
      <c r="BJ81" s="37">
        <f>H.Son!I81</f>
        <v>1</v>
      </c>
      <c r="BK81" s="23"/>
      <c r="BL81" s="23"/>
      <c r="BM81" s="68"/>
      <c r="BN81" s="29">
        <f>if($F81=$G81,if(and($F81=$G81,I81&lt;&gt;J81),'Thể lệ'!$E$7,if($F81=I81,0,0.5*'Thể lệ'!$E$7)),if(and($F81=I81,$G81=J81),"0",if(($F81-$G81)*(I81-J81)&gt;0,0.5*'Thể lệ'!$E$7,'Thể lệ'!$E$7)))</f>
        <v>0</v>
      </c>
      <c r="BO81" s="29"/>
      <c r="BP81" s="29">
        <f>if($F81=$G81,if(and($F81=$G81,K81&lt;&gt;L81),'Thể lệ'!$E$7,if($F81=K81,0,0.5*'Thể lệ'!$E$7)),if(and($F81=K81,$G81=L81),"0",if(($F81-$G81)*(K81-L81)&gt;0,0.5*'Thể lệ'!$E$7,'Thể lệ'!$E$7)))</f>
        <v>0</v>
      </c>
      <c r="BQ81" s="29"/>
      <c r="BR81" s="29">
        <f>if($F81=$G81,if(and($F81=$G81,M81&lt;&gt;N81),'Thể lệ'!$E$7,if($F81=M81,0,0.5*'Thể lệ'!$E$7)),if(and($F81=M81,$G81=N81),"0",if(($F81-$G81)*(M81-N81)&gt;0,0.5*'Thể lệ'!$E$7,'Thể lệ'!$E$7)))</f>
        <v>0</v>
      </c>
      <c r="BS81" s="29"/>
      <c r="BT81" s="29">
        <f>if($F81=$G81,if(and($F81=$G81,O81&lt;&gt;P81),'Thể lệ'!$E$7,if($F81=O81,0,0.5*'Thể lệ'!$E$7)),if(and($F81=O81,$G81=P81),"0",if(($F81-$G81)*(O81-P81)&gt;0,0.5*'Thể lệ'!$E$7,'Thể lệ'!$E$7)))</f>
        <v>0</v>
      </c>
      <c r="BU81" s="29"/>
      <c r="BV81" s="29">
        <f>if($F81=$G81,if(and($F81=$G81,Q81&lt;&gt;R81),'Thể lệ'!$E$7,if($F81=Q81,0,0.5*'Thể lệ'!$E$7)),if(and($F81=Q81,$G81=R81),"0",if(($F81-$G81)*(Q81-R81)&gt;0,0.5*'Thể lệ'!$E$7,'Thể lệ'!$E$7)))</f>
        <v>0</v>
      </c>
      <c r="BW81" s="29"/>
      <c r="BX81" s="29">
        <f>if($F81=$G81,if(and($F81=$G81,S81&lt;&gt;T81),'Thể lệ'!$E$7,if($F81=S81,0,0.5*'Thể lệ'!$E$7)),if(and($F81=S81,$G81=T81),"0",if(($F81-$G81)*(S81-T81)&gt;0,0.5*'Thể lệ'!$E$7,'Thể lệ'!$E$7)))</f>
        <v>0</v>
      </c>
      <c r="BY81" s="29"/>
      <c r="BZ81" s="29">
        <f>if($F81=$G81,if(and($F81=$G81,U81&lt;&gt;V81),'Thể lệ'!$E$7,if($F81=U81,0,0.5*'Thể lệ'!$E$7)),if(and($F81=U81,$G81=V81),"0",if(($F81-$G81)*(U81-V81)&gt;0,0.5*'Thể lệ'!$E$7,'Thể lệ'!$E$7)))</f>
        <v>0</v>
      </c>
      <c r="CA81" s="29"/>
      <c r="CB81" s="29">
        <f>if($F81=$G81,if(and($F81=$G81,W81&lt;&gt;X81),'Thể lệ'!$E$7,if($F81=W81,0,0.5*'Thể lệ'!$E$7)),if(and($F81=W81,$G81=X81),"0",if(($F81-$G81)*(W81-X81)&gt;0,0.5*'Thể lệ'!$E$7,'Thể lệ'!$E$7)))</f>
        <v>0</v>
      </c>
      <c r="CC81" s="29"/>
      <c r="CD81" s="29">
        <f>if($F81=$G81,if(and($F81=$G81,Y81&lt;&gt;Z81),'Thể lệ'!$E$7,if($F81=Y81,0,0.5*'Thể lệ'!$E$7)),if(and($F81=Y81,$G81=Z81),"0",if(($F81-$G81)*(Y81-Z81)&gt;0,0.5*'Thể lệ'!$E$7,'Thể lệ'!$E$7)))</f>
        <v>0</v>
      </c>
      <c r="CE81" s="29"/>
      <c r="CF81" s="29">
        <f>if($F81=$G81,if(and($F81=$G81,AA81&lt;&gt;AB81),'Thể lệ'!$E$7,if($F81=AA81,0,0.5*'Thể lệ'!$E$7)),if(and($F81=AA81,$G81=AB81),"0",if(($F81-$G81)*(AA81-AB81)&gt;0,0.5*'Thể lệ'!$E$7,'Thể lệ'!$E$7)))</f>
        <v>0</v>
      </c>
      <c r="CG81" s="29"/>
      <c r="CH81" s="29">
        <f>if($F81=$G81,if(and($F81=$G81,AC81&lt;&gt;AD81),'Thể lệ'!$E$7,if($F81=AC81,0,0.5*'Thể lệ'!$E$7)),if(and($F81=AC81,$G81=AD81),"0",if(($F81-$G81)*(AC81-AD81)&gt;0,0.5*'Thể lệ'!$E$7,'Thể lệ'!$E$7)))</f>
        <v>0</v>
      </c>
      <c r="CI81" s="29"/>
      <c r="CJ81" s="29">
        <f>if($F81=$G81,if(and($F81=$G81,AE81&lt;&gt;AF81),'Thể lệ'!$E$7,if($F81=AE81,0,0.5*'Thể lệ'!$E$7)),if(and($F81=AE81,$G81=AF81),"0",if(($F81-$G81)*(AE81-AF81)&gt;0,0.5*'Thể lệ'!$E$7,'Thể lệ'!$E$7)))</f>
        <v>0</v>
      </c>
      <c r="CK81" s="29"/>
      <c r="CL81" s="29">
        <f>if($F81=$G81,if(and($F81=$G81,AG81&lt;&gt;AH81),'Thể lệ'!$E$7,if($F81=AG81,0,0.5*'Thể lệ'!$E$7)),if(and($F81=AG81,$G81=AH81),"0",if(($F81-$G81)*(AG81-AH81)&gt;0,0.5*'Thể lệ'!$E$7,'Thể lệ'!$E$7)))</f>
        <v>0</v>
      </c>
      <c r="CM81" s="29"/>
      <c r="CN81" s="29">
        <f>if($F81=$G81,if(and($F81=$G81,AI81&lt;&gt;AJ81),'Thể lệ'!$E$7,if($F81=AI81,0,0.5*'Thể lệ'!$E$7)),if(and($F81=AI81,$G81=AJ81),"0",if(($F81-$G81)*(AI81-AJ81)&gt;0,0.5*'Thể lệ'!$E$7,'Thể lệ'!$E$7)))</f>
        <v>0</v>
      </c>
      <c r="CO81" s="29"/>
      <c r="CP81" s="29">
        <f>if($F81=$G81,if(and($F81=$G81,AK81&lt;&gt;AL81),'Thể lệ'!$E$7,if($F81=AK81,0,0.5*'Thể lệ'!$E$7)),if(and($F81=AK81,$G81=AL81),"0",if(($F81-$G81)*(AK81-AL81)&gt;0,0.5*'Thể lệ'!$E$7,'Thể lệ'!$E$7)))</f>
        <v>0</v>
      </c>
      <c r="CQ81" s="29"/>
      <c r="CR81" s="29">
        <f>if($F81=$G81,if(and($F81=$G81,AM81&lt;&gt;AN81),'Thể lệ'!$E$7,if($F81=AM81,0,0.5*'Thể lệ'!$E$7)),if(and($F81=AM81,$G81=AN81),"0",if(($F81-$G81)*(AM81-AN81)&gt;0,0.5*'Thể lệ'!$E$7,'Thể lệ'!$E$7)))</f>
        <v>0</v>
      </c>
      <c r="CS81" s="29"/>
      <c r="CT81" s="29">
        <f>if($F81=$G81,if(and($F81=$G81,AO81&lt;&gt;AP81),'Thể lệ'!$E$7,if($F81=AO81,0,0.5*'Thể lệ'!$E$7)),if(and($F81=AO81,$G81=AP81),"0",if(($F81-$G81)*(AO81-AP81)&gt;0,0.5*'Thể lệ'!$E$7,'Thể lệ'!$E$7)))</f>
        <v>0</v>
      </c>
      <c r="CU81" s="29"/>
      <c r="CV81" s="29">
        <f>if($F81=$G81,if(and($F81=$G81,AQ81&lt;&gt;AR81),'Thể lệ'!$E$7,if($F81=AQ81,0,0.5*'Thể lệ'!$E$7)),if(and($F81=AQ81,$G81=AR81),"0",if(($F81-$G81)*(AQ81-AR81)&gt;0,0.5*'Thể lệ'!$E$7,'Thể lệ'!$E$7)))</f>
        <v>0</v>
      </c>
      <c r="CW81" s="29"/>
      <c r="CX81" s="29">
        <f>if($F81=$G81,if(and($F81=$G81,AS81&lt;&gt;AT81),'Thể lệ'!$E$7,if($F81=AS81,0,0.5*'Thể lệ'!$E$7)),if(and($F81=AS81,$G81=AT81),"0",if(($F81-$G81)*(AS81-AT81)&gt;0,0.5*'Thể lệ'!$E$7,'Thể lệ'!$E$7)))</f>
        <v>0</v>
      </c>
      <c r="CY81" s="29"/>
      <c r="CZ81" s="29">
        <f>if($F81=$G81,if(and($F81=$G81,AU81&lt;&gt;AV81),'Thể lệ'!$E$7,if($F81=AU81,0,0.5*'Thể lệ'!$E$7)),if(and($F81=AU81,$G81=AV81),"0",if(($F81-$G81)*(AU81-AV81)&gt;0,0.5*'Thể lệ'!$E$7,'Thể lệ'!$E$7)))</f>
        <v>0</v>
      </c>
      <c r="DA81" s="29"/>
      <c r="DB81" s="29">
        <f>if($F81=$G81,if(and($F81=$G81,AW81&lt;&gt;AX81),'Thể lệ'!$E$7,if($F81=AW81,0,0.5*'Thể lệ'!$E$7)),if(and($F81=AW81,$G81=AX81),"0",if(($F81-$G81)*(AW81-AX81)&gt;0,0.5*'Thể lệ'!$E$7,'Thể lệ'!$E$7)))</f>
        <v>0</v>
      </c>
      <c r="DC81" s="69"/>
      <c r="DD81" s="29">
        <f>if($F81=$G81,if(and($F81=$G81,AY81&lt;&gt;AZ81),'Thể lệ'!$E$7,if($F81=AY81,0,0.5*'Thể lệ'!$E$7)),if(and($F81=AY81,$G81=AZ81),"0",if(($F81-$G81)*(AY81-AZ81)&gt;0,0.5*'Thể lệ'!$E$7,'Thể lệ'!$E$7)))</f>
        <v>0</v>
      </c>
      <c r="DE81" s="69"/>
      <c r="DF81" s="29">
        <f>if($F81=$G81,if(and($F81=$G81,BA81&lt;&gt;BB81),'Thể lệ'!$E$7,if($F81=BA81,0,0.5*'Thể lệ'!$E$7)),if(and($F81=BA81,$G81=BB81),"0",if(($F81-$G81)*(BA81-BB81)&gt;0,0.5*'Thể lệ'!$E$7,'Thể lệ'!$E$7)))</f>
        <v>0</v>
      </c>
      <c r="DG81" s="69"/>
      <c r="DH81" s="29">
        <f>if($F81=$G81,if(and($F81=$G81,BC81&lt;&gt;BD81),'Thể lệ'!$E$7,if($F81=BC81,0,0.5*'Thể lệ'!$E$7)),if(and($F81=BC81,$G81=BD81),"0",if(($F81-$G81)*(BC81-BD81)&gt;0,0.5*'Thể lệ'!$E$7,'Thể lệ'!$E$7)))</f>
        <v>0</v>
      </c>
      <c r="DI81" s="69"/>
      <c r="DJ81" s="29">
        <f>if($F81=$G81,if(and($F81=$G81,BE81&lt;&gt;BF81),'Thể lệ'!$E$7,if($F81=BE81,0,0.5*'Thể lệ'!$E$7)),if(and($F81=BE81,$G81=BF81),"0",if(($F81-$G81)*(BE81-BF81)&gt;0,0.5*'Thể lệ'!$E$7,'Thể lệ'!$E$7)))</f>
        <v>0</v>
      </c>
      <c r="DK81" s="69"/>
      <c r="DL81" s="29">
        <f>if($F81=$G81,if(and($F81=$G81,BG81&lt;&gt;BH81),'Thể lệ'!$E$7,if($F81=BG81,0,0.5*'Thể lệ'!$E$7)),if(and($F81=BG81,$G81=BH81),"0",if(($F81-$G81)*(BG81-BH81)&gt;0,0.5*'Thể lệ'!$E$7,'Thể lệ'!$E$7)))</f>
        <v>0</v>
      </c>
      <c r="DM81" s="69"/>
      <c r="DN81" s="72">
        <f>if($F81=$G81,if(and($F81=$G81,BI81&lt;&gt;BJ81),'Thể lệ'!$E$7,if($F81=BI81,0,0.5*'Thể lệ'!$E$7)),if(and($F81=BI81,$G81=BJ81),"0",if(($F81-$G81)*(BI81-BJ81)&gt;0,0.5*'Thể lệ'!$E$7,'Thể lệ'!$E$7)))</f>
        <v>7500</v>
      </c>
      <c r="DO81" s="69"/>
      <c r="DP81" s="69"/>
    </row>
    <row r="82">
      <c r="A82" s="63"/>
      <c r="B82" s="71">
        <v>75.0</v>
      </c>
      <c r="C82" s="64">
        <v>46203.14583333333</v>
      </c>
      <c r="D82" s="65">
        <v>46203.14583333333</v>
      </c>
      <c r="E82" s="55" t="s">
        <v>81</v>
      </c>
      <c r="F82" s="23"/>
      <c r="G82" s="23"/>
      <c r="H82" s="55" t="s">
        <v>81</v>
      </c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67"/>
      <c r="BF82" s="23"/>
      <c r="BG82" s="23"/>
      <c r="BH82" s="23"/>
      <c r="BI82" s="37">
        <f>H.Son!H82</f>
        <v>1</v>
      </c>
      <c r="BJ82" s="37">
        <f>H.Son!I82</f>
        <v>1</v>
      </c>
      <c r="BK82" s="23"/>
      <c r="BL82" s="23"/>
      <c r="BM82" s="68"/>
      <c r="BN82" s="29">
        <f>if($F82=$G82,if(and($F82=$G82,I82&lt;&gt;J82),'Thể lệ'!$E$7,if($F82=I82,0,0.5*'Thể lệ'!$E$7)),if(and($F82=I82,$G82=J82),"0",if(($F82-$G82)*(I82-J82)&gt;0,0.5*'Thể lệ'!$E$7,'Thể lệ'!$E$7)))</f>
        <v>0</v>
      </c>
      <c r="BO82" s="29"/>
      <c r="BP82" s="29">
        <f>if($F82=$G82,if(and($F82=$G82,K82&lt;&gt;L82),'Thể lệ'!$E$7,if($F82=K82,0,0.5*'Thể lệ'!$E$7)),if(and($F82=K82,$G82=L82),"0",if(($F82-$G82)*(K82-L82)&gt;0,0.5*'Thể lệ'!$E$7,'Thể lệ'!$E$7)))</f>
        <v>0</v>
      </c>
      <c r="BQ82" s="29"/>
      <c r="BR82" s="29">
        <f>if($F82=$G82,if(and($F82=$G82,M82&lt;&gt;N82),'Thể lệ'!$E$7,if($F82=M82,0,0.5*'Thể lệ'!$E$7)),if(and($F82=M82,$G82=N82),"0",if(($F82-$G82)*(M82-N82)&gt;0,0.5*'Thể lệ'!$E$7,'Thể lệ'!$E$7)))</f>
        <v>0</v>
      </c>
      <c r="BS82" s="29"/>
      <c r="BT82" s="29">
        <f>if($F82=$G82,if(and($F82=$G82,O82&lt;&gt;P82),'Thể lệ'!$E$7,if($F82=O82,0,0.5*'Thể lệ'!$E$7)),if(and($F82=O82,$G82=P82),"0",if(($F82-$G82)*(O82-P82)&gt;0,0.5*'Thể lệ'!$E$7,'Thể lệ'!$E$7)))</f>
        <v>0</v>
      </c>
      <c r="BU82" s="29"/>
      <c r="BV82" s="29">
        <f>if($F82=$G82,if(and($F82=$G82,Q82&lt;&gt;R82),'Thể lệ'!$E$7,if($F82=Q82,0,0.5*'Thể lệ'!$E$7)),if(and($F82=Q82,$G82=R82),"0",if(($F82-$G82)*(Q82-R82)&gt;0,0.5*'Thể lệ'!$E$7,'Thể lệ'!$E$7)))</f>
        <v>0</v>
      </c>
      <c r="BW82" s="29"/>
      <c r="BX82" s="29">
        <f>if($F82=$G82,if(and($F82=$G82,S82&lt;&gt;T82),'Thể lệ'!$E$7,if($F82=S82,0,0.5*'Thể lệ'!$E$7)),if(and($F82=S82,$G82=T82),"0",if(($F82-$G82)*(S82-T82)&gt;0,0.5*'Thể lệ'!$E$7,'Thể lệ'!$E$7)))</f>
        <v>0</v>
      </c>
      <c r="BY82" s="29"/>
      <c r="BZ82" s="29">
        <f>if($F82=$G82,if(and($F82=$G82,U82&lt;&gt;V82),'Thể lệ'!$E$7,if($F82=U82,0,0.5*'Thể lệ'!$E$7)),if(and($F82=U82,$G82=V82),"0",if(($F82-$G82)*(U82-V82)&gt;0,0.5*'Thể lệ'!$E$7,'Thể lệ'!$E$7)))</f>
        <v>0</v>
      </c>
      <c r="CA82" s="29"/>
      <c r="CB82" s="29">
        <f>if($F82=$G82,if(and($F82=$G82,W82&lt;&gt;X82),'Thể lệ'!$E$7,if($F82=W82,0,0.5*'Thể lệ'!$E$7)),if(and($F82=W82,$G82=X82),"0",if(($F82-$G82)*(W82-X82)&gt;0,0.5*'Thể lệ'!$E$7,'Thể lệ'!$E$7)))</f>
        <v>0</v>
      </c>
      <c r="CC82" s="29"/>
      <c r="CD82" s="29">
        <f>if($F82=$G82,if(and($F82=$G82,Y82&lt;&gt;Z82),'Thể lệ'!$E$7,if($F82=Y82,0,0.5*'Thể lệ'!$E$7)),if(and($F82=Y82,$G82=Z82),"0",if(($F82-$G82)*(Y82-Z82)&gt;0,0.5*'Thể lệ'!$E$7,'Thể lệ'!$E$7)))</f>
        <v>0</v>
      </c>
      <c r="CE82" s="29"/>
      <c r="CF82" s="29">
        <f>if($F82=$G82,if(and($F82=$G82,AA82&lt;&gt;AB82),'Thể lệ'!$E$7,if($F82=AA82,0,0.5*'Thể lệ'!$E$7)),if(and($F82=AA82,$G82=AB82),"0",if(($F82-$G82)*(AA82-AB82)&gt;0,0.5*'Thể lệ'!$E$7,'Thể lệ'!$E$7)))</f>
        <v>0</v>
      </c>
      <c r="CG82" s="29"/>
      <c r="CH82" s="29">
        <f>if($F82=$G82,if(and($F82=$G82,AC82&lt;&gt;AD82),'Thể lệ'!$E$7,if($F82=AC82,0,0.5*'Thể lệ'!$E$7)),if(and($F82=AC82,$G82=AD82),"0",if(($F82-$G82)*(AC82-AD82)&gt;0,0.5*'Thể lệ'!$E$7,'Thể lệ'!$E$7)))</f>
        <v>0</v>
      </c>
      <c r="CI82" s="29"/>
      <c r="CJ82" s="29">
        <f>if($F82=$G82,if(and($F82=$G82,AE82&lt;&gt;AF82),'Thể lệ'!$E$7,if($F82=AE82,0,0.5*'Thể lệ'!$E$7)),if(and($F82=AE82,$G82=AF82),"0",if(($F82-$G82)*(AE82-AF82)&gt;0,0.5*'Thể lệ'!$E$7,'Thể lệ'!$E$7)))</f>
        <v>0</v>
      </c>
      <c r="CK82" s="29"/>
      <c r="CL82" s="29">
        <f>if($F82=$G82,if(and($F82=$G82,AG82&lt;&gt;AH82),'Thể lệ'!$E$7,if($F82=AG82,0,0.5*'Thể lệ'!$E$7)),if(and($F82=AG82,$G82=AH82),"0",if(($F82-$G82)*(AG82-AH82)&gt;0,0.5*'Thể lệ'!$E$7,'Thể lệ'!$E$7)))</f>
        <v>0</v>
      </c>
      <c r="CM82" s="29"/>
      <c r="CN82" s="29">
        <f>if($F82=$G82,if(and($F82=$G82,AI82&lt;&gt;AJ82),'Thể lệ'!$E$7,if($F82=AI82,0,0.5*'Thể lệ'!$E$7)),if(and($F82=AI82,$G82=AJ82),"0",if(($F82-$G82)*(AI82-AJ82)&gt;0,0.5*'Thể lệ'!$E$7,'Thể lệ'!$E$7)))</f>
        <v>0</v>
      </c>
      <c r="CO82" s="29"/>
      <c r="CP82" s="29">
        <f>if($F82=$G82,if(and($F82=$G82,AK82&lt;&gt;AL82),'Thể lệ'!$E$7,if($F82=AK82,0,0.5*'Thể lệ'!$E$7)),if(and($F82=AK82,$G82=AL82),"0",if(($F82-$G82)*(AK82-AL82)&gt;0,0.5*'Thể lệ'!$E$7,'Thể lệ'!$E$7)))</f>
        <v>0</v>
      </c>
      <c r="CQ82" s="29"/>
      <c r="CR82" s="29">
        <f>if($F82=$G82,if(and($F82=$G82,AM82&lt;&gt;AN82),'Thể lệ'!$E$7,if($F82=AM82,0,0.5*'Thể lệ'!$E$7)),if(and($F82=AM82,$G82=AN82),"0",if(($F82-$G82)*(AM82-AN82)&gt;0,0.5*'Thể lệ'!$E$7,'Thể lệ'!$E$7)))</f>
        <v>0</v>
      </c>
      <c r="CS82" s="29"/>
      <c r="CT82" s="29">
        <f>if($F82=$G82,if(and($F82=$G82,AO82&lt;&gt;AP82),'Thể lệ'!$E$7,if($F82=AO82,0,0.5*'Thể lệ'!$E$7)),if(and($F82=AO82,$G82=AP82),"0",if(($F82-$G82)*(AO82-AP82)&gt;0,0.5*'Thể lệ'!$E$7,'Thể lệ'!$E$7)))</f>
        <v>0</v>
      </c>
      <c r="CU82" s="29"/>
      <c r="CV82" s="29">
        <f>if($F82=$G82,if(and($F82=$G82,AQ82&lt;&gt;AR82),'Thể lệ'!$E$7,if($F82=AQ82,0,0.5*'Thể lệ'!$E$7)),if(and($F82=AQ82,$G82=AR82),"0",if(($F82-$G82)*(AQ82-AR82)&gt;0,0.5*'Thể lệ'!$E$7,'Thể lệ'!$E$7)))</f>
        <v>0</v>
      </c>
      <c r="CW82" s="29"/>
      <c r="CX82" s="29">
        <f>if($F82=$G82,if(and($F82=$G82,AS82&lt;&gt;AT82),'Thể lệ'!$E$7,if($F82=AS82,0,0.5*'Thể lệ'!$E$7)),if(and($F82=AS82,$G82=AT82),"0",if(($F82-$G82)*(AS82-AT82)&gt;0,0.5*'Thể lệ'!$E$7,'Thể lệ'!$E$7)))</f>
        <v>0</v>
      </c>
      <c r="CY82" s="29"/>
      <c r="CZ82" s="29">
        <f>if($F82=$G82,if(and($F82=$G82,AU82&lt;&gt;AV82),'Thể lệ'!$E$7,if($F82=AU82,0,0.5*'Thể lệ'!$E$7)),if(and($F82=AU82,$G82=AV82),"0",if(($F82-$G82)*(AU82-AV82)&gt;0,0.5*'Thể lệ'!$E$7,'Thể lệ'!$E$7)))</f>
        <v>0</v>
      </c>
      <c r="DA82" s="29"/>
      <c r="DB82" s="29">
        <f>if($F82=$G82,if(and($F82=$G82,AW82&lt;&gt;AX82),'Thể lệ'!$E$7,if($F82=AW82,0,0.5*'Thể lệ'!$E$7)),if(and($F82=AW82,$G82=AX82),"0",if(($F82-$G82)*(AW82-AX82)&gt;0,0.5*'Thể lệ'!$E$7,'Thể lệ'!$E$7)))</f>
        <v>0</v>
      </c>
      <c r="DC82" s="69"/>
      <c r="DD82" s="29">
        <f>if($F82=$G82,if(and($F82=$G82,AY82&lt;&gt;AZ82),'Thể lệ'!$E$7,if($F82=AY82,0,0.5*'Thể lệ'!$E$7)),if(and($F82=AY82,$G82=AZ82),"0",if(($F82-$G82)*(AY82-AZ82)&gt;0,0.5*'Thể lệ'!$E$7,'Thể lệ'!$E$7)))</f>
        <v>0</v>
      </c>
      <c r="DE82" s="69"/>
      <c r="DF82" s="29">
        <f>if($F82=$G82,if(and($F82=$G82,BA82&lt;&gt;BB82),'Thể lệ'!$E$7,if($F82=BA82,0,0.5*'Thể lệ'!$E$7)),if(and($F82=BA82,$G82=BB82),"0",if(($F82-$G82)*(BA82-BB82)&gt;0,0.5*'Thể lệ'!$E$7,'Thể lệ'!$E$7)))</f>
        <v>0</v>
      </c>
      <c r="DG82" s="69"/>
      <c r="DH82" s="29">
        <f>if($F82=$G82,if(and($F82=$G82,BC82&lt;&gt;BD82),'Thể lệ'!$E$7,if($F82=BC82,0,0.5*'Thể lệ'!$E$7)),if(and($F82=BC82,$G82=BD82),"0",if(($F82-$G82)*(BC82-BD82)&gt;0,0.5*'Thể lệ'!$E$7,'Thể lệ'!$E$7)))</f>
        <v>0</v>
      </c>
      <c r="DI82" s="69"/>
      <c r="DJ82" s="29">
        <f>if($F82=$G82,if(and($F82=$G82,BE82&lt;&gt;BF82),'Thể lệ'!$E$7,if($F82=BE82,0,0.5*'Thể lệ'!$E$7)),if(and($F82=BE82,$G82=BF82),"0",if(($F82-$G82)*(BE82-BF82)&gt;0,0.5*'Thể lệ'!$E$7,'Thể lệ'!$E$7)))</f>
        <v>0</v>
      </c>
      <c r="DK82" s="69"/>
      <c r="DL82" s="29">
        <f>if($F82=$G82,if(and($F82=$G82,BG82&lt;&gt;BH82),'Thể lệ'!$E$7,if($F82=BG82,0,0.5*'Thể lệ'!$E$7)),if(and($F82=BG82,$G82=BH82),"0",if(($F82-$G82)*(BG82-BH82)&gt;0,0.5*'Thể lệ'!$E$7,'Thể lệ'!$E$7)))</f>
        <v>0</v>
      </c>
      <c r="DM82" s="69"/>
      <c r="DN82" s="72">
        <f>if($F82=$G82,if(and($F82=$G82,BI82&lt;&gt;BJ82),'Thể lệ'!$E$7,if($F82=BI82,0,0.5*'Thể lệ'!$E$7)),if(and($F82=BI82,$G82=BJ82),"0",if(($F82-$G82)*(BI82-BJ82)&gt;0,0.5*'Thể lệ'!$E$7,'Thể lệ'!$E$7)))</f>
        <v>7500</v>
      </c>
      <c r="DO82" s="69"/>
      <c r="DP82" s="69"/>
    </row>
    <row r="83">
      <c r="A83" s="63"/>
      <c r="B83" s="71">
        <v>76.0</v>
      </c>
      <c r="C83" s="64">
        <v>46203.33333333333</v>
      </c>
      <c r="D83" s="65">
        <v>46203.33333333333</v>
      </c>
      <c r="E83" s="55" t="s">
        <v>81</v>
      </c>
      <c r="F83" s="23"/>
      <c r="G83" s="23"/>
      <c r="H83" s="55" t="s">
        <v>81</v>
      </c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67"/>
      <c r="BF83" s="23"/>
      <c r="BG83" s="23"/>
      <c r="BH83" s="23"/>
      <c r="BI83" s="37">
        <f>H.Son!H83</f>
        <v>1</v>
      </c>
      <c r="BJ83" s="37">
        <f>H.Son!I83</f>
        <v>1</v>
      </c>
      <c r="BK83" s="23"/>
      <c r="BL83" s="23"/>
      <c r="BM83" s="68"/>
      <c r="BN83" s="29">
        <f>if($F83=$G83,if(and($F83=$G83,I83&lt;&gt;J83),'Thể lệ'!$E$7,if($F83=I83,0,0.5*'Thể lệ'!$E$7)),if(and($F83=I83,$G83=J83),"0",if(($F83-$G83)*(I83-J83)&gt;0,0.5*'Thể lệ'!$E$7,'Thể lệ'!$E$7)))</f>
        <v>0</v>
      </c>
      <c r="BO83" s="29"/>
      <c r="BP83" s="29">
        <f>if($F83=$G83,if(and($F83=$G83,K83&lt;&gt;L83),'Thể lệ'!$E$7,if($F83=K83,0,0.5*'Thể lệ'!$E$7)),if(and($F83=K83,$G83=L83),"0",if(($F83-$G83)*(K83-L83)&gt;0,0.5*'Thể lệ'!$E$7,'Thể lệ'!$E$7)))</f>
        <v>0</v>
      </c>
      <c r="BQ83" s="29"/>
      <c r="BR83" s="29">
        <f>if($F83=$G83,if(and($F83=$G83,M83&lt;&gt;N83),'Thể lệ'!$E$7,if($F83=M83,0,0.5*'Thể lệ'!$E$7)),if(and($F83=M83,$G83=N83),"0",if(($F83-$G83)*(M83-N83)&gt;0,0.5*'Thể lệ'!$E$7,'Thể lệ'!$E$7)))</f>
        <v>0</v>
      </c>
      <c r="BS83" s="29"/>
      <c r="BT83" s="29">
        <f>if($F83=$G83,if(and($F83=$G83,O83&lt;&gt;P83),'Thể lệ'!$E$7,if($F83=O83,0,0.5*'Thể lệ'!$E$7)),if(and($F83=O83,$G83=P83),"0",if(($F83-$G83)*(O83-P83)&gt;0,0.5*'Thể lệ'!$E$7,'Thể lệ'!$E$7)))</f>
        <v>0</v>
      </c>
      <c r="BU83" s="29"/>
      <c r="BV83" s="29">
        <f>if($F83=$G83,if(and($F83=$G83,Q83&lt;&gt;R83),'Thể lệ'!$E$7,if($F83=Q83,0,0.5*'Thể lệ'!$E$7)),if(and($F83=Q83,$G83=R83),"0",if(($F83-$G83)*(Q83-R83)&gt;0,0.5*'Thể lệ'!$E$7,'Thể lệ'!$E$7)))</f>
        <v>0</v>
      </c>
      <c r="BW83" s="29"/>
      <c r="BX83" s="29">
        <f>if($F83=$G83,if(and($F83=$G83,S83&lt;&gt;T83),'Thể lệ'!$E$7,if($F83=S83,0,0.5*'Thể lệ'!$E$7)),if(and($F83=S83,$G83=T83),"0",if(($F83-$G83)*(S83-T83)&gt;0,0.5*'Thể lệ'!$E$7,'Thể lệ'!$E$7)))</f>
        <v>0</v>
      </c>
      <c r="BY83" s="29"/>
      <c r="BZ83" s="29">
        <f>if($F83=$G83,if(and($F83=$G83,U83&lt;&gt;V83),'Thể lệ'!$E$7,if($F83=U83,0,0.5*'Thể lệ'!$E$7)),if(and($F83=U83,$G83=V83),"0",if(($F83-$G83)*(U83-V83)&gt;0,0.5*'Thể lệ'!$E$7,'Thể lệ'!$E$7)))</f>
        <v>0</v>
      </c>
      <c r="CA83" s="29"/>
      <c r="CB83" s="29">
        <f>if($F83=$G83,if(and($F83=$G83,W83&lt;&gt;X83),'Thể lệ'!$E$7,if($F83=W83,0,0.5*'Thể lệ'!$E$7)),if(and($F83=W83,$G83=X83),"0",if(($F83-$G83)*(W83-X83)&gt;0,0.5*'Thể lệ'!$E$7,'Thể lệ'!$E$7)))</f>
        <v>0</v>
      </c>
      <c r="CC83" s="29"/>
      <c r="CD83" s="29">
        <f>if($F83=$G83,if(and($F83=$G83,Y83&lt;&gt;Z83),'Thể lệ'!$E$7,if($F83=Y83,0,0.5*'Thể lệ'!$E$7)),if(and($F83=Y83,$G83=Z83),"0",if(($F83-$G83)*(Y83-Z83)&gt;0,0.5*'Thể lệ'!$E$7,'Thể lệ'!$E$7)))</f>
        <v>0</v>
      </c>
      <c r="CE83" s="29"/>
      <c r="CF83" s="29">
        <f>if($F83=$G83,if(and($F83=$G83,AA83&lt;&gt;AB83),'Thể lệ'!$E$7,if($F83=AA83,0,0.5*'Thể lệ'!$E$7)),if(and($F83=AA83,$G83=AB83),"0",if(($F83-$G83)*(AA83-AB83)&gt;0,0.5*'Thể lệ'!$E$7,'Thể lệ'!$E$7)))</f>
        <v>0</v>
      </c>
      <c r="CG83" s="29"/>
      <c r="CH83" s="29">
        <f>if($F83=$G83,if(and($F83=$G83,AC83&lt;&gt;AD83),'Thể lệ'!$E$7,if($F83=AC83,0,0.5*'Thể lệ'!$E$7)),if(and($F83=AC83,$G83=AD83),"0",if(($F83-$G83)*(AC83-AD83)&gt;0,0.5*'Thể lệ'!$E$7,'Thể lệ'!$E$7)))</f>
        <v>0</v>
      </c>
      <c r="CI83" s="29"/>
      <c r="CJ83" s="29">
        <f>if($F83=$G83,if(and($F83=$G83,AE83&lt;&gt;AF83),'Thể lệ'!$E$7,if($F83=AE83,0,0.5*'Thể lệ'!$E$7)),if(and($F83=AE83,$G83=AF83),"0",if(($F83-$G83)*(AE83-AF83)&gt;0,0.5*'Thể lệ'!$E$7,'Thể lệ'!$E$7)))</f>
        <v>0</v>
      </c>
      <c r="CK83" s="29"/>
      <c r="CL83" s="29">
        <f>if($F83=$G83,if(and($F83=$G83,AG83&lt;&gt;AH83),'Thể lệ'!$E$7,if($F83=AG83,0,0.5*'Thể lệ'!$E$7)),if(and($F83=AG83,$G83=AH83),"0",if(($F83-$G83)*(AG83-AH83)&gt;0,0.5*'Thể lệ'!$E$7,'Thể lệ'!$E$7)))</f>
        <v>0</v>
      </c>
      <c r="CM83" s="29"/>
      <c r="CN83" s="29">
        <f>if($F83=$G83,if(and($F83=$G83,AI83&lt;&gt;AJ83),'Thể lệ'!$E$7,if($F83=AI83,0,0.5*'Thể lệ'!$E$7)),if(and($F83=AI83,$G83=AJ83),"0",if(($F83-$G83)*(AI83-AJ83)&gt;0,0.5*'Thể lệ'!$E$7,'Thể lệ'!$E$7)))</f>
        <v>0</v>
      </c>
      <c r="CO83" s="29"/>
      <c r="CP83" s="29">
        <f>if($F83=$G83,if(and($F83=$G83,AK83&lt;&gt;AL83),'Thể lệ'!$E$7,if($F83=AK83,0,0.5*'Thể lệ'!$E$7)),if(and($F83=AK83,$G83=AL83),"0",if(($F83-$G83)*(AK83-AL83)&gt;0,0.5*'Thể lệ'!$E$7,'Thể lệ'!$E$7)))</f>
        <v>0</v>
      </c>
      <c r="CQ83" s="29"/>
      <c r="CR83" s="29">
        <f>if($F83=$G83,if(and($F83=$G83,AM83&lt;&gt;AN83),'Thể lệ'!$E$7,if($F83=AM83,0,0.5*'Thể lệ'!$E$7)),if(and($F83=AM83,$G83=AN83),"0",if(($F83-$G83)*(AM83-AN83)&gt;0,0.5*'Thể lệ'!$E$7,'Thể lệ'!$E$7)))</f>
        <v>0</v>
      </c>
      <c r="CS83" s="29"/>
      <c r="CT83" s="29">
        <f>if($F83=$G83,if(and($F83=$G83,AO83&lt;&gt;AP83),'Thể lệ'!$E$7,if($F83=AO83,0,0.5*'Thể lệ'!$E$7)),if(and($F83=AO83,$G83=AP83),"0",if(($F83-$G83)*(AO83-AP83)&gt;0,0.5*'Thể lệ'!$E$7,'Thể lệ'!$E$7)))</f>
        <v>0</v>
      </c>
      <c r="CU83" s="29"/>
      <c r="CV83" s="29">
        <f>if($F83=$G83,if(and($F83=$G83,AQ83&lt;&gt;AR83),'Thể lệ'!$E$7,if($F83=AQ83,0,0.5*'Thể lệ'!$E$7)),if(and($F83=AQ83,$G83=AR83),"0",if(($F83-$G83)*(AQ83-AR83)&gt;0,0.5*'Thể lệ'!$E$7,'Thể lệ'!$E$7)))</f>
        <v>0</v>
      </c>
      <c r="CW83" s="29"/>
      <c r="CX83" s="29">
        <f>if($F83=$G83,if(and($F83=$G83,AS83&lt;&gt;AT83),'Thể lệ'!$E$7,if($F83=AS83,0,0.5*'Thể lệ'!$E$7)),if(and($F83=AS83,$G83=AT83),"0",if(($F83-$G83)*(AS83-AT83)&gt;0,0.5*'Thể lệ'!$E$7,'Thể lệ'!$E$7)))</f>
        <v>0</v>
      </c>
      <c r="CY83" s="29"/>
      <c r="CZ83" s="29">
        <f>if($F83=$G83,if(and($F83=$G83,AU83&lt;&gt;AV83),'Thể lệ'!$E$7,if($F83=AU83,0,0.5*'Thể lệ'!$E$7)),if(and($F83=AU83,$G83=AV83),"0",if(($F83-$G83)*(AU83-AV83)&gt;0,0.5*'Thể lệ'!$E$7,'Thể lệ'!$E$7)))</f>
        <v>0</v>
      </c>
      <c r="DA83" s="29"/>
      <c r="DB83" s="29">
        <f>if($F83=$G83,if(and($F83=$G83,AW83&lt;&gt;AX83),'Thể lệ'!$E$7,if($F83=AW83,0,0.5*'Thể lệ'!$E$7)),if(and($F83=AW83,$G83=AX83),"0",if(($F83-$G83)*(AW83-AX83)&gt;0,0.5*'Thể lệ'!$E$7,'Thể lệ'!$E$7)))</f>
        <v>0</v>
      </c>
      <c r="DC83" s="69"/>
      <c r="DD83" s="29">
        <f>if($F83=$G83,if(and($F83=$G83,AY83&lt;&gt;AZ83),'Thể lệ'!$E$7,if($F83=AY83,0,0.5*'Thể lệ'!$E$7)),if(and($F83=AY83,$G83=AZ83),"0",if(($F83-$G83)*(AY83-AZ83)&gt;0,0.5*'Thể lệ'!$E$7,'Thể lệ'!$E$7)))</f>
        <v>0</v>
      </c>
      <c r="DE83" s="69"/>
      <c r="DF83" s="29">
        <f>if($F83=$G83,if(and($F83=$G83,BA83&lt;&gt;BB83),'Thể lệ'!$E$7,if($F83=BA83,0,0.5*'Thể lệ'!$E$7)),if(and($F83=BA83,$G83=BB83),"0",if(($F83-$G83)*(BA83-BB83)&gt;0,0.5*'Thể lệ'!$E$7,'Thể lệ'!$E$7)))</f>
        <v>0</v>
      </c>
      <c r="DG83" s="69"/>
      <c r="DH83" s="29">
        <f>if($F83=$G83,if(and($F83=$G83,BC83&lt;&gt;BD83),'Thể lệ'!$E$7,if($F83=BC83,0,0.5*'Thể lệ'!$E$7)),if(and($F83=BC83,$G83=BD83),"0",if(($F83-$G83)*(BC83-BD83)&gt;0,0.5*'Thể lệ'!$E$7,'Thể lệ'!$E$7)))</f>
        <v>0</v>
      </c>
      <c r="DI83" s="69"/>
      <c r="DJ83" s="29">
        <f>if($F83=$G83,if(and($F83=$G83,BE83&lt;&gt;BF83),'Thể lệ'!$E$7,if($F83=BE83,0,0.5*'Thể lệ'!$E$7)),if(and($F83=BE83,$G83=BF83),"0",if(($F83-$G83)*(BE83-BF83)&gt;0,0.5*'Thể lệ'!$E$7,'Thể lệ'!$E$7)))</f>
        <v>0</v>
      </c>
      <c r="DK83" s="69"/>
      <c r="DL83" s="29">
        <f>if($F83=$G83,if(and($F83=$G83,BG83&lt;&gt;BH83),'Thể lệ'!$E$7,if($F83=BG83,0,0.5*'Thể lệ'!$E$7)),if(and($F83=BG83,$G83=BH83),"0",if(($F83-$G83)*(BG83-BH83)&gt;0,0.5*'Thể lệ'!$E$7,'Thể lệ'!$E$7)))</f>
        <v>0</v>
      </c>
      <c r="DM83" s="69"/>
      <c r="DN83" s="72">
        <f>if($F83=$G83,if(and($F83=$G83,BI83&lt;&gt;BJ83),'Thể lệ'!$E$7,if($F83=BI83,0,0.5*'Thể lệ'!$E$7)),if(and($F83=BI83,$G83=BJ83),"0",if(($F83-$G83)*(BI83-BJ83)&gt;0,0.5*'Thể lệ'!$E$7,'Thể lệ'!$E$7)))</f>
        <v>7500</v>
      </c>
      <c r="DO83" s="69"/>
      <c r="DP83" s="69"/>
    </row>
    <row r="84">
      <c r="A84" s="63"/>
      <c r="B84" s="71">
        <v>77.0</v>
      </c>
      <c r="C84" s="64">
        <v>46203.99999999999</v>
      </c>
      <c r="D84" s="65">
        <v>46203.99999999999</v>
      </c>
      <c r="E84" s="55" t="s">
        <v>81</v>
      </c>
      <c r="F84" s="23"/>
      <c r="G84" s="23"/>
      <c r="H84" s="55" t="s">
        <v>81</v>
      </c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67"/>
      <c r="BF84" s="23"/>
      <c r="BG84" s="23"/>
      <c r="BH84" s="23"/>
      <c r="BI84" s="37">
        <f>H.Son!H84</f>
        <v>1</v>
      </c>
      <c r="BJ84" s="37">
        <f>H.Son!I84</f>
        <v>1</v>
      </c>
      <c r="BK84" s="23"/>
      <c r="BL84" s="23"/>
      <c r="BM84" s="68"/>
      <c r="BN84" s="29">
        <f>if($F84=$G84,if(and($F84=$G84,I84&lt;&gt;J84),'Thể lệ'!$E$7,if($F84=I84,0,0.5*'Thể lệ'!$E$7)),if(and($F84=I84,$G84=J84),"0",if(($F84-$G84)*(I84-J84)&gt;0,0.5*'Thể lệ'!$E$7,'Thể lệ'!$E$7)))</f>
        <v>0</v>
      </c>
      <c r="BO84" s="29"/>
      <c r="BP84" s="29">
        <f>if($F84=$G84,if(and($F84=$G84,K84&lt;&gt;L84),'Thể lệ'!$E$7,if($F84=K84,0,0.5*'Thể lệ'!$E$7)),if(and($F84=K84,$G84=L84),"0",if(($F84-$G84)*(K84-L84)&gt;0,0.5*'Thể lệ'!$E$7,'Thể lệ'!$E$7)))</f>
        <v>0</v>
      </c>
      <c r="BQ84" s="29"/>
      <c r="BR84" s="29">
        <f>if($F84=$G84,if(and($F84=$G84,M84&lt;&gt;N84),'Thể lệ'!$E$7,if($F84=M84,0,0.5*'Thể lệ'!$E$7)),if(and($F84=M84,$G84=N84),"0",if(($F84-$G84)*(M84-N84)&gt;0,0.5*'Thể lệ'!$E$7,'Thể lệ'!$E$7)))</f>
        <v>0</v>
      </c>
      <c r="BS84" s="29"/>
      <c r="BT84" s="29">
        <f>if($F84=$G84,if(and($F84=$G84,O84&lt;&gt;P84),'Thể lệ'!$E$7,if($F84=O84,0,0.5*'Thể lệ'!$E$7)),if(and($F84=O84,$G84=P84),"0",if(($F84-$G84)*(O84-P84)&gt;0,0.5*'Thể lệ'!$E$7,'Thể lệ'!$E$7)))</f>
        <v>0</v>
      </c>
      <c r="BU84" s="29"/>
      <c r="BV84" s="29">
        <f>if($F84=$G84,if(and($F84=$G84,Q84&lt;&gt;R84),'Thể lệ'!$E$7,if($F84=Q84,0,0.5*'Thể lệ'!$E$7)),if(and($F84=Q84,$G84=R84),"0",if(($F84-$G84)*(Q84-R84)&gt;0,0.5*'Thể lệ'!$E$7,'Thể lệ'!$E$7)))</f>
        <v>0</v>
      </c>
      <c r="BW84" s="29"/>
      <c r="BX84" s="29">
        <f>if($F84=$G84,if(and($F84=$G84,S84&lt;&gt;T84),'Thể lệ'!$E$7,if($F84=S84,0,0.5*'Thể lệ'!$E$7)),if(and($F84=S84,$G84=T84),"0",if(($F84-$G84)*(S84-T84)&gt;0,0.5*'Thể lệ'!$E$7,'Thể lệ'!$E$7)))</f>
        <v>0</v>
      </c>
      <c r="BY84" s="29"/>
      <c r="BZ84" s="29">
        <f>if($F84=$G84,if(and($F84=$G84,U84&lt;&gt;V84),'Thể lệ'!$E$7,if($F84=U84,0,0.5*'Thể lệ'!$E$7)),if(and($F84=U84,$G84=V84),"0",if(($F84-$G84)*(U84-V84)&gt;0,0.5*'Thể lệ'!$E$7,'Thể lệ'!$E$7)))</f>
        <v>0</v>
      </c>
      <c r="CA84" s="29"/>
      <c r="CB84" s="29">
        <f>if($F84=$G84,if(and($F84=$G84,W84&lt;&gt;X84),'Thể lệ'!$E$7,if($F84=W84,0,0.5*'Thể lệ'!$E$7)),if(and($F84=W84,$G84=X84),"0",if(($F84-$G84)*(W84-X84)&gt;0,0.5*'Thể lệ'!$E$7,'Thể lệ'!$E$7)))</f>
        <v>0</v>
      </c>
      <c r="CC84" s="29"/>
      <c r="CD84" s="29">
        <f>if($F84=$G84,if(and($F84=$G84,Y84&lt;&gt;Z84),'Thể lệ'!$E$7,if($F84=Y84,0,0.5*'Thể lệ'!$E$7)),if(and($F84=Y84,$G84=Z84),"0",if(($F84-$G84)*(Y84-Z84)&gt;0,0.5*'Thể lệ'!$E$7,'Thể lệ'!$E$7)))</f>
        <v>0</v>
      </c>
      <c r="CE84" s="29"/>
      <c r="CF84" s="29">
        <f>if($F84=$G84,if(and($F84=$G84,AA84&lt;&gt;AB84),'Thể lệ'!$E$7,if($F84=AA84,0,0.5*'Thể lệ'!$E$7)),if(and($F84=AA84,$G84=AB84),"0",if(($F84-$G84)*(AA84-AB84)&gt;0,0.5*'Thể lệ'!$E$7,'Thể lệ'!$E$7)))</f>
        <v>0</v>
      </c>
      <c r="CG84" s="29"/>
      <c r="CH84" s="29">
        <f>if($F84=$G84,if(and($F84=$G84,AC84&lt;&gt;AD84),'Thể lệ'!$E$7,if($F84=AC84,0,0.5*'Thể lệ'!$E$7)),if(and($F84=AC84,$G84=AD84),"0",if(($F84-$G84)*(AC84-AD84)&gt;0,0.5*'Thể lệ'!$E$7,'Thể lệ'!$E$7)))</f>
        <v>0</v>
      </c>
      <c r="CI84" s="29"/>
      <c r="CJ84" s="29">
        <f>if($F84=$G84,if(and($F84=$G84,AE84&lt;&gt;AF84),'Thể lệ'!$E$7,if($F84=AE84,0,0.5*'Thể lệ'!$E$7)),if(and($F84=AE84,$G84=AF84),"0",if(($F84-$G84)*(AE84-AF84)&gt;0,0.5*'Thể lệ'!$E$7,'Thể lệ'!$E$7)))</f>
        <v>0</v>
      </c>
      <c r="CK84" s="29"/>
      <c r="CL84" s="29">
        <f>if($F84=$G84,if(and($F84=$G84,AG84&lt;&gt;AH84),'Thể lệ'!$E$7,if($F84=AG84,0,0.5*'Thể lệ'!$E$7)),if(and($F84=AG84,$G84=AH84),"0",if(($F84-$G84)*(AG84-AH84)&gt;0,0.5*'Thể lệ'!$E$7,'Thể lệ'!$E$7)))</f>
        <v>0</v>
      </c>
      <c r="CM84" s="29"/>
      <c r="CN84" s="29">
        <f>if($F84=$G84,if(and($F84=$G84,AI84&lt;&gt;AJ84),'Thể lệ'!$E$7,if($F84=AI84,0,0.5*'Thể lệ'!$E$7)),if(and($F84=AI84,$G84=AJ84),"0",if(($F84-$G84)*(AI84-AJ84)&gt;0,0.5*'Thể lệ'!$E$7,'Thể lệ'!$E$7)))</f>
        <v>0</v>
      </c>
      <c r="CO84" s="29"/>
      <c r="CP84" s="29">
        <f>if($F84=$G84,if(and($F84=$G84,AK84&lt;&gt;AL84),'Thể lệ'!$E$7,if($F84=AK84,0,0.5*'Thể lệ'!$E$7)),if(and($F84=AK84,$G84=AL84),"0",if(($F84-$G84)*(AK84-AL84)&gt;0,0.5*'Thể lệ'!$E$7,'Thể lệ'!$E$7)))</f>
        <v>0</v>
      </c>
      <c r="CQ84" s="29"/>
      <c r="CR84" s="29">
        <f>if($F84=$G84,if(and($F84=$G84,AM84&lt;&gt;AN84),'Thể lệ'!$E$7,if($F84=AM84,0,0.5*'Thể lệ'!$E$7)),if(and($F84=AM84,$G84=AN84),"0",if(($F84-$G84)*(AM84-AN84)&gt;0,0.5*'Thể lệ'!$E$7,'Thể lệ'!$E$7)))</f>
        <v>0</v>
      </c>
      <c r="CS84" s="29"/>
      <c r="CT84" s="29">
        <f>if($F84=$G84,if(and($F84=$G84,AO84&lt;&gt;AP84),'Thể lệ'!$E$7,if($F84=AO84,0,0.5*'Thể lệ'!$E$7)),if(and($F84=AO84,$G84=AP84),"0",if(($F84-$G84)*(AO84-AP84)&gt;0,0.5*'Thể lệ'!$E$7,'Thể lệ'!$E$7)))</f>
        <v>0</v>
      </c>
      <c r="CU84" s="29"/>
      <c r="CV84" s="29">
        <f>if($F84=$G84,if(and($F84=$G84,AQ84&lt;&gt;AR84),'Thể lệ'!$E$7,if($F84=AQ84,0,0.5*'Thể lệ'!$E$7)),if(and($F84=AQ84,$G84=AR84),"0",if(($F84-$G84)*(AQ84-AR84)&gt;0,0.5*'Thể lệ'!$E$7,'Thể lệ'!$E$7)))</f>
        <v>0</v>
      </c>
      <c r="CW84" s="29"/>
      <c r="CX84" s="29">
        <f>if($F84=$G84,if(and($F84=$G84,AS84&lt;&gt;AT84),'Thể lệ'!$E$7,if($F84=AS84,0,0.5*'Thể lệ'!$E$7)),if(and($F84=AS84,$G84=AT84),"0",if(($F84-$G84)*(AS84-AT84)&gt;0,0.5*'Thể lệ'!$E$7,'Thể lệ'!$E$7)))</f>
        <v>0</v>
      </c>
      <c r="CY84" s="29"/>
      <c r="CZ84" s="29">
        <f>if($F84=$G84,if(and($F84=$G84,AU84&lt;&gt;AV84),'Thể lệ'!$E$7,if($F84=AU84,0,0.5*'Thể lệ'!$E$7)),if(and($F84=AU84,$G84=AV84),"0",if(($F84-$G84)*(AU84-AV84)&gt;0,0.5*'Thể lệ'!$E$7,'Thể lệ'!$E$7)))</f>
        <v>0</v>
      </c>
      <c r="DA84" s="29"/>
      <c r="DB84" s="29">
        <f>if($F84=$G84,if(and($F84=$G84,AW84&lt;&gt;AX84),'Thể lệ'!$E$7,if($F84=AW84,0,0.5*'Thể lệ'!$E$7)),if(and($F84=AW84,$G84=AX84),"0",if(($F84-$G84)*(AW84-AX84)&gt;0,0.5*'Thể lệ'!$E$7,'Thể lệ'!$E$7)))</f>
        <v>0</v>
      </c>
      <c r="DC84" s="69"/>
      <c r="DD84" s="29">
        <f>if($F84=$G84,if(and($F84=$G84,AY84&lt;&gt;AZ84),'Thể lệ'!$E$7,if($F84=AY84,0,0.5*'Thể lệ'!$E$7)),if(and($F84=AY84,$G84=AZ84),"0",if(($F84-$G84)*(AY84-AZ84)&gt;0,0.5*'Thể lệ'!$E$7,'Thể lệ'!$E$7)))</f>
        <v>0</v>
      </c>
      <c r="DE84" s="69"/>
      <c r="DF84" s="29">
        <f>if($F84=$G84,if(and($F84=$G84,BA84&lt;&gt;BB84),'Thể lệ'!$E$7,if($F84=BA84,0,0.5*'Thể lệ'!$E$7)),if(and($F84=BA84,$G84=BB84),"0",if(($F84-$G84)*(BA84-BB84)&gt;0,0.5*'Thể lệ'!$E$7,'Thể lệ'!$E$7)))</f>
        <v>0</v>
      </c>
      <c r="DG84" s="69"/>
      <c r="DH84" s="29">
        <f>if($F84=$G84,if(and($F84=$G84,BC84&lt;&gt;BD84),'Thể lệ'!$E$7,if($F84=BC84,0,0.5*'Thể lệ'!$E$7)),if(and($F84=BC84,$G84=BD84),"0",if(($F84-$G84)*(BC84-BD84)&gt;0,0.5*'Thể lệ'!$E$7,'Thể lệ'!$E$7)))</f>
        <v>0</v>
      </c>
      <c r="DI84" s="69"/>
      <c r="DJ84" s="29">
        <f>if($F84=$G84,if(and($F84=$G84,BE84&lt;&gt;BF84),'Thể lệ'!$E$7,if($F84=BE84,0,0.5*'Thể lệ'!$E$7)),if(and($F84=BE84,$G84=BF84),"0",if(($F84-$G84)*(BE84-BF84)&gt;0,0.5*'Thể lệ'!$E$7,'Thể lệ'!$E$7)))</f>
        <v>0</v>
      </c>
      <c r="DK84" s="69"/>
      <c r="DL84" s="29">
        <f>if($F84=$G84,if(and($F84=$G84,BG84&lt;&gt;BH84),'Thể lệ'!$E$7,if($F84=BG84,0,0.5*'Thể lệ'!$E$7)),if(and($F84=BG84,$G84=BH84),"0",if(($F84-$G84)*(BG84-BH84)&gt;0,0.5*'Thể lệ'!$E$7,'Thể lệ'!$E$7)))</f>
        <v>0</v>
      </c>
      <c r="DM84" s="69"/>
      <c r="DN84" s="72">
        <f>if($F84=$G84,if(and($F84=$G84,BI84&lt;&gt;BJ84),'Thể lệ'!$E$7,if($F84=BI84,0,0.5*'Thể lệ'!$E$7)),if(and($F84=BI84,$G84=BJ84),"0",if(($F84-$G84)*(BI84-BJ84)&gt;0,0.5*'Thể lệ'!$E$7,'Thể lệ'!$E$7)))</f>
        <v>7500</v>
      </c>
      <c r="DO84" s="69"/>
      <c r="DP84" s="69"/>
    </row>
    <row r="85">
      <c r="A85" s="63"/>
      <c r="B85" s="71">
        <v>78.0</v>
      </c>
      <c r="C85" s="64">
        <v>46204.166666666664</v>
      </c>
      <c r="D85" s="65">
        <v>46204.166666666664</v>
      </c>
      <c r="E85" s="55" t="s">
        <v>81</v>
      </c>
      <c r="F85" s="23"/>
      <c r="G85" s="23"/>
      <c r="H85" s="55" t="s">
        <v>81</v>
      </c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67"/>
      <c r="BF85" s="23"/>
      <c r="BG85" s="23"/>
      <c r="BH85" s="23"/>
      <c r="BI85" s="37">
        <f>H.Son!H85</f>
        <v>1</v>
      </c>
      <c r="BJ85" s="37">
        <f>H.Son!I85</f>
        <v>1</v>
      </c>
      <c r="BK85" s="23"/>
      <c r="BL85" s="23"/>
      <c r="BM85" s="68"/>
      <c r="BN85" s="29">
        <f>if($F85=$G85,if(and($F85=$G85,I85&lt;&gt;J85),'Thể lệ'!$E$7,if($F85=I85,0,0.5*'Thể lệ'!$E$7)),if(and($F85=I85,$G85=J85),"0",if(($F85-$G85)*(I85-J85)&gt;0,0.5*'Thể lệ'!$E$7,'Thể lệ'!$E$7)))</f>
        <v>0</v>
      </c>
      <c r="BO85" s="29"/>
      <c r="BP85" s="29">
        <f>if($F85=$G85,if(and($F85=$G85,K85&lt;&gt;L85),'Thể lệ'!$E$7,if($F85=K85,0,0.5*'Thể lệ'!$E$7)),if(and($F85=K85,$G85=L85),"0",if(($F85-$G85)*(K85-L85)&gt;0,0.5*'Thể lệ'!$E$7,'Thể lệ'!$E$7)))</f>
        <v>0</v>
      </c>
      <c r="BQ85" s="29"/>
      <c r="BR85" s="29">
        <f>if($F85=$G85,if(and($F85=$G85,M85&lt;&gt;N85),'Thể lệ'!$E$7,if($F85=M85,0,0.5*'Thể lệ'!$E$7)),if(and($F85=M85,$G85=N85),"0",if(($F85-$G85)*(M85-N85)&gt;0,0.5*'Thể lệ'!$E$7,'Thể lệ'!$E$7)))</f>
        <v>0</v>
      </c>
      <c r="BS85" s="29"/>
      <c r="BT85" s="29">
        <f>if($F85=$G85,if(and($F85=$G85,O85&lt;&gt;P85),'Thể lệ'!$E$7,if($F85=O85,0,0.5*'Thể lệ'!$E$7)),if(and($F85=O85,$G85=P85),"0",if(($F85-$G85)*(O85-P85)&gt;0,0.5*'Thể lệ'!$E$7,'Thể lệ'!$E$7)))</f>
        <v>0</v>
      </c>
      <c r="BU85" s="29"/>
      <c r="BV85" s="29">
        <f>if($F85=$G85,if(and($F85=$G85,Q85&lt;&gt;R85),'Thể lệ'!$E$7,if($F85=Q85,0,0.5*'Thể lệ'!$E$7)),if(and($F85=Q85,$G85=R85),"0",if(($F85-$G85)*(Q85-R85)&gt;0,0.5*'Thể lệ'!$E$7,'Thể lệ'!$E$7)))</f>
        <v>0</v>
      </c>
      <c r="BW85" s="29"/>
      <c r="BX85" s="29">
        <f>if($F85=$G85,if(and($F85=$G85,S85&lt;&gt;T85),'Thể lệ'!$E$7,if($F85=S85,0,0.5*'Thể lệ'!$E$7)),if(and($F85=S85,$G85=T85),"0",if(($F85-$G85)*(S85-T85)&gt;0,0.5*'Thể lệ'!$E$7,'Thể lệ'!$E$7)))</f>
        <v>0</v>
      </c>
      <c r="BY85" s="29"/>
      <c r="BZ85" s="29">
        <f>if($F85=$G85,if(and($F85=$G85,U85&lt;&gt;V85),'Thể lệ'!$E$7,if($F85=U85,0,0.5*'Thể lệ'!$E$7)),if(and($F85=U85,$G85=V85),"0",if(($F85-$G85)*(U85-V85)&gt;0,0.5*'Thể lệ'!$E$7,'Thể lệ'!$E$7)))</f>
        <v>0</v>
      </c>
      <c r="CA85" s="29"/>
      <c r="CB85" s="29">
        <f>if($F85=$G85,if(and($F85=$G85,W85&lt;&gt;X85),'Thể lệ'!$E$7,if($F85=W85,0,0.5*'Thể lệ'!$E$7)),if(and($F85=W85,$G85=X85),"0",if(($F85-$G85)*(W85-X85)&gt;0,0.5*'Thể lệ'!$E$7,'Thể lệ'!$E$7)))</f>
        <v>0</v>
      </c>
      <c r="CC85" s="29"/>
      <c r="CD85" s="29">
        <f>if($F85=$G85,if(and($F85=$G85,Y85&lt;&gt;Z85),'Thể lệ'!$E$7,if($F85=Y85,0,0.5*'Thể lệ'!$E$7)),if(and($F85=Y85,$G85=Z85),"0",if(($F85-$G85)*(Y85-Z85)&gt;0,0.5*'Thể lệ'!$E$7,'Thể lệ'!$E$7)))</f>
        <v>0</v>
      </c>
      <c r="CE85" s="29"/>
      <c r="CF85" s="29">
        <f>if($F85=$G85,if(and($F85=$G85,AA85&lt;&gt;AB85),'Thể lệ'!$E$7,if($F85=AA85,0,0.5*'Thể lệ'!$E$7)),if(and($F85=AA85,$G85=AB85),"0",if(($F85-$G85)*(AA85-AB85)&gt;0,0.5*'Thể lệ'!$E$7,'Thể lệ'!$E$7)))</f>
        <v>0</v>
      </c>
      <c r="CG85" s="29"/>
      <c r="CH85" s="29">
        <f>if($F85=$G85,if(and($F85=$G85,AC85&lt;&gt;AD85),'Thể lệ'!$E$7,if($F85=AC85,0,0.5*'Thể lệ'!$E$7)),if(and($F85=AC85,$G85=AD85),"0",if(($F85-$G85)*(AC85-AD85)&gt;0,0.5*'Thể lệ'!$E$7,'Thể lệ'!$E$7)))</f>
        <v>0</v>
      </c>
      <c r="CI85" s="29"/>
      <c r="CJ85" s="29">
        <f>if($F85=$G85,if(and($F85=$G85,AE85&lt;&gt;AF85),'Thể lệ'!$E$7,if($F85=AE85,0,0.5*'Thể lệ'!$E$7)),if(and($F85=AE85,$G85=AF85),"0",if(($F85-$G85)*(AE85-AF85)&gt;0,0.5*'Thể lệ'!$E$7,'Thể lệ'!$E$7)))</f>
        <v>0</v>
      </c>
      <c r="CK85" s="29"/>
      <c r="CL85" s="29">
        <f>if($F85=$G85,if(and($F85=$G85,AG85&lt;&gt;AH85),'Thể lệ'!$E$7,if($F85=AG85,0,0.5*'Thể lệ'!$E$7)),if(and($F85=AG85,$G85=AH85),"0",if(($F85-$G85)*(AG85-AH85)&gt;0,0.5*'Thể lệ'!$E$7,'Thể lệ'!$E$7)))</f>
        <v>0</v>
      </c>
      <c r="CM85" s="29"/>
      <c r="CN85" s="29">
        <f>if($F85=$G85,if(and($F85=$G85,AI85&lt;&gt;AJ85),'Thể lệ'!$E$7,if($F85=AI85,0,0.5*'Thể lệ'!$E$7)),if(and($F85=AI85,$G85=AJ85),"0",if(($F85-$G85)*(AI85-AJ85)&gt;0,0.5*'Thể lệ'!$E$7,'Thể lệ'!$E$7)))</f>
        <v>0</v>
      </c>
      <c r="CO85" s="29"/>
      <c r="CP85" s="29">
        <f>if($F85=$G85,if(and($F85=$G85,AK85&lt;&gt;AL85),'Thể lệ'!$E$7,if($F85=AK85,0,0.5*'Thể lệ'!$E$7)),if(and($F85=AK85,$G85=AL85),"0",if(($F85-$G85)*(AK85-AL85)&gt;0,0.5*'Thể lệ'!$E$7,'Thể lệ'!$E$7)))</f>
        <v>0</v>
      </c>
      <c r="CQ85" s="29"/>
      <c r="CR85" s="29">
        <f>if($F85=$G85,if(and($F85=$G85,AM85&lt;&gt;AN85),'Thể lệ'!$E$7,if($F85=AM85,0,0.5*'Thể lệ'!$E$7)),if(and($F85=AM85,$G85=AN85),"0",if(($F85-$G85)*(AM85-AN85)&gt;0,0.5*'Thể lệ'!$E$7,'Thể lệ'!$E$7)))</f>
        <v>0</v>
      </c>
      <c r="CS85" s="29"/>
      <c r="CT85" s="29">
        <f>if($F85=$G85,if(and($F85=$G85,AO85&lt;&gt;AP85),'Thể lệ'!$E$7,if($F85=AO85,0,0.5*'Thể lệ'!$E$7)),if(and($F85=AO85,$G85=AP85),"0",if(($F85-$G85)*(AO85-AP85)&gt;0,0.5*'Thể lệ'!$E$7,'Thể lệ'!$E$7)))</f>
        <v>0</v>
      </c>
      <c r="CU85" s="29"/>
      <c r="CV85" s="29">
        <f>if($F85=$G85,if(and($F85=$G85,AQ85&lt;&gt;AR85),'Thể lệ'!$E$7,if($F85=AQ85,0,0.5*'Thể lệ'!$E$7)),if(and($F85=AQ85,$G85=AR85),"0",if(($F85-$G85)*(AQ85-AR85)&gt;0,0.5*'Thể lệ'!$E$7,'Thể lệ'!$E$7)))</f>
        <v>0</v>
      </c>
      <c r="CW85" s="29"/>
      <c r="CX85" s="29">
        <f>if($F85=$G85,if(and($F85=$G85,AS85&lt;&gt;AT85),'Thể lệ'!$E$7,if($F85=AS85,0,0.5*'Thể lệ'!$E$7)),if(and($F85=AS85,$G85=AT85),"0",if(($F85-$G85)*(AS85-AT85)&gt;0,0.5*'Thể lệ'!$E$7,'Thể lệ'!$E$7)))</f>
        <v>0</v>
      </c>
      <c r="CY85" s="29"/>
      <c r="CZ85" s="29">
        <f>if($F85=$G85,if(and($F85=$G85,AU85&lt;&gt;AV85),'Thể lệ'!$E$7,if($F85=AU85,0,0.5*'Thể lệ'!$E$7)),if(and($F85=AU85,$G85=AV85),"0",if(($F85-$G85)*(AU85-AV85)&gt;0,0.5*'Thể lệ'!$E$7,'Thể lệ'!$E$7)))</f>
        <v>0</v>
      </c>
      <c r="DA85" s="29"/>
      <c r="DB85" s="29">
        <f>if($F85=$G85,if(and($F85=$G85,AW85&lt;&gt;AX85),'Thể lệ'!$E$7,if($F85=AW85,0,0.5*'Thể lệ'!$E$7)),if(and($F85=AW85,$G85=AX85),"0",if(($F85-$G85)*(AW85-AX85)&gt;0,0.5*'Thể lệ'!$E$7,'Thể lệ'!$E$7)))</f>
        <v>0</v>
      </c>
      <c r="DC85" s="69"/>
      <c r="DD85" s="29">
        <f>if($F85=$G85,if(and($F85=$G85,AY85&lt;&gt;AZ85),'Thể lệ'!$E$7,if($F85=AY85,0,0.5*'Thể lệ'!$E$7)),if(and($F85=AY85,$G85=AZ85),"0",if(($F85-$G85)*(AY85-AZ85)&gt;0,0.5*'Thể lệ'!$E$7,'Thể lệ'!$E$7)))</f>
        <v>0</v>
      </c>
      <c r="DE85" s="69"/>
      <c r="DF85" s="29">
        <f>if($F85=$G85,if(and($F85=$G85,BA85&lt;&gt;BB85),'Thể lệ'!$E$7,if($F85=BA85,0,0.5*'Thể lệ'!$E$7)),if(and($F85=BA85,$G85=BB85),"0",if(($F85-$G85)*(BA85-BB85)&gt;0,0.5*'Thể lệ'!$E$7,'Thể lệ'!$E$7)))</f>
        <v>0</v>
      </c>
      <c r="DG85" s="69"/>
      <c r="DH85" s="29">
        <f>if($F85=$G85,if(and($F85=$G85,BC85&lt;&gt;BD85),'Thể lệ'!$E$7,if($F85=BC85,0,0.5*'Thể lệ'!$E$7)),if(and($F85=BC85,$G85=BD85),"0",if(($F85-$G85)*(BC85-BD85)&gt;0,0.5*'Thể lệ'!$E$7,'Thể lệ'!$E$7)))</f>
        <v>0</v>
      </c>
      <c r="DI85" s="69"/>
      <c r="DJ85" s="29">
        <f>if($F85=$G85,if(and($F85=$G85,BE85&lt;&gt;BF85),'Thể lệ'!$E$7,if($F85=BE85,0,0.5*'Thể lệ'!$E$7)),if(and($F85=BE85,$G85=BF85),"0",if(($F85-$G85)*(BE85-BF85)&gt;0,0.5*'Thể lệ'!$E$7,'Thể lệ'!$E$7)))</f>
        <v>0</v>
      </c>
      <c r="DK85" s="69"/>
      <c r="DL85" s="29">
        <f>if($F85=$G85,if(and($F85=$G85,BG85&lt;&gt;BH85),'Thể lệ'!$E$7,if($F85=BG85,0,0.5*'Thể lệ'!$E$7)),if(and($F85=BG85,$G85=BH85),"0",if(($F85-$G85)*(BG85-BH85)&gt;0,0.5*'Thể lệ'!$E$7,'Thể lệ'!$E$7)))</f>
        <v>0</v>
      </c>
      <c r="DM85" s="69"/>
      <c r="DN85" s="72">
        <f>if($F85=$G85,if(and($F85=$G85,BI85&lt;&gt;BJ85),'Thể lệ'!$E$7,if($F85=BI85,0,0.5*'Thể lệ'!$E$7)),if(and($F85=BI85,$G85=BJ85),"0",if(($F85-$G85)*(BI85-BJ85)&gt;0,0.5*'Thể lệ'!$E$7,'Thể lệ'!$E$7)))</f>
        <v>7500</v>
      </c>
      <c r="DO85" s="69"/>
      <c r="DP85" s="69"/>
    </row>
    <row r="86">
      <c r="A86" s="63"/>
      <c r="B86" s="71">
        <v>79.0</v>
      </c>
      <c r="C86" s="64">
        <v>46204.33333333333</v>
      </c>
      <c r="D86" s="65">
        <v>46204.33333333333</v>
      </c>
      <c r="E86" s="55" t="s">
        <v>81</v>
      </c>
      <c r="F86" s="23"/>
      <c r="G86" s="23"/>
      <c r="H86" s="55" t="s">
        <v>81</v>
      </c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67"/>
      <c r="BF86" s="23"/>
      <c r="BG86" s="23"/>
      <c r="BH86" s="23"/>
      <c r="BI86" s="37">
        <f>H.Son!H86</f>
        <v>1</v>
      </c>
      <c r="BJ86" s="37">
        <f>H.Son!I86</f>
        <v>1</v>
      </c>
      <c r="BK86" s="23"/>
      <c r="BL86" s="23"/>
      <c r="BM86" s="68"/>
      <c r="BN86" s="29">
        <f>if($F86=$G86,if(and($F86=$G86,I86&lt;&gt;J86),'Thể lệ'!$E$7,if($F86=I86,0,0.5*'Thể lệ'!$E$7)),if(and($F86=I86,$G86=J86),"0",if(($F86-$G86)*(I86-J86)&gt;0,0.5*'Thể lệ'!$E$7,'Thể lệ'!$E$7)))</f>
        <v>0</v>
      </c>
      <c r="BO86" s="29"/>
      <c r="BP86" s="29">
        <f>if($F86=$G86,if(and($F86=$G86,K86&lt;&gt;L86),'Thể lệ'!$E$7,if($F86=K86,0,0.5*'Thể lệ'!$E$7)),if(and($F86=K86,$G86=L86),"0",if(($F86-$G86)*(K86-L86)&gt;0,0.5*'Thể lệ'!$E$7,'Thể lệ'!$E$7)))</f>
        <v>0</v>
      </c>
      <c r="BQ86" s="29"/>
      <c r="BR86" s="29">
        <f>if($F86=$G86,if(and($F86=$G86,M86&lt;&gt;N86),'Thể lệ'!$E$7,if($F86=M86,0,0.5*'Thể lệ'!$E$7)),if(and($F86=M86,$G86=N86),"0",if(($F86-$G86)*(M86-N86)&gt;0,0.5*'Thể lệ'!$E$7,'Thể lệ'!$E$7)))</f>
        <v>0</v>
      </c>
      <c r="BS86" s="29"/>
      <c r="BT86" s="29">
        <f>if($F86=$G86,if(and($F86=$G86,O86&lt;&gt;P86),'Thể lệ'!$E$7,if($F86=O86,0,0.5*'Thể lệ'!$E$7)),if(and($F86=O86,$G86=P86),"0",if(($F86-$G86)*(O86-P86)&gt;0,0.5*'Thể lệ'!$E$7,'Thể lệ'!$E$7)))</f>
        <v>0</v>
      </c>
      <c r="BU86" s="29"/>
      <c r="BV86" s="29">
        <f>if($F86=$G86,if(and($F86=$G86,Q86&lt;&gt;R86),'Thể lệ'!$E$7,if($F86=Q86,0,0.5*'Thể lệ'!$E$7)),if(and($F86=Q86,$G86=R86),"0",if(($F86-$G86)*(Q86-R86)&gt;0,0.5*'Thể lệ'!$E$7,'Thể lệ'!$E$7)))</f>
        <v>0</v>
      </c>
      <c r="BW86" s="29"/>
      <c r="BX86" s="29">
        <f>if($F86=$G86,if(and($F86=$G86,S86&lt;&gt;T86),'Thể lệ'!$E$7,if($F86=S86,0,0.5*'Thể lệ'!$E$7)),if(and($F86=S86,$G86=T86),"0",if(($F86-$G86)*(S86-T86)&gt;0,0.5*'Thể lệ'!$E$7,'Thể lệ'!$E$7)))</f>
        <v>0</v>
      </c>
      <c r="BY86" s="29"/>
      <c r="BZ86" s="29">
        <f>if($F86=$G86,if(and($F86=$G86,U86&lt;&gt;V86),'Thể lệ'!$E$7,if($F86=U86,0,0.5*'Thể lệ'!$E$7)),if(and($F86=U86,$G86=V86),"0",if(($F86-$G86)*(U86-V86)&gt;0,0.5*'Thể lệ'!$E$7,'Thể lệ'!$E$7)))</f>
        <v>0</v>
      </c>
      <c r="CA86" s="29"/>
      <c r="CB86" s="29">
        <f>if($F86=$G86,if(and($F86=$G86,W86&lt;&gt;X86),'Thể lệ'!$E$7,if($F86=W86,0,0.5*'Thể lệ'!$E$7)),if(and($F86=W86,$G86=X86),"0",if(($F86-$G86)*(W86-X86)&gt;0,0.5*'Thể lệ'!$E$7,'Thể lệ'!$E$7)))</f>
        <v>0</v>
      </c>
      <c r="CC86" s="29"/>
      <c r="CD86" s="29">
        <f>if($F86=$G86,if(and($F86=$G86,Y86&lt;&gt;Z86),'Thể lệ'!$E$7,if($F86=Y86,0,0.5*'Thể lệ'!$E$7)),if(and($F86=Y86,$G86=Z86),"0",if(($F86-$G86)*(Y86-Z86)&gt;0,0.5*'Thể lệ'!$E$7,'Thể lệ'!$E$7)))</f>
        <v>0</v>
      </c>
      <c r="CE86" s="29"/>
      <c r="CF86" s="29">
        <f>if($F86=$G86,if(and($F86=$G86,AA86&lt;&gt;AB86),'Thể lệ'!$E$7,if($F86=AA86,0,0.5*'Thể lệ'!$E$7)),if(and($F86=AA86,$G86=AB86),"0",if(($F86-$G86)*(AA86-AB86)&gt;0,0.5*'Thể lệ'!$E$7,'Thể lệ'!$E$7)))</f>
        <v>0</v>
      </c>
      <c r="CG86" s="29"/>
      <c r="CH86" s="29">
        <f>if($F86=$G86,if(and($F86=$G86,AC86&lt;&gt;AD86),'Thể lệ'!$E$7,if($F86=AC86,0,0.5*'Thể lệ'!$E$7)),if(and($F86=AC86,$G86=AD86),"0",if(($F86-$G86)*(AC86-AD86)&gt;0,0.5*'Thể lệ'!$E$7,'Thể lệ'!$E$7)))</f>
        <v>0</v>
      </c>
      <c r="CI86" s="29"/>
      <c r="CJ86" s="29">
        <f>if($F86=$G86,if(and($F86=$G86,AE86&lt;&gt;AF86),'Thể lệ'!$E$7,if($F86=AE86,0,0.5*'Thể lệ'!$E$7)),if(and($F86=AE86,$G86=AF86),"0",if(($F86-$G86)*(AE86-AF86)&gt;0,0.5*'Thể lệ'!$E$7,'Thể lệ'!$E$7)))</f>
        <v>0</v>
      </c>
      <c r="CK86" s="29"/>
      <c r="CL86" s="29">
        <f>if($F86=$G86,if(and($F86=$G86,AG86&lt;&gt;AH86),'Thể lệ'!$E$7,if($F86=AG86,0,0.5*'Thể lệ'!$E$7)),if(and($F86=AG86,$G86=AH86),"0",if(($F86-$G86)*(AG86-AH86)&gt;0,0.5*'Thể lệ'!$E$7,'Thể lệ'!$E$7)))</f>
        <v>0</v>
      </c>
      <c r="CM86" s="29"/>
      <c r="CN86" s="29">
        <f>if($F86=$G86,if(and($F86=$G86,AI86&lt;&gt;AJ86),'Thể lệ'!$E$7,if($F86=AI86,0,0.5*'Thể lệ'!$E$7)),if(and($F86=AI86,$G86=AJ86),"0",if(($F86-$G86)*(AI86-AJ86)&gt;0,0.5*'Thể lệ'!$E$7,'Thể lệ'!$E$7)))</f>
        <v>0</v>
      </c>
      <c r="CO86" s="29"/>
      <c r="CP86" s="29">
        <f>if($F86=$G86,if(and($F86=$G86,AK86&lt;&gt;AL86),'Thể lệ'!$E$7,if($F86=AK86,0,0.5*'Thể lệ'!$E$7)),if(and($F86=AK86,$G86=AL86),"0",if(($F86-$G86)*(AK86-AL86)&gt;0,0.5*'Thể lệ'!$E$7,'Thể lệ'!$E$7)))</f>
        <v>0</v>
      </c>
      <c r="CQ86" s="29"/>
      <c r="CR86" s="29">
        <f>if($F86=$G86,if(and($F86=$G86,AM86&lt;&gt;AN86),'Thể lệ'!$E$7,if($F86=AM86,0,0.5*'Thể lệ'!$E$7)),if(and($F86=AM86,$G86=AN86),"0",if(($F86-$G86)*(AM86-AN86)&gt;0,0.5*'Thể lệ'!$E$7,'Thể lệ'!$E$7)))</f>
        <v>0</v>
      </c>
      <c r="CS86" s="29"/>
      <c r="CT86" s="29">
        <f>if($F86=$G86,if(and($F86=$G86,AO86&lt;&gt;AP86),'Thể lệ'!$E$7,if($F86=AO86,0,0.5*'Thể lệ'!$E$7)),if(and($F86=AO86,$G86=AP86),"0",if(($F86-$G86)*(AO86-AP86)&gt;0,0.5*'Thể lệ'!$E$7,'Thể lệ'!$E$7)))</f>
        <v>0</v>
      </c>
      <c r="CU86" s="29"/>
      <c r="CV86" s="29">
        <f>if($F86=$G86,if(and($F86=$G86,AQ86&lt;&gt;AR86),'Thể lệ'!$E$7,if($F86=AQ86,0,0.5*'Thể lệ'!$E$7)),if(and($F86=AQ86,$G86=AR86),"0",if(($F86-$G86)*(AQ86-AR86)&gt;0,0.5*'Thể lệ'!$E$7,'Thể lệ'!$E$7)))</f>
        <v>0</v>
      </c>
      <c r="CW86" s="29"/>
      <c r="CX86" s="29">
        <f>if($F86=$G86,if(and($F86=$G86,AS86&lt;&gt;AT86),'Thể lệ'!$E$7,if($F86=AS86,0,0.5*'Thể lệ'!$E$7)),if(and($F86=AS86,$G86=AT86),"0",if(($F86-$G86)*(AS86-AT86)&gt;0,0.5*'Thể lệ'!$E$7,'Thể lệ'!$E$7)))</f>
        <v>0</v>
      </c>
      <c r="CY86" s="29"/>
      <c r="CZ86" s="29">
        <f>if($F86=$G86,if(and($F86=$G86,AU86&lt;&gt;AV86),'Thể lệ'!$E$7,if($F86=AU86,0,0.5*'Thể lệ'!$E$7)),if(and($F86=AU86,$G86=AV86),"0",if(($F86-$G86)*(AU86-AV86)&gt;0,0.5*'Thể lệ'!$E$7,'Thể lệ'!$E$7)))</f>
        <v>0</v>
      </c>
      <c r="DA86" s="29"/>
      <c r="DB86" s="29">
        <f>if($F86=$G86,if(and($F86=$G86,AW86&lt;&gt;AX86),'Thể lệ'!$E$7,if($F86=AW86,0,0.5*'Thể lệ'!$E$7)),if(and($F86=AW86,$G86=AX86),"0",if(($F86-$G86)*(AW86-AX86)&gt;0,0.5*'Thể lệ'!$E$7,'Thể lệ'!$E$7)))</f>
        <v>0</v>
      </c>
      <c r="DC86" s="69"/>
      <c r="DD86" s="29">
        <f>if($F86=$G86,if(and($F86=$G86,AY86&lt;&gt;AZ86),'Thể lệ'!$E$7,if($F86=AY86,0,0.5*'Thể lệ'!$E$7)),if(and($F86=AY86,$G86=AZ86),"0",if(($F86-$G86)*(AY86-AZ86)&gt;0,0.5*'Thể lệ'!$E$7,'Thể lệ'!$E$7)))</f>
        <v>0</v>
      </c>
      <c r="DE86" s="69"/>
      <c r="DF86" s="29">
        <f>if($F86=$G86,if(and($F86=$G86,BA86&lt;&gt;BB86),'Thể lệ'!$E$7,if($F86=BA86,0,0.5*'Thể lệ'!$E$7)),if(and($F86=BA86,$G86=BB86),"0",if(($F86-$G86)*(BA86-BB86)&gt;0,0.5*'Thể lệ'!$E$7,'Thể lệ'!$E$7)))</f>
        <v>0</v>
      </c>
      <c r="DG86" s="69"/>
      <c r="DH86" s="29">
        <f>if($F86=$G86,if(and($F86=$G86,BC86&lt;&gt;BD86),'Thể lệ'!$E$7,if($F86=BC86,0,0.5*'Thể lệ'!$E$7)),if(and($F86=BC86,$G86=BD86),"0",if(($F86-$G86)*(BC86-BD86)&gt;0,0.5*'Thể lệ'!$E$7,'Thể lệ'!$E$7)))</f>
        <v>0</v>
      </c>
      <c r="DI86" s="69"/>
      <c r="DJ86" s="29">
        <f>if($F86=$G86,if(and($F86=$G86,BE86&lt;&gt;BF86),'Thể lệ'!$E$7,if($F86=BE86,0,0.5*'Thể lệ'!$E$7)),if(and($F86=BE86,$G86=BF86),"0",if(($F86-$G86)*(BE86-BF86)&gt;0,0.5*'Thể lệ'!$E$7,'Thể lệ'!$E$7)))</f>
        <v>0</v>
      </c>
      <c r="DK86" s="69"/>
      <c r="DL86" s="29">
        <f>if($F86=$G86,if(and($F86=$G86,BG86&lt;&gt;BH86),'Thể lệ'!$E$7,if($F86=BG86,0,0.5*'Thể lệ'!$E$7)),if(and($F86=BG86,$G86=BH86),"0",if(($F86-$G86)*(BG86-BH86)&gt;0,0.5*'Thể lệ'!$E$7,'Thể lệ'!$E$7)))</f>
        <v>0</v>
      </c>
      <c r="DM86" s="69"/>
      <c r="DN86" s="72">
        <f>if($F86=$G86,if(and($F86=$G86,BI86&lt;&gt;BJ86),'Thể lệ'!$E$7,if($F86=BI86,0,0.5*'Thể lệ'!$E$7)),if(and($F86=BI86,$G86=BJ86),"0",if(($F86-$G86)*(BI86-BJ86)&gt;0,0.5*'Thể lệ'!$E$7,'Thể lệ'!$E$7)))</f>
        <v>7500</v>
      </c>
      <c r="DO86" s="69"/>
      <c r="DP86" s="69"/>
    </row>
    <row r="87">
      <c r="A87" s="63"/>
      <c r="B87" s="71">
        <v>80.0</v>
      </c>
      <c r="C87" s="64">
        <v>46204.95833333333</v>
      </c>
      <c r="D87" s="65">
        <v>46204.95833333333</v>
      </c>
      <c r="E87" s="55" t="s">
        <v>81</v>
      </c>
      <c r="F87" s="23"/>
      <c r="G87" s="23"/>
      <c r="H87" s="55" t="s">
        <v>81</v>
      </c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67"/>
      <c r="BF87" s="23"/>
      <c r="BG87" s="23"/>
      <c r="BH87" s="23"/>
      <c r="BI87" s="37">
        <f>H.Son!H87</f>
        <v>1</v>
      </c>
      <c r="BJ87" s="37">
        <f>H.Son!I87</f>
        <v>1</v>
      </c>
      <c r="BK87" s="23"/>
      <c r="BL87" s="23"/>
      <c r="BM87" s="68"/>
      <c r="BN87" s="29">
        <f>if($F87=$G87,if(and($F87=$G87,I87&lt;&gt;J87),'Thể lệ'!$E$7,if($F87=I87,0,0.5*'Thể lệ'!$E$7)),if(and($F87=I87,$G87=J87),"0",if(($F87-$G87)*(I87-J87)&gt;0,0.5*'Thể lệ'!$E$7,'Thể lệ'!$E$7)))</f>
        <v>0</v>
      </c>
      <c r="BO87" s="29"/>
      <c r="BP87" s="29">
        <f>if($F87=$G87,if(and($F87=$G87,K87&lt;&gt;L87),'Thể lệ'!$E$7,if($F87=K87,0,0.5*'Thể lệ'!$E$7)),if(and($F87=K87,$G87=L87),"0",if(($F87-$G87)*(K87-L87)&gt;0,0.5*'Thể lệ'!$E$7,'Thể lệ'!$E$7)))</f>
        <v>0</v>
      </c>
      <c r="BQ87" s="29"/>
      <c r="BR87" s="29">
        <f>if($F87=$G87,if(and($F87=$G87,M87&lt;&gt;N87),'Thể lệ'!$E$7,if($F87=M87,0,0.5*'Thể lệ'!$E$7)),if(and($F87=M87,$G87=N87),"0",if(($F87-$G87)*(M87-N87)&gt;0,0.5*'Thể lệ'!$E$7,'Thể lệ'!$E$7)))</f>
        <v>0</v>
      </c>
      <c r="BS87" s="29"/>
      <c r="BT87" s="29">
        <f>if($F87=$G87,if(and($F87=$G87,O87&lt;&gt;P87),'Thể lệ'!$E$7,if($F87=O87,0,0.5*'Thể lệ'!$E$7)),if(and($F87=O87,$G87=P87),"0",if(($F87-$G87)*(O87-P87)&gt;0,0.5*'Thể lệ'!$E$7,'Thể lệ'!$E$7)))</f>
        <v>0</v>
      </c>
      <c r="BU87" s="29"/>
      <c r="BV87" s="29">
        <f>if($F87=$G87,if(and($F87=$G87,Q87&lt;&gt;R87),'Thể lệ'!$E$7,if($F87=Q87,0,0.5*'Thể lệ'!$E$7)),if(and($F87=Q87,$G87=R87),"0",if(($F87-$G87)*(Q87-R87)&gt;0,0.5*'Thể lệ'!$E$7,'Thể lệ'!$E$7)))</f>
        <v>0</v>
      </c>
      <c r="BW87" s="29"/>
      <c r="BX87" s="29">
        <f>if($F87=$G87,if(and($F87=$G87,S87&lt;&gt;T87),'Thể lệ'!$E$7,if($F87=S87,0,0.5*'Thể lệ'!$E$7)),if(and($F87=S87,$G87=T87),"0",if(($F87-$G87)*(S87-T87)&gt;0,0.5*'Thể lệ'!$E$7,'Thể lệ'!$E$7)))</f>
        <v>0</v>
      </c>
      <c r="BY87" s="29"/>
      <c r="BZ87" s="29">
        <f>if($F87=$G87,if(and($F87=$G87,U87&lt;&gt;V87),'Thể lệ'!$E$7,if($F87=U87,0,0.5*'Thể lệ'!$E$7)),if(and($F87=U87,$G87=V87),"0",if(($F87-$G87)*(U87-V87)&gt;0,0.5*'Thể lệ'!$E$7,'Thể lệ'!$E$7)))</f>
        <v>0</v>
      </c>
      <c r="CA87" s="29"/>
      <c r="CB87" s="29">
        <f>if($F87=$G87,if(and($F87=$G87,W87&lt;&gt;X87),'Thể lệ'!$E$7,if($F87=W87,0,0.5*'Thể lệ'!$E$7)),if(and($F87=W87,$G87=X87),"0",if(($F87-$G87)*(W87-X87)&gt;0,0.5*'Thể lệ'!$E$7,'Thể lệ'!$E$7)))</f>
        <v>0</v>
      </c>
      <c r="CC87" s="29"/>
      <c r="CD87" s="29">
        <f>if($F87=$G87,if(and($F87=$G87,Y87&lt;&gt;Z87),'Thể lệ'!$E$7,if($F87=Y87,0,0.5*'Thể lệ'!$E$7)),if(and($F87=Y87,$G87=Z87),"0",if(($F87-$G87)*(Y87-Z87)&gt;0,0.5*'Thể lệ'!$E$7,'Thể lệ'!$E$7)))</f>
        <v>0</v>
      </c>
      <c r="CE87" s="29"/>
      <c r="CF87" s="29">
        <f>if($F87=$G87,if(and($F87=$G87,AA87&lt;&gt;AB87),'Thể lệ'!$E$7,if($F87=AA87,0,0.5*'Thể lệ'!$E$7)),if(and($F87=AA87,$G87=AB87),"0",if(($F87-$G87)*(AA87-AB87)&gt;0,0.5*'Thể lệ'!$E$7,'Thể lệ'!$E$7)))</f>
        <v>0</v>
      </c>
      <c r="CG87" s="29"/>
      <c r="CH87" s="29">
        <f>if($F87=$G87,if(and($F87=$G87,AC87&lt;&gt;AD87),'Thể lệ'!$E$7,if($F87=AC87,0,0.5*'Thể lệ'!$E$7)),if(and($F87=AC87,$G87=AD87),"0",if(($F87-$G87)*(AC87-AD87)&gt;0,0.5*'Thể lệ'!$E$7,'Thể lệ'!$E$7)))</f>
        <v>0</v>
      </c>
      <c r="CI87" s="29"/>
      <c r="CJ87" s="29">
        <f>if($F87=$G87,if(and($F87=$G87,AE87&lt;&gt;AF87),'Thể lệ'!$E$7,if($F87=AE87,0,0.5*'Thể lệ'!$E$7)),if(and($F87=AE87,$G87=AF87),"0",if(($F87-$G87)*(AE87-AF87)&gt;0,0.5*'Thể lệ'!$E$7,'Thể lệ'!$E$7)))</f>
        <v>0</v>
      </c>
      <c r="CK87" s="29"/>
      <c r="CL87" s="29">
        <f>if($F87=$G87,if(and($F87=$G87,AG87&lt;&gt;AH87),'Thể lệ'!$E$7,if($F87=AG87,0,0.5*'Thể lệ'!$E$7)),if(and($F87=AG87,$G87=AH87),"0",if(($F87-$G87)*(AG87-AH87)&gt;0,0.5*'Thể lệ'!$E$7,'Thể lệ'!$E$7)))</f>
        <v>0</v>
      </c>
      <c r="CM87" s="29"/>
      <c r="CN87" s="29">
        <f>if($F87=$G87,if(and($F87=$G87,AI87&lt;&gt;AJ87),'Thể lệ'!$E$7,if($F87=AI87,0,0.5*'Thể lệ'!$E$7)),if(and($F87=AI87,$G87=AJ87),"0",if(($F87-$G87)*(AI87-AJ87)&gt;0,0.5*'Thể lệ'!$E$7,'Thể lệ'!$E$7)))</f>
        <v>0</v>
      </c>
      <c r="CO87" s="29"/>
      <c r="CP87" s="29">
        <f>if($F87=$G87,if(and($F87=$G87,AK87&lt;&gt;AL87),'Thể lệ'!$E$7,if($F87=AK87,0,0.5*'Thể lệ'!$E$7)),if(and($F87=AK87,$G87=AL87),"0",if(($F87-$G87)*(AK87-AL87)&gt;0,0.5*'Thể lệ'!$E$7,'Thể lệ'!$E$7)))</f>
        <v>0</v>
      </c>
      <c r="CQ87" s="29"/>
      <c r="CR87" s="29">
        <f>if($F87=$G87,if(and($F87=$G87,AM87&lt;&gt;AN87),'Thể lệ'!$E$7,if($F87=AM87,0,0.5*'Thể lệ'!$E$7)),if(and($F87=AM87,$G87=AN87),"0",if(($F87-$G87)*(AM87-AN87)&gt;0,0.5*'Thể lệ'!$E$7,'Thể lệ'!$E$7)))</f>
        <v>0</v>
      </c>
      <c r="CS87" s="29"/>
      <c r="CT87" s="29">
        <f>if($F87=$G87,if(and($F87=$G87,AO87&lt;&gt;AP87),'Thể lệ'!$E$7,if($F87=AO87,0,0.5*'Thể lệ'!$E$7)),if(and($F87=AO87,$G87=AP87),"0",if(($F87-$G87)*(AO87-AP87)&gt;0,0.5*'Thể lệ'!$E$7,'Thể lệ'!$E$7)))</f>
        <v>0</v>
      </c>
      <c r="CU87" s="29"/>
      <c r="CV87" s="29">
        <f>if($F87=$G87,if(and($F87=$G87,AQ87&lt;&gt;AR87),'Thể lệ'!$E$7,if($F87=AQ87,0,0.5*'Thể lệ'!$E$7)),if(and($F87=AQ87,$G87=AR87),"0",if(($F87-$G87)*(AQ87-AR87)&gt;0,0.5*'Thể lệ'!$E$7,'Thể lệ'!$E$7)))</f>
        <v>0</v>
      </c>
      <c r="CW87" s="29"/>
      <c r="CX87" s="29">
        <f>if($F87=$G87,if(and($F87=$G87,AS87&lt;&gt;AT87),'Thể lệ'!$E$7,if($F87=AS87,0,0.5*'Thể lệ'!$E$7)),if(and($F87=AS87,$G87=AT87),"0",if(($F87-$G87)*(AS87-AT87)&gt;0,0.5*'Thể lệ'!$E$7,'Thể lệ'!$E$7)))</f>
        <v>0</v>
      </c>
      <c r="CY87" s="29"/>
      <c r="CZ87" s="29">
        <f>if($F87=$G87,if(and($F87=$G87,AU87&lt;&gt;AV87),'Thể lệ'!$E$7,if($F87=AU87,0,0.5*'Thể lệ'!$E$7)),if(and($F87=AU87,$G87=AV87),"0",if(($F87-$G87)*(AU87-AV87)&gt;0,0.5*'Thể lệ'!$E$7,'Thể lệ'!$E$7)))</f>
        <v>0</v>
      </c>
      <c r="DA87" s="29"/>
      <c r="DB87" s="29">
        <f>if($F87=$G87,if(and($F87=$G87,AW87&lt;&gt;AX87),'Thể lệ'!$E$7,if($F87=AW87,0,0.5*'Thể lệ'!$E$7)),if(and($F87=AW87,$G87=AX87),"0",if(($F87-$G87)*(AW87-AX87)&gt;0,0.5*'Thể lệ'!$E$7,'Thể lệ'!$E$7)))</f>
        <v>0</v>
      </c>
      <c r="DC87" s="69"/>
      <c r="DD87" s="29">
        <f>if($F87=$G87,if(and($F87=$G87,AY87&lt;&gt;AZ87),'Thể lệ'!$E$7,if($F87=AY87,0,0.5*'Thể lệ'!$E$7)),if(and($F87=AY87,$G87=AZ87),"0",if(($F87-$G87)*(AY87-AZ87)&gt;0,0.5*'Thể lệ'!$E$7,'Thể lệ'!$E$7)))</f>
        <v>0</v>
      </c>
      <c r="DE87" s="69"/>
      <c r="DF87" s="29">
        <f>if($F87=$G87,if(and($F87=$G87,BA87&lt;&gt;BB87),'Thể lệ'!$E$7,if($F87=BA87,0,0.5*'Thể lệ'!$E$7)),if(and($F87=BA87,$G87=BB87),"0",if(($F87-$G87)*(BA87-BB87)&gt;0,0.5*'Thể lệ'!$E$7,'Thể lệ'!$E$7)))</f>
        <v>0</v>
      </c>
      <c r="DG87" s="69"/>
      <c r="DH87" s="29">
        <f>if($F87=$G87,if(and($F87=$G87,BC87&lt;&gt;BD87),'Thể lệ'!$E$7,if($F87=BC87,0,0.5*'Thể lệ'!$E$7)),if(and($F87=BC87,$G87=BD87),"0",if(($F87-$G87)*(BC87-BD87)&gt;0,0.5*'Thể lệ'!$E$7,'Thể lệ'!$E$7)))</f>
        <v>0</v>
      </c>
      <c r="DI87" s="69"/>
      <c r="DJ87" s="29">
        <f>if($F87=$G87,if(and($F87=$G87,BE87&lt;&gt;BF87),'Thể lệ'!$E$7,if($F87=BE87,0,0.5*'Thể lệ'!$E$7)),if(and($F87=BE87,$G87=BF87),"0",if(($F87-$G87)*(BE87-BF87)&gt;0,0.5*'Thể lệ'!$E$7,'Thể lệ'!$E$7)))</f>
        <v>0</v>
      </c>
      <c r="DK87" s="69"/>
      <c r="DL87" s="29">
        <f>if($F87=$G87,if(and($F87=$G87,BG87&lt;&gt;BH87),'Thể lệ'!$E$7,if($F87=BG87,0,0.5*'Thể lệ'!$E$7)),if(and($F87=BG87,$G87=BH87),"0",if(($F87-$G87)*(BG87-BH87)&gt;0,0.5*'Thể lệ'!$E$7,'Thể lệ'!$E$7)))</f>
        <v>0</v>
      </c>
      <c r="DM87" s="69"/>
      <c r="DN87" s="72">
        <f>if($F87=$G87,if(and($F87=$G87,BI87&lt;&gt;BJ87),'Thể lệ'!$E$7,if($F87=BI87,0,0.5*'Thể lệ'!$E$7)),if(and($F87=BI87,$G87=BJ87),"0",if(($F87-$G87)*(BI87-BJ87)&gt;0,0.5*'Thể lệ'!$E$7,'Thể lệ'!$E$7)))</f>
        <v>7500</v>
      </c>
      <c r="DO87" s="69"/>
      <c r="DP87" s="69"/>
    </row>
    <row r="88">
      <c r="A88" s="63"/>
      <c r="B88" s="71">
        <v>81.0</v>
      </c>
      <c r="C88" s="64">
        <v>46205.12499999999</v>
      </c>
      <c r="D88" s="65">
        <v>46205.12499999999</v>
      </c>
      <c r="E88" s="55" t="s">
        <v>81</v>
      </c>
      <c r="F88" s="23"/>
      <c r="G88" s="23"/>
      <c r="H88" s="55" t="s">
        <v>81</v>
      </c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67"/>
      <c r="BF88" s="23"/>
      <c r="BG88" s="23"/>
      <c r="BH88" s="23"/>
      <c r="BI88" s="37">
        <f>H.Son!H88</f>
        <v>1</v>
      </c>
      <c r="BJ88" s="37">
        <f>H.Son!I88</f>
        <v>1</v>
      </c>
      <c r="BK88" s="23"/>
      <c r="BL88" s="23"/>
      <c r="BM88" s="68"/>
      <c r="BN88" s="29">
        <f>if($F88=$G88,if(and($F88=$G88,I88&lt;&gt;J88),'Thể lệ'!$E$7,if($F88=I88,0,0.5*'Thể lệ'!$E$7)),if(and($F88=I88,$G88=J88),"0",if(($F88-$G88)*(I88-J88)&gt;0,0.5*'Thể lệ'!$E$7,'Thể lệ'!$E$7)))</f>
        <v>0</v>
      </c>
      <c r="BO88" s="29"/>
      <c r="BP88" s="29">
        <f>if($F88=$G88,if(and($F88=$G88,K88&lt;&gt;L88),'Thể lệ'!$E$7,if($F88=K88,0,0.5*'Thể lệ'!$E$7)),if(and($F88=K88,$G88=L88),"0",if(($F88-$G88)*(K88-L88)&gt;0,0.5*'Thể lệ'!$E$7,'Thể lệ'!$E$7)))</f>
        <v>0</v>
      </c>
      <c r="BQ88" s="29"/>
      <c r="BR88" s="29">
        <f>if($F88=$G88,if(and($F88=$G88,M88&lt;&gt;N88),'Thể lệ'!$E$7,if($F88=M88,0,0.5*'Thể lệ'!$E$7)),if(and($F88=M88,$G88=N88),"0",if(($F88-$G88)*(M88-N88)&gt;0,0.5*'Thể lệ'!$E$7,'Thể lệ'!$E$7)))</f>
        <v>0</v>
      </c>
      <c r="BS88" s="29"/>
      <c r="BT88" s="29">
        <f>if($F88=$G88,if(and($F88=$G88,O88&lt;&gt;P88),'Thể lệ'!$E$7,if($F88=O88,0,0.5*'Thể lệ'!$E$7)),if(and($F88=O88,$G88=P88),"0",if(($F88-$G88)*(O88-P88)&gt;0,0.5*'Thể lệ'!$E$7,'Thể lệ'!$E$7)))</f>
        <v>0</v>
      </c>
      <c r="BU88" s="29"/>
      <c r="BV88" s="29">
        <f>if($F88=$G88,if(and($F88=$G88,Q88&lt;&gt;R88),'Thể lệ'!$E$7,if($F88=Q88,0,0.5*'Thể lệ'!$E$7)),if(and($F88=Q88,$G88=R88),"0",if(($F88-$G88)*(Q88-R88)&gt;0,0.5*'Thể lệ'!$E$7,'Thể lệ'!$E$7)))</f>
        <v>0</v>
      </c>
      <c r="BW88" s="29"/>
      <c r="BX88" s="29">
        <f>if($F88=$G88,if(and($F88=$G88,S88&lt;&gt;T88),'Thể lệ'!$E$7,if($F88=S88,0,0.5*'Thể lệ'!$E$7)),if(and($F88=S88,$G88=T88),"0",if(($F88-$G88)*(S88-T88)&gt;0,0.5*'Thể lệ'!$E$7,'Thể lệ'!$E$7)))</f>
        <v>0</v>
      </c>
      <c r="BY88" s="29"/>
      <c r="BZ88" s="29">
        <f>if($F88=$G88,if(and($F88=$G88,U88&lt;&gt;V88),'Thể lệ'!$E$7,if($F88=U88,0,0.5*'Thể lệ'!$E$7)),if(and($F88=U88,$G88=V88),"0",if(($F88-$G88)*(U88-V88)&gt;0,0.5*'Thể lệ'!$E$7,'Thể lệ'!$E$7)))</f>
        <v>0</v>
      </c>
      <c r="CA88" s="29"/>
      <c r="CB88" s="29">
        <f>if($F88=$G88,if(and($F88=$G88,W88&lt;&gt;X88),'Thể lệ'!$E$7,if($F88=W88,0,0.5*'Thể lệ'!$E$7)),if(and($F88=W88,$G88=X88),"0",if(($F88-$G88)*(W88-X88)&gt;0,0.5*'Thể lệ'!$E$7,'Thể lệ'!$E$7)))</f>
        <v>0</v>
      </c>
      <c r="CC88" s="29"/>
      <c r="CD88" s="29">
        <f>if($F88=$G88,if(and($F88=$G88,Y88&lt;&gt;Z88),'Thể lệ'!$E$7,if($F88=Y88,0,0.5*'Thể lệ'!$E$7)),if(and($F88=Y88,$G88=Z88),"0",if(($F88-$G88)*(Y88-Z88)&gt;0,0.5*'Thể lệ'!$E$7,'Thể lệ'!$E$7)))</f>
        <v>0</v>
      </c>
      <c r="CE88" s="29"/>
      <c r="CF88" s="29">
        <f>if($F88=$G88,if(and($F88=$G88,AA88&lt;&gt;AB88),'Thể lệ'!$E$7,if($F88=AA88,0,0.5*'Thể lệ'!$E$7)),if(and($F88=AA88,$G88=AB88),"0",if(($F88-$G88)*(AA88-AB88)&gt;0,0.5*'Thể lệ'!$E$7,'Thể lệ'!$E$7)))</f>
        <v>0</v>
      </c>
      <c r="CG88" s="29"/>
      <c r="CH88" s="29">
        <f>if($F88=$G88,if(and($F88=$G88,AC88&lt;&gt;AD88),'Thể lệ'!$E$7,if($F88=AC88,0,0.5*'Thể lệ'!$E$7)),if(and($F88=AC88,$G88=AD88),"0",if(($F88-$G88)*(AC88-AD88)&gt;0,0.5*'Thể lệ'!$E$7,'Thể lệ'!$E$7)))</f>
        <v>0</v>
      </c>
      <c r="CI88" s="29"/>
      <c r="CJ88" s="29">
        <f>if($F88=$G88,if(and($F88=$G88,AE88&lt;&gt;AF88),'Thể lệ'!$E$7,if($F88=AE88,0,0.5*'Thể lệ'!$E$7)),if(and($F88=AE88,$G88=AF88),"0",if(($F88-$G88)*(AE88-AF88)&gt;0,0.5*'Thể lệ'!$E$7,'Thể lệ'!$E$7)))</f>
        <v>0</v>
      </c>
      <c r="CK88" s="29"/>
      <c r="CL88" s="29">
        <f>if($F88=$G88,if(and($F88=$G88,AG88&lt;&gt;AH88),'Thể lệ'!$E$7,if($F88=AG88,0,0.5*'Thể lệ'!$E$7)),if(and($F88=AG88,$G88=AH88),"0",if(($F88-$G88)*(AG88-AH88)&gt;0,0.5*'Thể lệ'!$E$7,'Thể lệ'!$E$7)))</f>
        <v>0</v>
      </c>
      <c r="CM88" s="29"/>
      <c r="CN88" s="29">
        <f>if($F88=$G88,if(and($F88=$G88,AI88&lt;&gt;AJ88),'Thể lệ'!$E$7,if($F88=AI88,0,0.5*'Thể lệ'!$E$7)),if(and($F88=AI88,$G88=AJ88),"0",if(($F88-$G88)*(AI88-AJ88)&gt;0,0.5*'Thể lệ'!$E$7,'Thể lệ'!$E$7)))</f>
        <v>0</v>
      </c>
      <c r="CO88" s="29"/>
      <c r="CP88" s="29">
        <f>if($F88=$G88,if(and($F88=$G88,AK88&lt;&gt;AL88),'Thể lệ'!$E$7,if($F88=AK88,0,0.5*'Thể lệ'!$E$7)),if(and($F88=AK88,$G88=AL88),"0",if(($F88-$G88)*(AK88-AL88)&gt;0,0.5*'Thể lệ'!$E$7,'Thể lệ'!$E$7)))</f>
        <v>0</v>
      </c>
      <c r="CQ88" s="29"/>
      <c r="CR88" s="29">
        <f>if($F88=$G88,if(and($F88=$G88,AM88&lt;&gt;AN88),'Thể lệ'!$E$7,if($F88=AM88,0,0.5*'Thể lệ'!$E$7)),if(and($F88=AM88,$G88=AN88),"0",if(($F88-$G88)*(AM88-AN88)&gt;0,0.5*'Thể lệ'!$E$7,'Thể lệ'!$E$7)))</f>
        <v>0</v>
      </c>
      <c r="CS88" s="29"/>
      <c r="CT88" s="29">
        <f>if($F88=$G88,if(and($F88=$G88,AO88&lt;&gt;AP88),'Thể lệ'!$E$7,if($F88=AO88,0,0.5*'Thể lệ'!$E$7)),if(and($F88=AO88,$G88=AP88),"0",if(($F88-$G88)*(AO88-AP88)&gt;0,0.5*'Thể lệ'!$E$7,'Thể lệ'!$E$7)))</f>
        <v>0</v>
      </c>
      <c r="CU88" s="29"/>
      <c r="CV88" s="29">
        <f>if($F88=$G88,if(and($F88=$G88,AQ88&lt;&gt;AR88),'Thể lệ'!$E$7,if($F88=AQ88,0,0.5*'Thể lệ'!$E$7)),if(and($F88=AQ88,$G88=AR88),"0",if(($F88-$G88)*(AQ88-AR88)&gt;0,0.5*'Thể lệ'!$E$7,'Thể lệ'!$E$7)))</f>
        <v>0</v>
      </c>
      <c r="CW88" s="29"/>
      <c r="CX88" s="29">
        <f>if($F88=$G88,if(and($F88=$G88,AS88&lt;&gt;AT88),'Thể lệ'!$E$7,if($F88=AS88,0,0.5*'Thể lệ'!$E$7)),if(and($F88=AS88,$G88=AT88),"0",if(($F88-$G88)*(AS88-AT88)&gt;0,0.5*'Thể lệ'!$E$7,'Thể lệ'!$E$7)))</f>
        <v>0</v>
      </c>
      <c r="CY88" s="29"/>
      <c r="CZ88" s="29">
        <f>if($F88=$G88,if(and($F88=$G88,AU88&lt;&gt;AV88),'Thể lệ'!$E$7,if($F88=AU88,0,0.5*'Thể lệ'!$E$7)),if(and($F88=AU88,$G88=AV88),"0",if(($F88-$G88)*(AU88-AV88)&gt;0,0.5*'Thể lệ'!$E$7,'Thể lệ'!$E$7)))</f>
        <v>0</v>
      </c>
      <c r="DA88" s="29"/>
      <c r="DB88" s="29">
        <f>if($F88=$G88,if(and($F88=$G88,AW88&lt;&gt;AX88),'Thể lệ'!$E$7,if($F88=AW88,0,0.5*'Thể lệ'!$E$7)),if(and($F88=AW88,$G88=AX88),"0",if(($F88-$G88)*(AW88-AX88)&gt;0,0.5*'Thể lệ'!$E$7,'Thể lệ'!$E$7)))</f>
        <v>0</v>
      </c>
      <c r="DC88" s="69"/>
      <c r="DD88" s="29">
        <f>if($F88=$G88,if(and($F88=$G88,AY88&lt;&gt;AZ88),'Thể lệ'!$E$7,if($F88=AY88,0,0.5*'Thể lệ'!$E$7)),if(and($F88=AY88,$G88=AZ88),"0",if(($F88-$G88)*(AY88-AZ88)&gt;0,0.5*'Thể lệ'!$E$7,'Thể lệ'!$E$7)))</f>
        <v>0</v>
      </c>
      <c r="DE88" s="69"/>
      <c r="DF88" s="29">
        <f>if($F88=$G88,if(and($F88=$G88,BA88&lt;&gt;BB88),'Thể lệ'!$E$7,if($F88=BA88,0,0.5*'Thể lệ'!$E$7)),if(and($F88=BA88,$G88=BB88),"0",if(($F88-$G88)*(BA88-BB88)&gt;0,0.5*'Thể lệ'!$E$7,'Thể lệ'!$E$7)))</f>
        <v>0</v>
      </c>
      <c r="DG88" s="69"/>
      <c r="DH88" s="29">
        <f>if($F88=$G88,if(and($F88=$G88,BC88&lt;&gt;BD88),'Thể lệ'!$E$7,if($F88=BC88,0,0.5*'Thể lệ'!$E$7)),if(and($F88=BC88,$G88=BD88),"0",if(($F88-$G88)*(BC88-BD88)&gt;0,0.5*'Thể lệ'!$E$7,'Thể lệ'!$E$7)))</f>
        <v>0</v>
      </c>
      <c r="DI88" s="69"/>
      <c r="DJ88" s="29">
        <f>if($F88=$G88,if(and($F88=$G88,BE88&lt;&gt;BF88),'Thể lệ'!$E$7,if($F88=BE88,0,0.5*'Thể lệ'!$E$7)),if(and($F88=BE88,$G88=BF88),"0",if(($F88-$G88)*(BE88-BF88)&gt;0,0.5*'Thể lệ'!$E$7,'Thể lệ'!$E$7)))</f>
        <v>0</v>
      </c>
      <c r="DK88" s="69"/>
      <c r="DL88" s="29">
        <f>if($F88=$G88,if(and($F88=$G88,BG88&lt;&gt;BH88),'Thể lệ'!$E$7,if($F88=BG88,0,0.5*'Thể lệ'!$E$7)),if(and($F88=BG88,$G88=BH88),"0",if(($F88-$G88)*(BG88-BH88)&gt;0,0.5*'Thể lệ'!$E$7,'Thể lệ'!$E$7)))</f>
        <v>0</v>
      </c>
      <c r="DM88" s="69"/>
      <c r="DN88" s="72">
        <f>if($F88=$G88,if(and($F88=$G88,BI88&lt;&gt;BJ88),'Thể lệ'!$E$7,if($F88=BI88,0,0.5*'Thể lệ'!$E$7)),if(and($F88=BI88,$G88=BJ88),"0",if(($F88-$G88)*(BI88-BJ88)&gt;0,0.5*'Thể lệ'!$E$7,'Thể lệ'!$E$7)))</f>
        <v>7500</v>
      </c>
      <c r="DO88" s="69"/>
      <c r="DP88" s="69"/>
    </row>
    <row r="89">
      <c r="A89" s="63"/>
      <c r="B89" s="71">
        <v>82.0</v>
      </c>
      <c r="C89" s="64">
        <v>46205.291666666664</v>
      </c>
      <c r="D89" s="65">
        <v>46205.291666666664</v>
      </c>
      <c r="E89" s="55" t="s">
        <v>81</v>
      </c>
      <c r="F89" s="23"/>
      <c r="G89" s="23"/>
      <c r="H89" s="55" t="s">
        <v>81</v>
      </c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67"/>
      <c r="BF89" s="23"/>
      <c r="BG89" s="23"/>
      <c r="BH89" s="23"/>
      <c r="BI89" s="37">
        <f>H.Son!H89</f>
        <v>1</v>
      </c>
      <c r="BJ89" s="37">
        <f>H.Son!I89</f>
        <v>1</v>
      </c>
      <c r="BK89" s="23"/>
      <c r="BL89" s="23"/>
      <c r="BM89" s="68"/>
      <c r="BN89" s="29">
        <f>if($F89=$G89,if(and($F89=$G89,I89&lt;&gt;J89),'Thể lệ'!$E$7,if($F89=I89,0,0.5*'Thể lệ'!$E$7)),if(and($F89=I89,$G89=J89),"0",if(($F89-$G89)*(I89-J89)&gt;0,0.5*'Thể lệ'!$E$7,'Thể lệ'!$E$7)))</f>
        <v>0</v>
      </c>
      <c r="BO89" s="29"/>
      <c r="BP89" s="29">
        <f>if($F89=$G89,if(and($F89=$G89,K89&lt;&gt;L89),'Thể lệ'!$E$7,if($F89=K89,0,0.5*'Thể lệ'!$E$7)),if(and($F89=K89,$G89=L89),"0",if(($F89-$G89)*(K89-L89)&gt;0,0.5*'Thể lệ'!$E$7,'Thể lệ'!$E$7)))</f>
        <v>0</v>
      </c>
      <c r="BQ89" s="29"/>
      <c r="BR89" s="29">
        <f>if($F89=$G89,if(and($F89=$G89,M89&lt;&gt;N89),'Thể lệ'!$E$7,if($F89=M89,0,0.5*'Thể lệ'!$E$7)),if(and($F89=M89,$G89=N89),"0",if(($F89-$G89)*(M89-N89)&gt;0,0.5*'Thể lệ'!$E$7,'Thể lệ'!$E$7)))</f>
        <v>0</v>
      </c>
      <c r="BS89" s="29"/>
      <c r="BT89" s="29">
        <f>if($F89=$G89,if(and($F89=$G89,O89&lt;&gt;P89),'Thể lệ'!$E$7,if($F89=O89,0,0.5*'Thể lệ'!$E$7)),if(and($F89=O89,$G89=P89),"0",if(($F89-$G89)*(O89-P89)&gt;0,0.5*'Thể lệ'!$E$7,'Thể lệ'!$E$7)))</f>
        <v>0</v>
      </c>
      <c r="BU89" s="29"/>
      <c r="BV89" s="29">
        <f>if($F89=$G89,if(and($F89=$G89,Q89&lt;&gt;R89),'Thể lệ'!$E$7,if($F89=Q89,0,0.5*'Thể lệ'!$E$7)),if(and($F89=Q89,$G89=R89),"0",if(($F89-$G89)*(Q89-R89)&gt;0,0.5*'Thể lệ'!$E$7,'Thể lệ'!$E$7)))</f>
        <v>0</v>
      </c>
      <c r="BW89" s="29"/>
      <c r="BX89" s="29">
        <f>if($F89=$G89,if(and($F89=$G89,S89&lt;&gt;T89),'Thể lệ'!$E$7,if($F89=S89,0,0.5*'Thể lệ'!$E$7)),if(and($F89=S89,$G89=T89),"0",if(($F89-$G89)*(S89-T89)&gt;0,0.5*'Thể lệ'!$E$7,'Thể lệ'!$E$7)))</f>
        <v>0</v>
      </c>
      <c r="BY89" s="29"/>
      <c r="BZ89" s="29">
        <f>if($F89=$G89,if(and($F89=$G89,U89&lt;&gt;V89),'Thể lệ'!$E$7,if($F89=U89,0,0.5*'Thể lệ'!$E$7)),if(and($F89=U89,$G89=V89),"0",if(($F89-$G89)*(U89-V89)&gt;0,0.5*'Thể lệ'!$E$7,'Thể lệ'!$E$7)))</f>
        <v>0</v>
      </c>
      <c r="CA89" s="29"/>
      <c r="CB89" s="29">
        <f>if($F89=$G89,if(and($F89=$G89,W89&lt;&gt;X89),'Thể lệ'!$E$7,if($F89=W89,0,0.5*'Thể lệ'!$E$7)),if(and($F89=W89,$G89=X89),"0",if(($F89-$G89)*(W89-X89)&gt;0,0.5*'Thể lệ'!$E$7,'Thể lệ'!$E$7)))</f>
        <v>0</v>
      </c>
      <c r="CC89" s="29"/>
      <c r="CD89" s="29">
        <f>if($F89=$G89,if(and($F89=$G89,Y89&lt;&gt;Z89),'Thể lệ'!$E$7,if($F89=Y89,0,0.5*'Thể lệ'!$E$7)),if(and($F89=Y89,$G89=Z89),"0",if(($F89-$G89)*(Y89-Z89)&gt;0,0.5*'Thể lệ'!$E$7,'Thể lệ'!$E$7)))</f>
        <v>0</v>
      </c>
      <c r="CE89" s="29"/>
      <c r="CF89" s="29">
        <f>if($F89=$G89,if(and($F89=$G89,AA89&lt;&gt;AB89),'Thể lệ'!$E$7,if($F89=AA89,0,0.5*'Thể lệ'!$E$7)),if(and($F89=AA89,$G89=AB89),"0",if(($F89-$G89)*(AA89-AB89)&gt;0,0.5*'Thể lệ'!$E$7,'Thể lệ'!$E$7)))</f>
        <v>0</v>
      </c>
      <c r="CG89" s="29"/>
      <c r="CH89" s="29">
        <f>if($F89=$G89,if(and($F89=$G89,AC89&lt;&gt;AD89),'Thể lệ'!$E$7,if($F89=AC89,0,0.5*'Thể lệ'!$E$7)),if(and($F89=AC89,$G89=AD89),"0",if(($F89-$G89)*(AC89-AD89)&gt;0,0.5*'Thể lệ'!$E$7,'Thể lệ'!$E$7)))</f>
        <v>0</v>
      </c>
      <c r="CI89" s="29"/>
      <c r="CJ89" s="29">
        <f>if($F89=$G89,if(and($F89=$G89,AE89&lt;&gt;AF89),'Thể lệ'!$E$7,if($F89=AE89,0,0.5*'Thể lệ'!$E$7)),if(and($F89=AE89,$G89=AF89),"0",if(($F89-$G89)*(AE89-AF89)&gt;0,0.5*'Thể lệ'!$E$7,'Thể lệ'!$E$7)))</f>
        <v>0</v>
      </c>
      <c r="CK89" s="29"/>
      <c r="CL89" s="29">
        <f>if($F89=$G89,if(and($F89=$G89,AG89&lt;&gt;AH89),'Thể lệ'!$E$7,if($F89=AG89,0,0.5*'Thể lệ'!$E$7)),if(and($F89=AG89,$G89=AH89),"0",if(($F89-$G89)*(AG89-AH89)&gt;0,0.5*'Thể lệ'!$E$7,'Thể lệ'!$E$7)))</f>
        <v>0</v>
      </c>
      <c r="CM89" s="29"/>
      <c r="CN89" s="29">
        <f>if($F89=$G89,if(and($F89=$G89,AI89&lt;&gt;AJ89),'Thể lệ'!$E$7,if($F89=AI89,0,0.5*'Thể lệ'!$E$7)),if(and($F89=AI89,$G89=AJ89),"0",if(($F89-$G89)*(AI89-AJ89)&gt;0,0.5*'Thể lệ'!$E$7,'Thể lệ'!$E$7)))</f>
        <v>0</v>
      </c>
      <c r="CO89" s="29"/>
      <c r="CP89" s="29">
        <f>if($F89=$G89,if(and($F89=$G89,AK89&lt;&gt;AL89),'Thể lệ'!$E$7,if($F89=AK89,0,0.5*'Thể lệ'!$E$7)),if(and($F89=AK89,$G89=AL89),"0",if(($F89-$G89)*(AK89-AL89)&gt;0,0.5*'Thể lệ'!$E$7,'Thể lệ'!$E$7)))</f>
        <v>0</v>
      </c>
      <c r="CQ89" s="29"/>
      <c r="CR89" s="29">
        <f>if($F89=$G89,if(and($F89=$G89,AM89&lt;&gt;AN89),'Thể lệ'!$E$7,if($F89=AM89,0,0.5*'Thể lệ'!$E$7)),if(and($F89=AM89,$G89=AN89),"0",if(($F89-$G89)*(AM89-AN89)&gt;0,0.5*'Thể lệ'!$E$7,'Thể lệ'!$E$7)))</f>
        <v>0</v>
      </c>
      <c r="CS89" s="29"/>
      <c r="CT89" s="29">
        <f>if($F89=$G89,if(and($F89=$G89,AO89&lt;&gt;AP89),'Thể lệ'!$E$7,if($F89=AO89,0,0.5*'Thể lệ'!$E$7)),if(and($F89=AO89,$G89=AP89),"0",if(($F89-$G89)*(AO89-AP89)&gt;0,0.5*'Thể lệ'!$E$7,'Thể lệ'!$E$7)))</f>
        <v>0</v>
      </c>
      <c r="CU89" s="29"/>
      <c r="CV89" s="29">
        <f>if($F89=$G89,if(and($F89=$G89,AQ89&lt;&gt;AR89),'Thể lệ'!$E$7,if($F89=AQ89,0,0.5*'Thể lệ'!$E$7)),if(and($F89=AQ89,$G89=AR89),"0",if(($F89-$G89)*(AQ89-AR89)&gt;0,0.5*'Thể lệ'!$E$7,'Thể lệ'!$E$7)))</f>
        <v>0</v>
      </c>
      <c r="CW89" s="29"/>
      <c r="CX89" s="29">
        <f>if($F89=$G89,if(and($F89=$G89,AS89&lt;&gt;AT89),'Thể lệ'!$E$7,if($F89=AS89,0,0.5*'Thể lệ'!$E$7)),if(and($F89=AS89,$G89=AT89),"0",if(($F89-$G89)*(AS89-AT89)&gt;0,0.5*'Thể lệ'!$E$7,'Thể lệ'!$E$7)))</f>
        <v>0</v>
      </c>
      <c r="CY89" s="29"/>
      <c r="CZ89" s="29">
        <f>if($F89=$G89,if(and($F89=$G89,AU89&lt;&gt;AV89),'Thể lệ'!$E$7,if($F89=AU89,0,0.5*'Thể lệ'!$E$7)),if(and($F89=AU89,$G89=AV89),"0",if(($F89-$G89)*(AU89-AV89)&gt;0,0.5*'Thể lệ'!$E$7,'Thể lệ'!$E$7)))</f>
        <v>0</v>
      </c>
      <c r="DA89" s="29"/>
      <c r="DB89" s="29">
        <f>if($F89=$G89,if(and($F89=$G89,AW89&lt;&gt;AX89),'Thể lệ'!$E$7,if($F89=AW89,0,0.5*'Thể lệ'!$E$7)),if(and($F89=AW89,$G89=AX89),"0",if(($F89-$G89)*(AW89-AX89)&gt;0,0.5*'Thể lệ'!$E$7,'Thể lệ'!$E$7)))</f>
        <v>0</v>
      </c>
      <c r="DC89" s="69"/>
      <c r="DD89" s="29">
        <f>if($F89=$G89,if(and($F89=$G89,AY89&lt;&gt;AZ89),'Thể lệ'!$E$7,if($F89=AY89,0,0.5*'Thể lệ'!$E$7)),if(and($F89=AY89,$G89=AZ89),"0",if(($F89-$G89)*(AY89-AZ89)&gt;0,0.5*'Thể lệ'!$E$7,'Thể lệ'!$E$7)))</f>
        <v>0</v>
      </c>
      <c r="DE89" s="69"/>
      <c r="DF89" s="29">
        <f>if($F89=$G89,if(and($F89=$G89,BA89&lt;&gt;BB89),'Thể lệ'!$E$7,if($F89=BA89,0,0.5*'Thể lệ'!$E$7)),if(and($F89=BA89,$G89=BB89),"0",if(($F89-$G89)*(BA89-BB89)&gt;0,0.5*'Thể lệ'!$E$7,'Thể lệ'!$E$7)))</f>
        <v>0</v>
      </c>
      <c r="DG89" s="69"/>
      <c r="DH89" s="29">
        <f>if($F89=$G89,if(and($F89=$G89,BC89&lt;&gt;BD89),'Thể lệ'!$E$7,if($F89=BC89,0,0.5*'Thể lệ'!$E$7)),if(and($F89=BC89,$G89=BD89),"0",if(($F89-$G89)*(BC89-BD89)&gt;0,0.5*'Thể lệ'!$E$7,'Thể lệ'!$E$7)))</f>
        <v>0</v>
      </c>
      <c r="DI89" s="69"/>
      <c r="DJ89" s="29">
        <f>if($F89=$G89,if(and($F89=$G89,BE89&lt;&gt;BF89),'Thể lệ'!$E$7,if($F89=BE89,0,0.5*'Thể lệ'!$E$7)),if(and($F89=BE89,$G89=BF89),"0",if(($F89-$G89)*(BE89-BF89)&gt;0,0.5*'Thể lệ'!$E$7,'Thể lệ'!$E$7)))</f>
        <v>0</v>
      </c>
      <c r="DK89" s="69"/>
      <c r="DL89" s="29">
        <f>if($F89=$G89,if(and($F89=$G89,BG89&lt;&gt;BH89),'Thể lệ'!$E$7,if($F89=BG89,0,0.5*'Thể lệ'!$E$7)),if(and($F89=BG89,$G89=BH89),"0",if(($F89-$G89)*(BG89-BH89)&gt;0,0.5*'Thể lệ'!$E$7,'Thể lệ'!$E$7)))</f>
        <v>0</v>
      </c>
      <c r="DM89" s="69"/>
      <c r="DN89" s="72">
        <f>if($F89=$G89,if(and($F89=$G89,BI89&lt;&gt;BJ89),'Thể lệ'!$E$7,if($F89=BI89,0,0.5*'Thể lệ'!$E$7)),if(and($F89=BI89,$G89=BJ89),"0",if(($F89-$G89)*(BI89-BJ89)&gt;0,0.5*'Thể lệ'!$E$7,'Thể lệ'!$E$7)))</f>
        <v>7500</v>
      </c>
      <c r="DO89" s="69"/>
      <c r="DP89" s="69"/>
    </row>
    <row r="90">
      <c r="A90" s="63"/>
      <c r="B90" s="71">
        <v>83.0</v>
      </c>
      <c r="C90" s="64">
        <v>46206.08333333333</v>
      </c>
      <c r="D90" s="65">
        <v>46206.08333333333</v>
      </c>
      <c r="E90" s="55" t="s">
        <v>81</v>
      </c>
      <c r="F90" s="23"/>
      <c r="G90" s="23"/>
      <c r="H90" s="55" t="s">
        <v>81</v>
      </c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67"/>
      <c r="BF90" s="23"/>
      <c r="BG90" s="23"/>
      <c r="BH90" s="23"/>
      <c r="BI90" s="37">
        <f>H.Son!H90</f>
        <v>1</v>
      </c>
      <c r="BJ90" s="37">
        <f>H.Son!I90</f>
        <v>1</v>
      </c>
      <c r="BK90" s="23"/>
      <c r="BL90" s="23"/>
      <c r="BM90" s="68"/>
      <c r="BN90" s="29">
        <f>if($F90=$G90,if(and($F90=$G90,I90&lt;&gt;J90),'Thể lệ'!$E$7,if($F90=I90,0,0.5*'Thể lệ'!$E$7)),if(and($F90=I90,$G90=J90),"0",if(($F90-$G90)*(I90-J90)&gt;0,0.5*'Thể lệ'!$E$7,'Thể lệ'!$E$7)))</f>
        <v>0</v>
      </c>
      <c r="BO90" s="29"/>
      <c r="BP90" s="29">
        <f>if($F90=$G90,if(and($F90=$G90,K90&lt;&gt;L90),'Thể lệ'!$E$7,if($F90=K90,0,0.5*'Thể lệ'!$E$7)),if(and($F90=K90,$G90=L90),"0",if(($F90-$G90)*(K90-L90)&gt;0,0.5*'Thể lệ'!$E$7,'Thể lệ'!$E$7)))</f>
        <v>0</v>
      </c>
      <c r="BQ90" s="29"/>
      <c r="BR90" s="29">
        <f>if($F90=$G90,if(and($F90=$G90,M90&lt;&gt;N90),'Thể lệ'!$E$7,if($F90=M90,0,0.5*'Thể lệ'!$E$7)),if(and($F90=M90,$G90=N90),"0",if(($F90-$G90)*(M90-N90)&gt;0,0.5*'Thể lệ'!$E$7,'Thể lệ'!$E$7)))</f>
        <v>0</v>
      </c>
      <c r="BS90" s="29"/>
      <c r="BT90" s="29">
        <f>if($F90=$G90,if(and($F90=$G90,O90&lt;&gt;P90),'Thể lệ'!$E$7,if($F90=O90,0,0.5*'Thể lệ'!$E$7)),if(and($F90=O90,$G90=P90),"0",if(($F90-$G90)*(O90-P90)&gt;0,0.5*'Thể lệ'!$E$7,'Thể lệ'!$E$7)))</f>
        <v>0</v>
      </c>
      <c r="BU90" s="29"/>
      <c r="BV90" s="29">
        <f>if($F90=$G90,if(and($F90=$G90,Q90&lt;&gt;R90),'Thể lệ'!$E$7,if($F90=Q90,0,0.5*'Thể lệ'!$E$7)),if(and($F90=Q90,$G90=R90),"0",if(($F90-$G90)*(Q90-R90)&gt;0,0.5*'Thể lệ'!$E$7,'Thể lệ'!$E$7)))</f>
        <v>0</v>
      </c>
      <c r="BW90" s="29"/>
      <c r="BX90" s="29">
        <f>if($F90=$G90,if(and($F90=$G90,S90&lt;&gt;T90),'Thể lệ'!$E$7,if($F90=S90,0,0.5*'Thể lệ'!$E$7)),if(and($F90=S90,$G90=T90),"0",if(($F90-$G90)*(S90-T90)&gt;0,0.5*'Thể lệ'!$E$7,'Thể lệ'!$E$7)))</f>
        <v>0</v>
      </c>
      <c r="BY90" s="29"/>
      <c r="BZ90" s="29">
        <f>if($F90=$G90,if(and($F90=$G90,U90&lt;&gt;V90),'Thể lệ'!$E$7,if($F90=U90,0,0.5*'Thể lệ'!$E$7)),if(and($F90=U90,$G90=V90),"0",if(($F90-$G90)*(U90-V90)&gt;0,0.5*'Thể lệ'!$E$7,'Thể lệ'!$E$7)))</f>
        <v>0</v>
      </c>
      <c r="CA90" s="29"/>
      <c r="CB90" s="29">
        <f>if($F90=$G90,if(and($F90=$G90,W90&lt;&gt;X90),'Thể lệ'!$E$7,if($F90=W90,0,0.5*'Thể lệ'!$E$7)),if(and($F90=W90,$G90=X90),"0",if(($F90-$G90)*(W90-X90)&gt;0,0.5*'Thể lệ'!$E$7,'Thể lệ'!$E$7)))</f>
        <v>0</v>
      </c>
      <c r="CC90" s="29"/>
      <c r="CD90" s="29">
        <f>if($F90=$G90,if(and($F90=$G90,Y90&lt;&gt;Z90),'Thể lệ'!$E$7,if($F90=Y90,0,0.5*'Thể lệ'!$E$7)),if(and($F90=Y90,$G90=Z90),"0",if(($F90-$G90)*(Y90-Z90)&gt;0,0.5*'Thể lệ'!$E$7,'Thể lệ'!$E$7)))</f>
        <v>0</v>
      </c>
      <c r="CE90" s="29"/>
      <c r="CF90" s="29">
        <f>if($F90=$G90,if(and($F90=$G90,AA90&lt;&gt;AB90),'Thể lệ'!$E$7,if($F90=AA90,0,0.5*'Thể lệ'!$E$7)),if(and($F90=AA90,$G90=AB90),"0",if(($F90-$G90)*(AA90-AB90)&gt;0,0.5*'Thể lệ'!$E$7,'Thể lệ'!$E$7)))</f>
        <v>0</v>
      </c>
      <c r="CG90" s="29"/>
      <c r="CH90" s="29">
        <f>if($F90=$G90,if(and($F90=$G90,AC90&lt;&gt;AD90),'Thể lệ'!$E$7,if($F90=AC90,0,0.5*'Thể lệ'!$E$7)),if(and($F90=AC90,$G90=AD90),"0",if(($F90-$G90)*(AC90-AD90)&gt;0,0.5*'Thể lệ'!$E$7,'Thể lệ'!$E$7)))</f>
        <v>0</v>
      </c>
      <c r="CI90" s="29"/>
      <c r="CJ90" s="29">
        <f>if($F90=$G90,if(and($F90=$G90,AE90&lt;&gt;AF90),'Thể lệ'!$E$7,if($F90=AE90,0,0.5*'Thể lệ'!$E$7)),if(and($F90=AE90,$G90=AF90),"0",if(($F90-$G90)*(AE90-AF90)&gt;0,0.5*'Thể lệ'!$E$7,'Thể lệ'!$E$7)))</f>
        <v>0</v>
      </c>
      <c r="CK90" s="29"/>
      <c r="CL90" s="29">
        <f>if($F90=$G90,if(and($F90=$G90,AG90&lt;&gt;AH90),'Thể lệ'!$E$7,if($F90=AG90,0,0.5*'Thể lệ'!$E$7)),if(and($F90=AG90,$G90=AH90),"0",if(($F90-$G90)*(AG90-AH90)&gt;0,0.5*'Thể lệ'!$E$7,'Thể lệ'!$E$7)))</f>
        <v>0</v>
      </c>
      <c r="CM90" s="29"/>
      <c r="CN90" s="29">
        <f>if($F90=$G90,if(and($F90=$G90,AI90&lt;&gt;AJ90),'Thể lệ'!$E$7,if($F90=AI90,0,0.5*'Thể lệ'!$E$7)),if(and($F90=AI90,$G90=AJ90),"0",if(($F90-$G90)*(AI90-AJ90)&gt;0,0.5*'Thể lệ'!$E$7,'Thể lệ'!$E$7)))</f>
        <v>0</v>
      </c>
      <c r="CO90" s="29"/>
      <c r="CP90" s="29">
        <f>if($F90=$G90,if(and($F90=$G90,AK90&lt;&gt;AL90),'Thể lệ'!$E$7,if($F90=AK90,0,0.5*'Thể lệ'!$E$7)),if(and($F90=AK90,$G90=AL90),"0",if(($F90-$G90)*(AK90-AL90)&gt;0,0.5*'Thể lệ'!$E$7,'Thể lệ'!$E$7)))</f>
        <v>0</v>
      </c>
      <c r="CQ90" s="29"/>
      <c r="CR90" s="29">
        <f>if($F90=$G90,if(and($F90=$G90,AM90&lt;&gt;AN90),'Thể lệ'!$E$7,if($F90=AM90,0,0.5*'Thể lệ'!$E$7)),if(and($F90=AM90,$G90=AN90),"0",if(($F90-$G90)*(AM90-AN90)&gt;0,0.5*'Thể lệ'!$E$7,'Thể lệ'!$E$7)))</f>
        <v>0</v>
      </c>
      <c r="CS90" s="29"/>
      <c r="CT90" s="29">
        <f>if($F90=$G90,if(and($F90=$G90,AO90&lt;&gt;AP90),'Thể lệ'!$E$7,if($F90=AO90,0,0.5*'Thể lệ'!$E$7)),if(and($F90=AO90,$G90=AP90),"0",if(($F90-$G90)*(AO90-AP90)&gt;0,0.5*'Thể lệ'!$E$7,'Thể lệ'!$E$7)))</f>
        <v>0</v>
      </c>
      <c r="CU90" s="29"/>
      <c r="CV90" s="29">
        <f>if($F90=$G90,if(and($F90=$G90,AQ90&lt;&gt;AR90),'Thể lệ'!$E$7,if($F90=AQ90,0,0.5*'Thể lệ'!$E$7)),if(and($F90=AQ90,$G90=AR90),"0",if(($F90-$G90)*(AQ90-AR90)&gt;0,0.5*'Thể lệ'!$E$7,'Thể lệ'!$E$7)))</f>
        <v>0</v>
      </c>
      <c r="CW90" s="29"/>
      <c r="CX90" s="29">
        <f>if($F90=$G90,if(and($F90=$G90,AS90&lt;&gt;AT90),'Thể lệ'!$E$7,if($F90=AS90,0,0.5*'Thể lệ'!$E$7)),if(and($F90=AS90,$G90=AT90),"0",if(($F90-$G90)*(AS90-AT90)&gt;0,0.5*'Thể lệ'!$E$7,'Thể lệ'!$E$7)))</f>
        <v>0</v>
      </c>
      <c r="CY90" s="29"/>
      <c r="CZ90" s="29">
        <f>if($F90=$G90,if(and($F90=$G90,AU90&lt;&gt;AV90),'Thể lệ'!$E$7,if($F90=AU90,0,0.5*'Thể lệ'!$E$7)),if(and($F90=AU90,$G90=AV90),"0",if(($F90-$G90)*(AU90-AV90)&gt;0,0.5*'Thể lệ'!$E$7,'Thể lệ'!$E$7)))</f>
        <v>0</v>
      </c>
      <c r="DA90" s="29"/>
      <c r="DB90" s="29">
        <f>if($F90=$G90,if(and($F90=$G90,AW90&lt;&gt;AX90),'Thể lệ'!$E$7,if($F90=AW90,0,0.5*'Thể lệ'!$E$7)),if(and($F90=AW90,$G90=AX90),"0",if(($F90-$G90)*(AW90-AX90)&gt;0,0.5*'Thể lệ'!$E$7,'Thể lệ'!$E$7)))</f>
        <v>0</v>
      </c>
      <c r="DC90" s="69"/>
      <c r="DD90" s="29">
        <f>if($F90=$G90,if(and($F90=$G90,AY90&lt;&gt;AZ90),'Thể lệ'!$E$7,if($F90=AY90,0,0.5*'Thể lệ'!$E$7)),if(and($F90=AY90,$G90=AZ90),"0",if(($F90-$G90)*(AY90-AZ90)&gt;0,0.5*'Thể lệ'!$E$7,'Thể lệ'!$E$7)))</f>
        <v>0</v>
      </c>
      <c r="DE90" s="69"/>
      <c r="DF90" s="29">
        <f>if($F90=$G90,if(and($F90=$G90,BA90&lt;&gt;BB90),'Thể lệ'!$E$7,if($F90=BA90,0,0.5*'Thể lệ'!$E$7)),if(and($F90=BA90,$G90=BB90),"0",if(($F90-$G90)*(BA90-BB90)&gt;0,0.5*'Thể lệ'!$E$7,'Thể lệ'!$E$7)))</f>
        <v>0</v>
      </c>
      <c r="DG90" s="69"/>
      <c r="DH90" s="29">
        <f>if($F90=$G90,if(and($F90=$G90,BC90&lt;&gt;BD90),'Thể lệ'!$E$7,if($F90=BC90,0,0.5*'Thể lệ'!$E$7)),if(and($F90=BC90,$G90=BD90),"0",if(($F90-$G90)*(BC90-BD90)&gt;0,0.5*'Thể lệ'!$E$7,'Thể lệ'!$E$7)))</f>
        <v>0</v>
      </c>
      <c r="DI90" s="69"/>
      <c r="DJ90" s="29">
        <f>if($F90=$G90,if(and($F90=$G90,BE90&lt;&gt;BF90),'Thể lệ'!$E$7,if($F90=BE90,0,0.5*'Thể lệ'!$E$7)),if(and($F90=BE90,$G90=BF90),"0",if(($F90-$G90)*(BE90-BF90)&gt;0,0.5*'Thể lệ'!$E$7,'Thể lệ'!$E$7)))</f>
        <v>0</v>
      </c>
      <c r="DK90" s="69"/>
      <c r="DL90" s="29">
        <f>if($F90=$G90,if(and($F90=$G90,BG90&lt;&gt;BH90),'Thể lệ'!$E$7,if($F90=BG90,0,0.5*'Thể lệ'!$E$7)),if(and($F90=BG90,$G90=BH90),"0",if(($F90-$G90)*(BG90-BH90)&gt;0,0.5*'Thể lệ'!$E$7,'Thể lệ'!$E$7)))</f>
        <v>0</v>
      </c>
      <c r="DM90" s="69"/>
      <c r="DN90" s="72">
        <f>if($F90=$G90,if(and($F90=$G90,BI90&lt;&gt;BJ90),'Thể lệ'!$E$7,if($F90=BI90,0,0.5*'Thể lệ'!$E$7)),if(and($F90=BI90,$G90=BJ90),"0",if(($F90-$G90)*(BI90-BJ90)&gt;0,0.5*'Thể lệ'!$E$7,'Thể lệ'!$E$7)))</f>
        <v>7500</v>
      </c>
      <c r="DO90" s="69"/>
      <c r="DP90" s="69"/>
    </row>
    <row r="91">
      <c r="A91" s="63"/>
      <c r="B91" s="71">
        <v>84.0</v>
      </c>
      <c r="C91" s="64">
        <v>46206.24999999999</v>
      </c>
      <c r="D91" s="65">
        <v>46206.24999999999</v>
      </c>
      <c r="E91" s="55" t="s">
        <v>81</v>
      </c>
      <c r="F91" s="23"/>
      <c r="G91" s="23"/>
      <c r="H91" s="55" t="s">
        <v>81</v>
      </c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67"/>
      <c r="BF91" s="23"/>
      <c r="BG91" s="23"/>
      <c r="BH91" s="23"/>
      <c r="BI91" s="37">
        <f>H.Son!H91</f>
        <v>1</v>
      </c>
      <c r="BJ91" s="37">
        <f>H.Son!I91</f>
        <v>1</v>
      </c>
      <c r="BK91" s="23"/>
      <c r="BL91" s="23"/>
      <c r="BM91" s="68"/>
      <c r="BN91" s="29">
        <f>if($F91=$G91,if(and($F91=$G91,I91&lt;&gt;J91),'Thể lệ'!$E$7,if($F91=I91,0,0.5*'Thể lệ'!$E$7)),if(and($F91=I91,$G91=J91),"0",if(($F91-$G91)*(I91-J91)&gt;0,0.5*'Thể lệ'!$E$7,'Thể lệ'!$E$7)))</f>
        <v>0</v>
      </c>
      <c r="BO91" s="29"/>
      <c r="BP91" s="29">
        <f>if($F91=$G91,if(and($F91=$G91,K91&lt;&gt;L91),'Thể lệ'!$E$7,if($F91=K91,0,0.5*'Thể lệ'!$E$7)),if(and($F91=K91,$G91=L91),"0",if(($F91-$G91)*(K91-L91)&gt;0,0.5*'Thể lệ'!$E$7,'Thể lệ'!$E$7)))</f>
        <v>0</v>
      </c>
      <c r="BQ91" s="29"/>
      <c r="BR91" s="29">
        <f>if($F91=$G91,if(and($F91=$G91,M91&lt;&gt;N91),'Thể lệ'!$E$7,if($F91=M91,0,0.5*'Thể lệ'!$E$7)),if(and($F91=M91,$G91=N91),"0",if(($F91-$G91)*(M91-N91)&gt;0,0.5*'Thể lệ'!$E$7,'Thể lệ'!$E$7)))</f>
        <v>0</v>
      </c>
      <c r="BS91" s="29"/>
      <c r="BT91" s="29">
        <f>if($F91=$G91,if(and($F91=$G91,O91&lt;&gt;P91),'Thể lệ'!$E$7,if($F91=O91,0,0.5*'Thể lệ'!$E$7)),if(and($F91=O91,$G91=P91),"0",if(($F91-$G91)*(O91-P91)&gt;0,0.5*'Thể lệ'!$E$7,'Thể lệ'!$E$7)))</f>
        <v>0</v>
      </c>
      <c r="BU91" s="29"/>
      <c r="BV91" s="29">
        <f>if($F91=$G91,if(and($F91=$G91,Q91&lt;&gt;R91),'Thể lệ'!$E$7,if($F91=Q91,0,0.5*'Thể lệ'!$E$7)),if(and($F91=Q91,$G91=R91),"0",if(($F91-$G91)*(Q91-R91)&gt;0,0.5*'Thể lệ'!$E$7,'Thể lệ'!$E$7)))</f>
        <v>0</v>
      </c>
      <c r="BW91" s="29"/>
      <c r="BX91" s="29">
        <f>if($F91=$G91,if(and($F91=$G91,S91&lt;&gt;T91),'Thể lệ'!$E$7,if($F91=S91,0,0.5*'Thể lệ'!$E$7)),if(and($F91=S91,$G91=T91),"0",if(($F91-$G91)*(S91-T91)&gt;0,0.5*'Thể lệ'!$E$7,'Thể lệ'!$E$7)))</f>
        <v>0</v>
      </c>
      <c r="BY91" s="29"/>
      <c r="BZ91" s="29">
        <f>if($F91=$G91,if(and($F91=$G91,U91&lt;&gt;V91),'Thể lệ'!$E$7,if($F91=U91,0,0.5*'Thể lệ'!$E$7)),if(and($F91=U91,$G91=V91),"0",if(($F91-$G91)*(U91-V91)&gt;0,0.5*'Thể lệ'!$E$7,'Thể lệ'!$E$7)))</f>
        <v>0</v>
      </c>
      <c r="CA91" s="29"/>
      <c r="CB91" s="29">
        <f>if($F91=$G91,if(and($F91=$G91,W91&lt;&gt;X91),'Thể lệ'!$E$7,if($F91=W91,0,0.5*'Thể lệ'!$E$7)),if(and($F91=W91,$G91=X91),"0",if(($F91-$G91)*(W91-X91)&gt;0,0.5*'Thể lệ'!$E$7,'Thể lệ'!$E$7)))</f>
        <v>0</v>
      </c>
      <c r="CC91" s="29"/>
      <c r="CD91" s="29">
        <f>if($F91=$G91,if(and($F91=$G91,Y91&lt;&gt;Z91),'Thể lệ'!$E$7,if($F91=Y91,0,0.5*'Thể lệ'!$E$7)),if(and($F91=Y91,$G91=Z91),"0",if(($F91-$G91)*(Y91-Z91)&gt;0,0.5*'Thể lệ'!$E$7,'Thể lệ'!$E$7)))</f>
        <v>0</v>
      </c>
      <c r="CE91" s="29"/>
      <c r="CF91" s="29">
        <f>if($F91=$G91,if(and($F91=$G91,AA91&lt;&gt;AB91),'Thể lệ'!$E$7,if($F91=AA91,0,0.5*'Thể lệ'!$E$7)),if(and($F91=AA91,$G91=AB91),"0",if(($F91-$G91)*(AA91-AB91)&gt;0,0.5*'Thể lệ'!$E$7,'Thể lệ'!$E$7)))</f>
        <v>0</v>
      </c>
      <c r="CG91" s="29"/>
      <c r="CH91" s="29">
        <f>if($F91=$G91,if(and($F91=$G91,AC91&lt;&gt;AD91),'Thể lệ'!$E$7,if($F91=AC91,0,0.5*'Thể lệ'!$E$7)),if(and($F91=AC91,$G91=AD91),"0",if(($F91-$G91)*(AC91-AD91)&gt;0,0.5*'Thể lệ'!$E$7,'Thể lệ'!$E$7)))</f>
        <v>0</v>
      </c>
      <c r="CI91" s="29"/>
      <c r="CJ91" s="29">
        <f>if($F91=$G91,if(and($F91=$G91,AE91&lt;&gt;AF91),'Thể lệ'!$E$7,if($F91=AE91,0,0.5*'Thể lệ'!$E$7)),if(and($F91=AE91,$G91=AF91),"0",if(($F91-$G91)*(AE91-AF91)&gt;0,0.5*'Thể lệ'!$E$7,'Thể lệ'!$E$7)))</f>
        <v>0</v>
      </c>
      <c r="CK91" s="29"/>
      <c r="CL91" s="29">
        <f>if($F91=$G91,if(and($F91=$G91,AG91&lt;&gt;AH91),'Thể lệ'!$E$7,if($F91=AG91,0,0.5*'Thể lệ'!$E$7)),if(and($F91=AG91,$G91=AH91),"0",if(($F91-$G91)*(AG91-AH91)&gt;0,0.5*'Thể lệ'!$E$7,'Thể lệ'!$E$7)))</f>
        <v>0</v>
      </c>
      <c r="CM91" s="29"/>
      <c r="CN91" s="29">
        <f>if($F91=$G91,if(and($F91=$G91,AI91&lt;&gt;AJ91),'Thể lệ'!$E$7,if($F91=AI91,0,0.5*'Thể lệ'!$E$7)),if(and($F91=AI91,$G91=AJ91),"0",if(($F91-$G91)*(AI91-AJ91)&gt;0,0.5*'Thể lệ'!$E$7,'Thể lệ'!$E$7)))</f>
        <v>0</v>
      </c>
      <c r="CO91" s="29"/>
      <c r="CP91" s="29">
        <f>if($F91=$G91,if(and($F91=$G91,AK91&lt;&gt;AL91),'Thể lệ'!$E$7,if($F91=AK91,0,0.5*'Thể lệ'!$E$7)),if(and($F91=AK91,$G91=AL91),"0",if(($F91-$G91)*(AK91-AL91)&gt;0,0.5*'Thể lệ'!$E$7,'Thể lệ'!$E$7)))</f>
        <v>0</v>
      </c>
      <c r="CQ91" s="29"/>
      <c r="CR91" s="29">
        <f>if($F91=$G91,if(and($F91=$G91,AM91&lt;&gt;AN91),'Thể lệ'!$E$7,if($F91=AM91,0,0.5*'Thể lệ'!$E$7)),if(and($F91=AM91,$G91=AN91),"0",if(($F91-$G91)*(AM91-AN91)&gt;0,0.5*'Thể lệ'!$E$7,'Thể lệ'!$E$7)))</f>
        <v>0</v>
      </c>
      <c r="CS91" s="29"/>
      <c r="CT91" s="29">
        <f>if($F91=$G91,if(and($F91=$G91,AO91&lt;&gt;AP91),'Thể lệ'!$E$7,if($F91=AO91,0,0.5*'Thể lệ'!$E$7)),if(and($F91=AO91,$G91=AP91),"0",if(($F91-$G91)*(AO91-AP91)&gt;0,0.5*'Thể lệ'!$E$7,'Thể lệ'!$E$7)))</f>
        <v>0</v>
      </c>
      <c r="CU91" s="29"/>
      <c r="CV91" s="29">
        <f>if($F91=$G91,if(and($F91=$G91,AQ91&lt;&gt;AR91),'Thể lệ'!$E$7,if($F91=AQ91,0,0.5*'Thể lệ'!$E$7)),if(and($F91=AQ91,$G91=AR91),"0",if(($F91-$G91)*(AQ91-AR91)&gt;0,0.5*'Thể lệ'!$E$7,'Thể lệ'!$E$7)))</f>
        <v>0</v>
      </c>
      <c r="CW91" s="29"/>
      <c r="CX91" s="29">
        <f>if($F91=$G91,if(and($F91=$G91,AS91&lt;&gt;AT91),'Thể lệ'!$E$7,if($F91=AS91,0,0.5*'Thể lệ'!$E$7)),if(and($F91=AS91,$G91=AT91),"0",if(($F91-$G91)*(AS91-AT91)&gt;0,0.5*'Thể lệ'!$E$7,'Thể lệ'!$E$7)))</f>
        <v>0</v>
      </c>
      <c r="CY91" s="29"/>
      <c r="CZ91" s="29">
        <f>if($F91=$G91,if(and($F91=$G91,AU91&lt;&gt;AV91),'Thể lệ'!$E$7,if($F91=AU91,0,0.5*'Thể lệ'!$E$7)),if(and($F91=AU91,$G91=AV91),"0",if(($F91-$G91)*(AU91-AV91)&gt;0,0.5*'Thể lệ'!$E$7,'Thể lệ'!$E$7)))</f>
        <v>0</v>
      </c>
      <c r="DA91" s="29"/>
      <c r="DB91" s="29">
        <f>if($F91=$G91,if(and($F91=$G91,AW91&lt;&gt;AX91),'Thể lệ'!$E$7,if($F91=AW91,0,0.5*'Thể lệ'!$E$7)),if(and($F91=AW91,$G91=AX91),"0",if(($F91-$G91)*(AW91-AX91)&gt;0,0.5*'Thể lệ'!$E$7,'Thể lệ'!$E$7)))</f>
        <v>0</v>
      </c>
      <c r="DC91" s="69"/>
      <c r="DD91" s="29">
        <f>if($F91=$G91,if(and($F91=$G91,AY91&lt;&gt;AZ91),'Thể lệ'!$E$7,if($F91=AY91,0,0.5*'Thể lệ'!$E$7)),if(and($F91=AY91,$G91=AZ91),"0",if(($F91-$G91)*(AY91-AZ91)&gt;0,0.5*'Thể lệ'!$E$7,'Thể lệ'!$E$7)))</f>
        <v>0</v>
      </c>
      <c r="DE91" s="69"/>
      <c r="DF91" s="29">
        <f>if($F91=$G91,if(and($F91=$G91,BA91&lt;&gt;BB91),'Thể lệ'!$E$7,if($F91=BA91,0,0.5*'Thể lệ'!$E$7)),if(and($F91=BA91,$G91=BB91),"0",if(($F91-$G91)*(BA91-BB91)&gt;0,0.5*'Thể lệ'!$E$7,'Thể lệ'!$E$7)))</f>
        <v>0</v>
      </c>
      <c r="DG91" s="69"/>
      <c r="DH91" s="29">
        <f>if($F91=$G91,if(and($F91=$G91,BC91&lt;&gt;BD91),'Thể lệ'!$E$7,if($F91=BC91,0,0.5*'Thể lệ'!$E$7)),if(and($F91=BC91,$G91=BD91),"0",if(($F91-$G91)*(BC91-BD91)&gt;0,0.5*'Thể lệ'!$E$7,'Thể lệ'!$E$7)))</f>
        <v>0</v>
      </c>
      <c r="DI91" s="69"/>
      <c r="DJ91" s="29">
        <f>if($F91=$G91,if(and($F91=$G91,BE91&lt;&gt;BF91),'Thể lệ'!$E$7,if($F91=BE91,0,0.5*'Thể lệ'!$E$7)),if(and($F91=BE91,$G91=BF91),"0",if(($F91-$G91)*(BE91-BF91)&gt;0,0.5*'Thể lệ'!$E$7,'Thể lệ'!$E$7)))</f>
        <v>0</v>
      </c>
      <c r="DK91" s="69"/>
      <c r="DL91" s="29">
        <f>if($F91=$G91,if(and($F91=$G91,BG91&lt;&gt;BH91),'Thể lệ'!$E$7,if($F91=BG91,0,0.5*'Thể lệ'!$E$7)),if(and($F91=BG91,$G91=BH91),"0",if(($F91-$G91)*(BG91-BH91)&gt;0,0.5*'Thể lệ'!$E$7,'Thể lệ'!$E$7)))</f>
        <v>0</v>
      </c>
      <c r="DM91" s="69"/>
      <c r="DN91" s="72">
        <f>if($F91=$G91,if(and($F91=$G91,BI91&lt;&gt;BJ91),'Thể lệ'!$E$7,if($F91=BI91,0,0.5*'Thể lệ'!$E$7)),if(and($F91=BI91,$G91=BJ91),"0",if(($F91-$G91)*(BI91-BJ91)&gt;0,0.5*'Thể lệ'!$E$7,'Thể lệ'!$E$7)))</f>
        <v>7500</v>
      </c>
      <c r="DO91" s="69"/>
      <c r="DP91" s="69"/>
    </row>
    <row r="92">
      <c r="A92" s="63"/>
      <c r="B92" s="71">
        <v>85.0</v>
      </c>
      <c r="C92" s="64">
        <v>46206.416666666664</v>
      </c>
      <c r="D92" s="65">
        <v>46206.416666666664</v>
      </c>
      <c r="E92" s="55" t="s">
        <v>81</v>
      </c>
      <c r="F92" s="23"/>
      <c r="G92" s="23"/>
      <c r="H92" s="55" t="s">
        <v>81</v>
      </c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67"/>
      <c r="BF92" s="23"/>
      <c r="BG92" s="23"/>
      <c r="BH92" s="23"/>
      <c r="BI92" s="37">
        <f>H.Son!H92</f>
        <v>1</v>
      </c>
      <c r="BJ92" s="37">
        <f>H.Son!I92</f>
        <v>1</v>
      </c>
      <c r="BK92" s="23"/>
      <c r="BL92" s="23"/>
      <c r="BM92" s="68"/>
      <c r="BN92" s="29">
        <f>if($F92=$G92,if(and($F92=$G92,I92&lt;&gt;J92),'Thể lệ'!$E$7,if($F92=I92,0,0.5*'Thể lệ'!$E$7)),if(and($F92=I92,$G92=J92),"0",if(($F92-$G92)*(I92-J92)&gt;0,0.5*'Thể lệ'!$E$7,'Thể lệ'!$E$7)))</f>
        <v>0</v>
      </c>
      <c r="BO92" s="29"/>
      <c r="BP92" s="29">
        <f>if($F92=$G92,if(and($F92=$G92,K92&lt;&gt;L92),'Thể lệ'!$E$7,if($F92=K92,0,0.5*'Thể lệ'!$E$7)),if(and($F92=K92,$G92=L92),"0",if(($F92-$G92)*(K92-L92)&gt;0,0.5*'Thể lệ'!$E$7,'Thể lệ'!$E$7)))</f>
        <v>0</v>
      </c>
      <c r="BQ92" s="29"/>
      <c r="BR92" s="29">
        <f>if($F92=$G92,if(and($F92=$G92,M92&lt;&gt;N92),'Thể lệ'!$E$7,if($F92=M92,0,0.5*'Thể lệ'!$E$7)),if(and($F92=M92,$G92=N92),"0",if(($F92-$G92)*(M92-N92)&gt;0,0.5*'Thể lệ'!$E$7,'Thể lệ'!$E$7)))</f>
        <v>0</v>
      </c>
      <c r="BS92" s="29"/>
      <c r="BT92" s="29">
        <f>if($F92=$G92,if(and($F92=$G92,O92&lt;&gt;P92),'Thể lệ'!$E$7,if($F92=O92,0,0.5*'Thể lệ'!$E$7)),if(and($F92=O92,$G92=P92),"0",if(($F92-$G92)*(O92-P92)&gt;0,0.5*'Thể lệ'!$E$7,'Thể lệ'!$E$7)))</f>
        <v>0</v>
      </c>
      <c r="BU92" s="29"/>
      <c r="BV92" s="29">
        <f>if($F92=$G92,if(and($F92=$G92,Q92&lt;&gt;R92),'Thể lệ'!$E$7,if($F92=Q92,0,0.5*'Thể lệ'!$E$7)),if(and($F92=Q92,$G92=R92),"0",if(($F92-$G92)*(Q92-R92)&gt;0,0.5*'Thể lệ'!$E$7,'Thể lệ'!$E$7)))</f>
        <v>0</v>
      </c>
      <c r="BW92" s="29"/>
      <c r="BX92" s="29">
        <f>if($F92=$G92,if(and($F92=$G92,S92&lt;&gt;T92),'Thể lệ'!$E$7,if($F92=S92,0,0.5*'Thể lệ'!$E$7)),if(and($F92=S92,$G92=T92),"0",if(($F92-$G92)*(S92-T92)&gt;0,0.5*'Thể lệ'!$E$7,'Thể lệ'!$E$7)))</f>
        <v>0</v>
      </c>
      <c r="BY92" s="29"/>
      <c r="BZ92" s="29">
        <f>if($F92=$G92,if(and($F92=$G92,U92&lt;&gt;V92),'Thể lệ'!$E$7,if($F92=U92,0,0.5*'Thể lệ'!$E$7)),if(and($F92=U92,$G92=V92),"0",if(($F92-$G92)*(U92-V92)&gt;0,0.5*'Thể lệ'!$E$7,'Thể lệ'!$E$7)))</f>
        <v>0</v>
      </c>
      <c r="CA92" s="29"/>
      <c r="CB92" s="29">
        <f>if($F92=$G92,if(and($F92=$G92,W92&lt;&gt;X92),'Thể lệ'!$E$7,if($F92=W92,0,0.5*'Thể lệ'!$E$7)),if(and($F92=W92,$G92=X92),"0",if(($F92-$G92)*(W92-X92)&gt;0,0.5*'Thể lệ'!$E$7,'Thể lệ'!$E$7)))</f>
        <v>0</v>
      </c>
      <c r="CC92" s="29"/>
      <c r="CD92" s="29">
        <f>if($F92=$G92,if(and($F92=$G92,Y92&lt;&gt;Z92),'Thể lệ'!$E$7,if($F92=Y92,0,0.5*'Thể lệ'!$E$7)),if(and($F92=Y92,$G92=Z92),"0",if(($F92-$G92)*(Y92-Z92)&gt;0,0.5*'Thể lệ'!$E$7,'Thể lệ'!$E$7)))</f>
        <v>0</v>
      </c>
      <c r="CE92" s="29"/>
      <c r="CF92" s="29">
        <f>if($F92=$G92,if(and($F92=$G92,AA92&lt;&gt;AB92),'Thể lệ'!$E$7,if($F92=AA92,0,0.5*'Thể lệ'!$E$7)),if(and($F92=AA92,$G92=AB92),"0",if(($F92-$G92)*(AA92-AB92)&gt;0,0.5*'Thể lệ'!$E$7,'Thể lệ'!$E$7)))</f>
        <v>0</v>
      </c>
      <c r="CG92" s="29"/>
      <c r="CH92" s="29">
        <f>if($F92=$G92,if(and($F92=$G92,AC92&lt;&gt;AD92),'Thể lệ'!$E$7,if($F92=AC92,0,0.5*'Thể lệ'!$E$7)),if(and($F92=AC92,$G92=AD92),"0",if(($F92-$G92)*(AC92-AD92)&gt;0,0.5*'Thể lệ'!$E$7,'Thể lệ'!$E$7)))</f>
        <v>0</v>
      </c>
      <c r="CI92" s="29"/>
      <c r="CJ92" s="29">
        <f>if($F92=$G92,if(and($F92=$G92,AE92&lt;&gt;AF92),'Thể lệ'!$E$7,if($F92=AE92,0,0.5*'Thể lệ'!$E$7)),if(and($F92=AE92,$G92=AF92),"0",if(($F92-$G92)*(AE92-AF92)&gt;0,0.5*'Thể lệ'!$E$7,'Thể lệ'!$E$7)))</f>
        <v>0</v>
      </c>
      <c r="CK92" s="29"/>
      <c r="CL92" s="29">
        <f>if($F92=$G92,if(and($F92=$G92,AG92&lt;&gt;AH92),'Thể lệ'!$E$7,if($F92=AG92,0,0.5*'Thể lệ'!$E$7)),if(and($F92=AG92,$G92=AH92),"0",if(($F92-$G92)*(AG92-AH92)&gt;0,0.5*'Thể lệ'!$E$7,'Thể lệ'!$E$7)))</f>
        <v>0</v>
      </c>
      <c r="CM92" s="29"/>
      <c r="CN92" s="29">
        <f>if($F92=$G92,if(and($F92=$G92,AI92&lt;&gt;AJ92),'Thể lệ'!$E$7,if($F92=AI92,0,0.5*'Thể lệ'!$E$7)),if(and($F92=AI92,$G92=AJ92),"0",if(($F92-$G92)*(AI92-AJ92)&gt;0,0.5*'Thể lệ'!$E$7,'Thể lệ'!$E$7)))</f>
        <v>0</v>
      </c>
      <c r="CO92" s="29"/>
      <c r="CP92" s="29">
        <f>if($F92=$G92,if(and($F92=$G92,AK92&lt;&gt;AL92),'Thể lệ'!$E$7,if($F92=AK92,0,0.5*'Thể lệ'!$E$7)),if(and($F92=AK92,$G92=AL92),"0",if(($F92-$G92)*(AK92-AL92)&gt;0,0.5*'Thể lệ'!$E$7,'Thể lệ'!$E$7)))</f>
        <v>0</v>
      </c>
      <c r="CQ92" s="29"/>
      <c r="CR92" s="29">
        <f>if($F92=$G92,if(and($F92=$G92,AM92&lt;&gt;AN92),'Thể lệ'!$E$7,if($F92=AM92,0,0.5*'Thể lệ'!$E$7)),if(and($F92=AM92,$G92=AN92),"0",if(($F92-$G92)*(AM92-AN92)&gt;0,0.5*'Thể lệ'!$E$7,'Thể lệ'!$E$7)))</f>
        <v>0</v>
      </c>
      <c r="CS92" s="29"/>
      <c r="CT92" s="29">
        <f>if($F92=$G92,if(and($F92=$G92,AO92&lt;&gt;AP92),'Thể lệ'!$E$7,if($F92=AO92,0,0.5*'Thể lệ'!$E$7)),if(and($F92=AO92,$G92=AP92),"0",if(($F92-$G92)*(AO92-AP92)&gt;0,0.5*'Thể lệ'!$E$7,'Thể lệ'!$E$7)))</f>
        <v>0</v>
      </c>
      <c r="CU92" s="29"/>
      <c r="CV92" s="29">
        <f>if($F92=$G92,if(and($F92=$G92,AQ92&lt;&gt;AR92),'Thể lệ'!$E$7,if($F92=AQ92,0,0.5*'Thể lệ'!$E$7)),if(and($F92=AQ92,$G92=AR92),"0",if(($F92-$G92)*(AQ92-AR92)&gt;0,0.5*'Thể lệ'!$E$7,'Thể lệ'!$E$7)))</f>
        <v>0</v>
      </c>
      <c r="CW92" s="29"/>
      <c r="CX92" s="29">
        <f>if($F92=$G92,if(and($F92=$G92,AS92&lt;&gt;AT92),'Thể lệ'!$E$7,if($F92=AS92,0,0.5*'Thể lệ'!$E$7)),if(and($F92=AS92,$G92=AT92),"0",if(($F92-$G92)*(AS92-AT92)&gt;0,0.5*'Thể lệ'!$E$7,'Thể lệ'!$E$7)))</f>
        <v>0</v>
      </c>
      <c r="CY92" s="29"/>
      <c r="CZ92" s="29">
        <f>if($F92=$G92,if(and($F92=$G92,AU92&lt;&gt;AV92),'Thể lệ'!$E$7,if($F92=AU92,0,0.5*'Thể lệ'!$E$7)),if(and($F92=AU92,$G92=AV92),"0",if(($F92-$G92)*(AU92-AV92)&gt;0,0.5*'Thể lệ'!$E$7,'Thể lệ'!$E$7)))</f>
        <v>0</v>
      </c>
      <c r="DA92" s="29"/>
      <c r="DB92" s="29">
        <f>if($F92=$G92,if(and($F92=$G92,AW92&lt;&gt;AX92),'Thể lệ'!$E$7,if($F92=AW92,0,0.5*'Thể lệ'!$E$7)),if(and($F92=AW92,$G92=AX92),"0",if(($F92-$G92)*(AW92-AX92)&gt;0,0.5*'Thể lệ'!$E$7,'Thể lệ'!$E$7)))</f>
        <v>0</v>
      </c>
      <c r="DC92" s="69"/>
      <c r="DD92" s="29">
        <f>if($F92=$G92,if(and($F92=$G92,AY92&lt;&gt;AZ92),'Thể lệ'!$E$7,if($F92=AY92,0,0.5*'Thể lệ'!$E$7)),if(and($F92=AY92,$G92=AZ92),"0",if(($F92-$G92)*(AY92-AZ92)&gt;0,0.5*'Thể lệ'!$E$7,'Thể lệ'!$E$7)))</f>
        <v>0</v>
      </c>
      <c r="DE92" s="69"/>
      <c r="DF92" s="29">
        <f>if($F92=$G92,if(and($F92=$G92,BA92&lt;&gt;BB92),'Thể lệ'!$E$7,if($F92=BA92,0,0.5*'Thể lệ'!$E$7)),if(and($F92=BA92,$G92=BB92),"0",if(($F92-$G92)*(BA92-BB92)&gt;0,0.5*'Thể lệ'!$E$7,'Thể lệ'!$E$7)))</f>
        <v>0</v>
      </c>
      <c r="DG92" s="69"/>
      <c r="DH92" s="29">
        <f>if($F92=$G92,if(and($F92=$G92,BC92&lt;&gt;BD92),'Thể lệ'!$E$7,if($F92=BC92,0,0.5*'Thể lệ'!$E$7)),if(and($F92=BC92,$G92=BD92),"0",if(($F92-$G92)*(BC92-BD92)&gt;0,0.5*'Thể lệ'!$E$7,'Thể lệ'!$E$7)))</f>
        <v>0</v>
      </c>
      <c r="DI92" s="69"/>
      <c r="DJ92" s="29">
        <f>if($F92=$G92,if(and($F92=$G92,BE92&lt;&gt;BF92),'Thể lệ'!$E$7,if($F92=BE92,0,0.5*'Thể lệ'!$E$7)),if(and($F92=BE92,$G92=BF92),"0",if(($F92-$G92)*(BE92-BF92)&gt;0,0.5*'Thể lệ'!$E$7,'Thể lệ'!$E$7)))</f>
        <v>0</v>
      </c>
      <c r="DK92" s="69"/>
      <c r="DL92" s="29">
        <f>if($F92=$G92,if(and($F92=$G92,BG92&lt;&gt;BH92),'Thể lệ'!$E$7,if($F92=BG92,0,0.5*'Thể lệ'!$E$7)),if(and($F92=BG92,$G92=BH92),"0",if(($F92-$G92)*(BG92-BH92)&gt;0,0.5*'Thể lệ'!$E$7,'Thể lệ'!$E$7)))</f>
        <v>0</v>
      </c>
      <c r="DM92" s="69"/>
      <c r="DN92" s="72">
        <f>if($F92=$G92,if(and($F92=$G92,BI92&lt;&gt;BJ92),'Thể lệ'!$E$7,if($F92=BI92,0,0.5*'Thể lệ'!$E$7)),if(and($F92=BI92,$G92=BJ92),"0",if(($F92-$G92)*(BI92-BJ92)&gt;0,0.5*'Thể lệ'!$E$7,'Thể lệ'!$E$7)))</f>
        <v>7500</v>
      </c>
      <c r="DO92" s="69"/>
      <c r="DP92" s="69"/>
    </row>
    <row r="93">
      <c r="A93" s="63"/>
      <c r="B93" s="71">
        <v>86.0</v>
      </c>
      <c r="C93" s="64">
        <v>46207.041666666664</v>
      </c>
      <c r="D93" s="65">
        <v>46207.041666666664</v>
      </c>
      <c r="E93" s="55" t="s">
        <v>81</v>
      </c>
      <c r="F93" s="23"/>
      <c r="G93" s="23"/>
      <c r="H93" s="55" t="s">
        <v>81</v>
      </c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67"/>
      <c r="BF93" s="23"/>
      <c r="BG93" s="23"/>
      <c r="BH93" s="23"/>
      <c r="BI93" s="37">
        <f>H.Son!H93</f>
        <v>1</v>
      </c>
      <c r="BJ93" s="37">
        <f>H.Son!I93</f>
        <v>1</v>
      </c>
      <c r="BK93" s="23"/>
      <c r="BL93" s="23"/>
      <c r="BM93" s="68"/>
      <c r="BN93" s="29">
        <f>if($F93=$G93,if(and($F93=$G93,I93&lt;&gt;J93),'Thể lệ'!$E$7,if($F93=I93,0,0.5*'Thể lệ'!$E$7)),if(and($F93=I93,$G93=J93),"0",if(($F93-$G93)*(I93-J93)&gt;0,0.5*'Thể lệ'!$E$7,'Thể lệ'!$E$7)))</f>
        <v>0</v>
      </c>
      <c r="BO93" s="29"/>
      <c r="BP93" s="29">
        <f>if($F93=$G93,if(and($F93=$G93,K93&lt;&gt;L93),'Thể lệ'!$E$7,if($F93=K93,0,0.5*'Thể lệ'!$E$7)),if(and($F93=K93,$G93=L93),"0",if(($F93-$G93)*(K93-L93)&gt;0,0.5*'Thể lệ'!$E$7,'Thể lệ'!$E$7)))</f>
        <v>0</v>
      </c>
      <c r="BQ93" s="29"/>
      <c r="BR93" s="29">
        <f>if($F93=$G93,if(and($F93=$G93,M93&lt;&gt;N93),'Thể lệ'!$E$7,if($F93=M93,0,0.5*'Thể lệ'!$E$7)),if(and($F93=M93,$G93=N93),"0",if(($F93-$G93)*(M93-N93)&gt;0,0.5*'Thể lệ'!$E$7,'Thể lệ'!$E$7)))</f>
        <v>0</v>
      </c>
      <c r="BS93" s="29"/>
      <c r="BT93" s="29">
        <f>if($F93=$G93,if(and($F93=$G93,O93&lt;&gt;P93),'Thể lệ'!$E$7,if($F93=O93,0,0.5*'Thể lệ'!$E$7)),if(and($F93=O93,$G93=P93),"0",if(($F93-$G93)*(O93-P93)&gt;0,0.5*'Thể lệ'!$E$7,'Thể lệ'!$E$7)))</f>
        <v>0</v>
      </c>
      <c r="BU93" s="29"/>
      <c r="BV93" s="29">
        <f>if($F93=$G93,if(and($F93=$G93,Q93&lt;&gt;R93),'Thể lệ'!$E$7,if($F93=Q93,0,0.5*'Thể lệ'!$E$7)),if(and($F93=Q93,$G93=R93),"0",if(($F93-$G93)*(Q93-R93)&gt;0,0.5*'Thể lệ'!$E$7,'Thể lệ'!$E$7)))</f>
        <v>0</v>
      </c>
      <c r="BW93" s="29"/>
      <c r="BX93" s="29">
        <f>if($F93=$G93,if(and($F93=$G93,S93&lt;&gt;T93),'Thể lệ'!$E$7,if($F93=S93,0,0.5*'Thể lệ'!$E$7)),if(and($F93=S93,$G93=T93),"0",if(($F93-$G93)*(S93-T93)&gt;0,0.5*'Thể lệ'!$E$7,'Thể lệ'!$E$7)))</f>
        <v>0</v>
      </c>
      <c r="BY93" s="29"/>
      <c r="BZ93" s="29">
        <f>if($F93=$G93,if(and($F93=$G93,U93&lt;&gt;V93),'Thể lệ'!$E$7,if($F93=U93,0,0.5*'Thể lệ'!$E$7)),if(and($F93=U93,$G93=V93),"0",if(($F93-$G93)*(U93-V93)&gt;0,0.5*'Thể lệ'!$E$7,'Thể lệ'!$E$7)))</f>
        <v>0</v>
      </c>
      <c r="CA93" s="29"/>
      <c r="CB93" s="29">
        <f>if($F93=$G93,if(and($F93=$G93,W93&lt;&gt;X93),'Thể lệ'!$E$7,if($F93=W93,0,0.5*'Thể lệ'!$E$7)),if(and($F93=W93,$G93=X93),"0",if(($F93-$G93)*(W93-X93)&gt;0,0.5*'Thể lệ'!$E$7,'Thể lệ'!$E$7)))</f>
        <v>0</v>
      </c>
      <c r="CC93" s="29"/>
      <c r="CD93" s="29">
        <f>if($F93=$G93,if(and($F93=$G93,Y93&lt;&gt;Z93),'Thể lệ'!$E$7,if($F93=Y93,0,0.5*'Thể lệ'!$E$7)),if(and($F93=Y93,$G93=Z93),"0",if(($F93-$G93)*(Y93-Z93)&gt;0,0.5*'Thể lệ'!$E$7,'Thể lệ'!$E$7)))</f>
        <v>0</v>
      </c>
      <c r="CE93" s="29"/>
      <c r="CF93" s="29">
        <f>if($F93=$G93,if(and($F93=$G93,AA93&lt;&gt;AB93),'Thể lệ'!$E$7,if($F93=AA93,0,0.5*'Thể lệ'!$E$7)),if(and($F93=AA93,$G93=AB93),"0",if(($F93-$G93)*(AA93-AB93)&gt;0,0.5*'Thể lệ'!$E$7,'Thể lệ'!$E$7)))</f>
        <v>0</v>
      </c>
      <c r="CG93" s="29"/>
      <c r="CH93" s="29">
        <f>if($F93=$G93,if(and($F93=$G93,AC93&lt;&gt;AD93),'Thể lệ'!$E$7,if($F93=AC93,0,0.5*'Thể lệ'!$E$7)),if(and($F93=AC93,$G93=AD93),"0",if(($F93-$G93)*(AC93-AD93)&gt;0,0.5*'Thể lệ'!$E$7,'Thể lệ'!$E$7)))</f>
        <v>0</v>
      </c>
      <c r="CI93" s="29"/>
      <c r="CJ93" s="29">
        <f>if($F93=$G93,if(and($F93=$G93,AE93&lt;&gt;AF93),'Thể lệ'!$E$7,if($F93=AE93,0,0.5*'Thể lệ'!$E$7)),if(and($F93=AE93,$G93=AF93),"0",if(($F93-$G93)*(AE93-AF93)&gt;0,0.5*'Thể lệ'!$E$7,'Thể lệ'!$E$7)))</f>
        <v>0</v>
      </c>
      <c r="CK93" s="29"/>
      <c r="CL93" s="29">
        <f>if($F93=$G93,if(and($F93=$G93,AG93&lt;&gt;AH93),'Thể lệ'!$E$7,if($F93=AG93,0,0.5*'Thể lệ'!$E$7)),if(and($F93=AG93,$G93=AH93),"0",if(($F93-$G93)*(AG93-AH93)&gt;0,0.5*'Thể lệ'!$E$7,'Thể lệ'!$E$7)))</f>
        <v>0</v>
      </c>
      <c r="CM93" s="29"/>
      <c r="CN93" s="29">
        <f>if($F93=$G93,if(and($F93=$G93,AI93&lt;&gt;AJ93),'Thể lệ'!$E$7,if($F93=AI93,0,0.5*'Thể lệ'!$E$7)),if(and($F93=AI93,$G93=AJ93),"0",if(($F93-$G93)*(AI93-AJ93)&gt;0,0.5*'Thể lệ'!$E$7,'Thể lệ'!$E$7)))</f>
        <v>0</v>
      </c>
      <c r="CO93" s="29"/>
      <c r="CP93" s="29">
        <f>if($F93=$G93,if(and($F93=$G93,AK93&lt;&gt;AL93),'Thể lệ'!$E$7,if($F93=AK93,0,0.5*'Thể lệ'!$E$7)),if(and($F93=AK93,$G93=AL93),"0",if(($F93-$G93)*(AK93-AL93)&gt;0,0.5*'Thể lệ'!$E$7,'Thể lệ'!$E$7)))</f>
        <v>0</v>
      </c>
      <c r="CQ93" s="29"/>
      <c r="CR93" s="29">
        <f>if($F93=$G93,if(and($F93=$G93,AM93&lt;&gt;AN93),'Thể lệ'!$E$7,if($F93=AM93,0,0.5*'Thể lệ'!$E$7)),if(and($F93=AM93,$G93=AN93),"0",if(($F93-$G93)*(AM93-AN93)&gt;0,0.5*'Thể lệ'!$E$7,'Thể lệ'!$E$7)))</f>
        <v>0</v>
      </c>
      <c r="CS93" s="29"/>
      <c r="CT93" s="29">
        <f>if($F93=$G93,if(and($F93=$G93,AO93&lt;&gt;AP93),'Thể lệ'!$E$7,if($F93=AO93,0,0.5*'Thể lệ'!$E$7)),if(and($F93=AO93,$G93=AP93),"0",if(($F93-$G93)*(AO93-AP93)&gt;0,0.5*'Thể lệ'!$E$7,'Thể lệ'!$E$7)))</f>
        <v>0</v>
      </c>
      <c r="CU93" s="29"/>
      <c r="CV93" s="29">
        <f>if($F93=$G93,if(and($F93=$G93,AQ93&lt;&gt;AR93),'Thể lệ'!$E$7,if($F93=AQ93,0,0.5*'Thể lệ'!$E$7)),if(and($F93=AQ93,$G93=AR93),"0",if(($F93-$G93)*(AQ93-AR93)&gt;0,0.5*'Thể lệ'!$E$7,'Thể lệ'!$E$7)))</f>
        <v>0</v>
      </c>
      <c r="CW93" s="29"/>
      <c r="CX93" s="29">
        <f>if($F93=$G93,if(and($F93=$G93,AS93&lt;&gt;AT93),'Thể lệ'!$E$7,if($F93=AS93,0,0.5*'Thể lệ'!$E$7)),if(and($F93=AS93,$G93=AT93),"0",if(($F93-$G93)*(AS93-AT93)&gt;0,0.5*'Thể lệ'!$E$7,'Thể lệ'!$E$7)))</f>
        <v>0</v>
      </c>
      <c r="CY93" s="29"/>
      <c r="CZ93" s="29">
        <f>if($F93=$G93,if(and($F93=$G93,AU93&lt;&gt;AV93),'Thể lệ'!$E$7,if($F93=AU93,0,0.5*'Thể lệ'!$E$7)),if(and($F93=AU93,$G93=AV93),"0",if(($F93-$G93)*(AU93-AV93)&gt;0,0.5*'Thể lệ'!$E$7,'Thể lệ'!$E$7)))</f>
        <v>0</v>
      </c>
      <c r="DA93" s="29"/>
      <c r="DB93" s="29">
        <f>if($F93=$G93,if(and($F93=$G93,AW93&lt;&gt;AX93),'Thể lệ'!$E$7,if($F93=AW93,0,0.5*'Thể lệ'!$E$7)),if(and($F93=AW93,$G93=AX93),"0",if(($F93-$G93)*(AW93-AX93)&gt;0,0.5*'Thể lệ'!$E$7,'Thể lệ'!$E$7)))</f>
        <v>0</v>
      </c>
      <c r="DC93" s="69"/>
      <c r="DD93" s="29">
        <f>if($F93=$G93,if(and($F93=$G93,AY93&lt;&gt;AZ93),'Thể lệ'!$E$7,if($F93=AY93,0,0.5*'Thể lệ'!$E$7)),if(and($F93=AY93,$G93=AZ93),"0",if(($F93-$G93)*(AY93-AZ93)&gt;0,0.5*'Thể lệ'!$E$7,'Thể lệ'!$E$7)))</f>
        <v>0</v>
      </c>
      <c r="DE93" s="69"/>
      <c r="DF93" s="29">
        <f>if($F93=$G93,if(and($F93=$G93,BA93&lt;&gt;BB93),'Thể lệ'!$E$7,if($F93=BA93,0,0.5*'Thể lệ'!$E$7)),if(and($F93=BA93,$G93=BB93),"0",if(($F93-$G93)*(BA93-BB93)&gt;0,0.5*'Thể lệ'!$E$7,'Thể lệ'!$E$7)))</f>
        <v>0</v>
      </c>
      <c r="DG93" s="69"/>
      <c r="DH93" s="29">
        <f>if($F93=$G93,if(and($F93=$G93,BC93&lt;&gt;BD93),'Thể lệ'!$E$7,if($F93=BC93,0,0.5*'Thể lệ'!$E$7)),if(and($F93=BC93,$G93=BD93),"0",if(($F93-$G93)*(BC93-BD93)&gt;0,0.5*'Thể lệ'!$E$7,'Thể lệ'!$E$7)))</f>
        <v>0</v>
      </c>
      <c r="DI93" s="69"/>
      <c r="DJ93" s="29">
        <f>if($F93=$G93,if(and($F93=$G93,BE93&lt;&gt;BF93),'Thể lệ'!$E$7,if($F93=BE93,0,0.5*'Thể lệ'!$E$7)),if(and($F93=BE93,$G93=BF93),"0",if(($F93-$G93)*(BE93-BF93)&gt;0,0.5*'Thể lệ'!$E$7,'Thể lệ'!$E$7)))</f>
        <v>0</v>
      </c>
      <c r="DK93" s="69"/>
      <c r="DL93" s="29">
        <f>if($F93=$G93,if(and($F93=$G93,BG93&lt;&gt;BH93),'Thể lệ'!$E$7,if($F93=BG93,0,0.5*'Thể lệ'!$E$7)),if(and($F93=BG93,$G93=BH93),"0",if(($F93-$G93)*(BG93-BH93)&gt;0,0.5*'Thể lệ'!$E$7,'Thể lệ'!$E$7)))</f>
        <v>0</v>
      </c>
      <c r="DM93" s="69"/>
      <c r="DN93" s="72">
        <f>if($F93=$G93,if(and($F93=$G93,BI93&lt;&gt;BJ93),'Thể lệ'!$E$7,if($F93=BI93,0,0.5*'Thể lệ'!$E$7)),if(and($F93=BI93,$G93=BJ93),"0",if(($F93-$G93)*(BI93-BJ93)&gt;0,0.5*'Thể lệ'!$E$7,'Thể lệ'!$E$7)))</f>
        <v>7500</v>
      </c>
      <c r="DO93" s="69"/>
      <c r="DP93" s="69"/>
    </row>
    <row r="94">
      <c r="A94" s="63"/>
      <c r="B94" s="71">
        <v>87.0</v>
      </c>
      <c r="C94" s="64">
        <v>46207.20833333333</v>
      </c>
      <c r="D94" s="65">
        <v>46207.20833333333</v>
      </c>
      <c r="E94" s="55" t="s">
        <v>81</v>
      </c>
      <c r="F94" s="23"/>
      <c r="G94" s="23"/>
      <c r="H94" s="55" t="s">
        <v>81</v>
      </c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67"/>
      <c r="BF94" s="23"/>
      <c r="BG94" s="23"/>
      <c r="BH94" s="23"/>
      <c r="BI94" s="37">
        <f>H.Son!H94</f>
        <v>1</v>
      </c>
      <c r="BJ94" s="37">
        <f>H.Son!I94</f>
        <v>1</v>
      </c>
      <c r="BK94" s="23"/>
      <c r="BL94" s="23"/>
      <c r="BM94" s="68"/>
      <c r="BN94" s="29">
        <f>if($F94=$G94,if(and($F94=$G94,I94&lt;&gt;J94),'Thể lệ'!$E$7,if($F94=I94,0,0.5*'Thể lệ'!$E$7)),if(and($F94=I94,$G94=J94),"0",if(($F94-$G94)*(I94-J94)&gt;0,0.5*'Thể lệ'!$E$7,'Thể lệ'!$E$7)))</f>
        <v>0</v>
      </c>
      <c r="BO94" s="29"/>
      <c r="BP94" s="29">
        <f>if($F94=$G94,if(and($F94=$G94,K94&lt;&gt;L94),'Thể lệ'!$E$7,if($F94=K94,0,0.5*'Thể lệ'!$E$7)),if(and($F94=K94,$G94=L94),"0",if(($F94-$G94)*(K94-L94)&gt;0,0.5*'Thể lệ'!$E$7,'Thể lệ'!$E$7)))</f>
        <v>0</v>
      </c>
      <c r="BQ94" s="29"/>
      <c r="BR94" s="29">
        <f>if($F94=$G94,if(and($F94=$G94,M94&lt;&gt;N94),'Thể lệ'!$E$7,if($F94=M94,0,0.5*'Thể lệ'!$E$7)),if(and($F94=M94,$G94=N94),"0",if(($F94-$G94)*(M94-N94)&gt;0,0.5*'Thể lệ'!$E$7,'Thể lệ'!$E$7)))</f>
        <v>0</v>
      </c>
      <c r="BS94" s="29"/>
      <c r="BT94" s="29">
        <f>if($F94=$G94,if(and($F94=$G94,O94&lt;&gt;P94),'Thể lệ'!$E$7,if($F94=O94,0,0.5*'Thể lệ'!$E$7)),if(and($F94=O94,$G94=P94),"0",if(($F94-$G94)*(O94-P94)&gt;0,0.5*'Thể lệ'!$E$7,'Thể lệ'!$E$7)))</f>
        <v>0</v>
      </c>
      <c r="BU94" s="29"/>
      <c r="BV94" s="29">
        <f>if($F94=$G94,if(and($F94=$G94,Q94&lt;&gt;R94),'Thể lệ'!$E$7,if($F94=Q94,0,0.5*'Thể lệ'!$E$7)),if(and($F94=Q94,$G94=R94),"0",if(($F94-$G94)*(Q94-R94)&gt;0,0.5*'Thể lệ'!$E$7,'Thể lệ'!$E$7)))</f>
        <v>0</v>
      </c>
      <c r="BW94" s="29"/>
      <c r="BX94" s="29">
        <f>if($F94=$G94,if(and($F94=$G94,S94&lt;&gt;T94),'Thể lệ'!$E$7,if($F94=S94,0,0.5*'Thể lệ'!$E$7)),if(and($F94=S94,$G94=T94),"0",if(($F94-$G94)*(S94-T94)&gt;0,0.5*'Thể lệ'!$E$7,'Thể lệ'!$E$7)))</f>
        <v>0</v>
      </c>
      <c r="BY94" s="29"/>
      <c r="BZ94" s="29">
        <f>if($F94=$G94,if(and($F94=$G94,U94&lt;&gt;V94),'Thể lệ'!$E$7,if($F94=U94,0,0.5*'Thể lệ'!$E$7)),if(and($F94=U94,$G94=V94),"0",if(($F94-$G94)*(U94-V94)&gt;0,0.5*'Thể lệ'!$E$7,'Thể lệ'!$E$7)))</f>
        <v>0</v>
      </c>
      <c r="CA94" s="29"/>
      <c r="CB94" s="29">
        <f>if($F94=$G94,if(and($F94=$G94,W94&lt;&gt;X94),'Thể lệ'!$E$7,if($F94=W94,0,0.5*'Thể lệ'!$E$7)),if(and($F94=W94,$G94=X94),"0",if(($F94-$G94)*(W94-X94)&gt;0,0.5*'Thể lệ'!$E$7,'Thể lệ'!$E$7)))</f>
        <v>0</v>
      </c>
      <c r="CC94" s="29"/>
      <c r="CD94" s="29">
        <f>if($F94=$G94,if(and($F94=$G94,Y94&lt;&gt;Z94),'Thể lệ'!$E$7,if($F94=Y94,0,0.5*'Thể lệ'!$E$7)),if(and($F94=Y94,$G94=Z94),"0",if(($F94-$G94)*(Y94-Z94)&gt;0,0.5*'Thể lệ'!$E$7,'Thể lệ'!$E$7)))</f>
        <v>0</v>
      </c>
      <c r="CE94" s="29"/>
      <c r="CF94" s="29">
        <f>if($F94=$G94,if(and($F94=$G94,AA94&lt;&gt;AB94),'Thể lệ'!$E$7,if($F94=AA94,0,0.5*'Thể lệ'!$E$7)),if(and($F94=AA94,$G94=AB94),"0",if(($F94-$G94)*(AA94-AB94)&gt;0,0.5*'Thể lệ'!$E$7,'Thể lệ'!$E$7)))</f>
        <v>0</v>
      </c>
      <c r="CG94" s="29"/>
      <c r="CH94" s="29">
        <f>if($F94=$G94,if(and($F94=$G94,AC94&lt;&gt;AD94),'Thể lệ'!$E$7,if($F94=AC94,0,0.5*'Thể lệ'!$E$7)),if(and($F94=AC94,$G94=AD94),"0",if(($F94-$G94)*(AC94-AD94)&gt;0,0.5*'Thể lệ'!$E$7,'Thể lệ'!$E$7)))</f>
        <v>0</v>
      </c>
      <c r="CI94" s="29"/>
      <c r="CJ94" s="29">
        <f>if($F94=$G94,if(and($F94=$G94,AE94&lt;&gt;AF94),'Thể lệ'!$E$7,if($F94=AE94,0,0.5*'Thể lệ'!$E$7)),if(and($F94=AE94,$G94=AF94),"0",if(($F94-$G94)*(AE94-AF94)&gt;0,0.5*'Thể lệ'!$E$7,'Thể lệ'!$E$7)))</f>
        <v>0</v>
      </c>
      <c r="CK94" s="29"/>
      <c r="CL94" s="29">
        <f>if($F94=$G94,if(and($F94=$G94,AG94&lt;&gt;AH94),'Thể lệ'!$E$7,if($F94=AG94,0,0.5*'Thể lệ'!$E$7)),if(and($F94=AG94,$G94=AH94),"0",if(($F94-$G94)*(AG94-AH94)&gt;0,0.5*'Thể lệ'!$E$7,'Thể lệ'!$E$7)))</f>
        <v>0</v>
      </c>
      <c r="CM94" s="29"/>
      <c r="CN94" s="29">
        <f>if($F94=$G94,if(and($F94=$G94,AI94&lt;&gt;AJ94),'Thể lệ'!$E$7,if($F94=AI94,0,0.5*'Thể lệ'!$E$7)),if(and($F94=AI94,$G94=AJ94),"0",if(($F94-$G94)*(AI94-AJ94)&gt;0,0.5*'Thể lệ'!$E$7,'Thể lệ'!$E$7)))</f>
        <v>0</v>
      </c>
      <c r="CO94" s="29"/>
      <c r="CP94" s="29">
        <f>if($F94=$G94,if(and($F94=$G94,AK94&lt;&gt;AL94),'Thể lệ'!$E$7,if($F94=AK94,0,0.5*'Thể lệ'!$E$7)),if(and($F94=AK94,$G94=AL94),"0",if(($F94-$G94)*(AK94-AL94)&gt;0,0.5*'Thể lệ'!$E$7,'Thể lệ'!$E$7)))</f>
        <v>0</v>
      </c>
      <c r="CQ94" s="29"/>
      <c r="CR94" s="29">
        <f>if($F94=$G94,if(and($F94=$G94,AM94&lt;&gt;AN94),'Thể lệ'!$E$7,if($F94=AM94,0,0.5*'Thể lệ'!$E$7)),if(and($F94=AM94,$G94=AN94),"0",if(($F94-$G94)*(AM94-AN94)&gt;0,0.5*'Thể lệ'!$E$7,'Thể lệ'!$E$7)))</f>
        <v>0</v>
      </c>
      <c r="CS94" s="29"/>
      <c r="CT94" s="29">
        <f>if($F94=$G94,if(and($F94=$G94,AO94&lt;&gt;AP94),'Thể lệ'!$E$7,if($F94=AO94,0,0.5*'Thể lệ'!$E$7)),if(and($F94=AO94,$G94=AP94),"0",if(($F94-$G94)*(AO94-AP94)&gt;0,0.5*'Thể lệ'!$E$7,'Thể lệ'!$E$7)))</f>
        <v>0</v>
      </c>
      <c r="CU94" s="29"/>
      <c r="CV94" s="29">
        <f>if($F94=$G94,if(and($F94=$G94,AQ94&lt;&gt;AR94),'Thể lệ'!$E$7,if($F94=AQ94,0,0.5*'Thể lệ'!$E$7)),if(and($F94=AQ94,$G94=AR94),"0",if(($F94-$G94)*(AQ94-AR94)&gt;0,0.5*'Thể lệ'!$E$7,'Thể lệ'!$E$7)))</f>
        <v>0</v>
      </c>
      <c r="CW94" s="29"/>
      <c r="CX94" s="29">
        <f>if($F94=$G94,if(and($F94=$G94,AS94&lt;&gt;AT94),'Thể lệ'!$E$7,if($F94=AS94,0,0.5*'Thể lệ'!$E$7)),if(and($F94=AS94,$G94=AT94),"0",if(($F94-$G94)*(AS94-AT94)&gt;0,0.5*'Thể lệ'!$E$7,'Thể lệ'!$E$7)))</f>
        <v>0</v>
      </c>
      <c r="CY94" s="29"/>
      <c r="CZ94" s="29">
        <f>if($F94=$G94,if(and($F94=$G94,AU94&lt;&gt;AV94),'Thể lệ'!$E$7,if($F94=AU94,0,0.5*'Thể lệ'!$E$7)),if(and($F94=AU94,$G94=AV94),"0",if(($F94-$G94)*(AU94-AV94)&gt;0,0.5*'Thể lệ'!$E$7,'Thể lệ'!$E$7)))</f>
        <v>0</v>
      </c>
      <c r="DA94" s="29"/>
      <c r="DB94" s="29">
        <f>if($F94=$G94,if(and($F94=$G94,AW94&lt;&gt;AX94),'Thể lệ'!$E$7,if($F94=AW94,0,0.5*'Thể lệ'!$E$7)),if(and($F94=AW94,$G94=AX94),"0",if(($F94-$G94)*(AW94-AX94)&gt;0,0.5*'Thể lệ'!$E$7,'Thể lệ'!$E$7)))</f>
        <v>0</v>
      </c>
      <c r="DC94" s="69"/>
      <c r="DD94" s="29">
        <f>if($F94=$G94,if(and($F94=$G94,AY94&lt;&gt;AZ94),'Thể lệ'!$E$7,if($F94=AY94,0,0.5*'Thể lệ'!$E$7)),if(and($F94=AY94,$G94=AZ94),"0",if(($F94-$G94)*(AY94-AZ94)&gt;0,0.5*'Thể lệ'!$E$7,'Thể lệ'!$E$7)))</f>
        <v>0</v>
      </c>
      <c r="DE94" s="69"/>
      <c r="DF94" s="29">
        <f>if($F94=$G94,if(and($F94=$G94,BA94&lt;&gt;BB94),'Thể lệ'!$E$7,if($F94=BA94,0,0.5*'Thể lệ'!$E$7)),if(and($F94=BA94,$G94=BB94),"0",if(($F94-$G94)*(BA94-BB94)&gt;0,0.5*'Thể lệ'!$E$7,'Thể lệ'!$E$7)))</f>
        <v>0</v>
      </c>
      <c r="DG94" s="69"/>
      <c r="DH94" s="29">
        <f>if($F94=$G94,if(and($F94=$G94,BC94&lt;&gt;BD94),'Thể lệ'!$E$7,if($F94=BC94,0,0.5*'Thể lệ'!$E$7)),if(and($F94=BC94,$G94=BD94),"0",if(($F94-$G94)*(BC94-BD94)&gt;0,0.5*'Thể lệ'!$E$7,'Thể lệ'!$E$7)))</f>
        <v>0</v>
      </c>
      <c r="DI94" s="69"/>
      <c r="DJ94" s="29">
        <f>if($F94=$G94,if(and($F94=$G94,BE94&lt;&gt;BF94),'Thể lệ'!$E$7,if($F94=BE94,0,0.5*'Thể lệ'!$E$7)),if(and($F94=BE94,$G94=BF94),"0",if(($F94-$G94)*(BE94-BF94)&gt;0,0.5*'Thể lệ'!$E$7,'Thể lệ'!$E$7)))</f>
        <v>0</v>
      </c>
      <c r="DK94" s="69"/>
      <c r="DL94" s="29">
        <f>if($F94=$G94,if(and($F94=$G94,BG94&lt;&gt;BH94),'Thể lệ'!$E$7,if($F94=BG94,0,0.5*'Thể lệ'!$E$7)),if(and($F94=BG94,$G94=BH94),"0",if(($F94-$G94)*(BG94-BH94)&gt;0,0.5*'Thể lệ'!$E$7,'Thể lệ'!$E$7)))</f>
        <v>0</v>
      </c>
      <c r="DM94" s="69"/>
      <c r="DN94" s="72">
        <f>if($F94=$G94,if(and($F94=$G94,BI94&lt;&gt;BJ94),'Thể lệ'!$E$7,if($F94=BI94,0,0.5*'Thể lệ'!$E$7)),if(and($F94=BI94,$G94=BJ94),"0",if(($F94-$G94)*(BI94-BJ94)&gt;0,0.5*'Thể lệ'!$E$7,'Thể lệ'!$E$7)))</f>
        <v>7500</v>
      </c>
      <c r="DO94" s="69"/>
      <c r="DP94" s="69"/>
    </row>
    <row r="95">
      <c r="A95" s="63"/>
      <c r="B95" s="71">
        <v>88.0</v>
      </c>
      <c r="C95" s="64">
        <v>46207.354166666664</v>
      </c>
      <c r="D95" s="65">
        <v>46207.354166666664</v>
      </c>
      <c r="E95" s="55" t="s">
        <v>81</v>
      </c>
      <c r="F95" s="23"/>
      <c r="G95" s="23"/>
      <c r="H95" s="55" t="s">
        <v>81</v>
      </c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67"/>
      <c r="BF95" s="23"/>
      <c r="BG95" s="23"/>
      <c r="BH95" s="23"/>
      <c r="BI95" s="37">
        <f>H.Son!H95</f>
        <v>1</v>
      </c>
      <c r="BJ95" s="37">
        <f>H.Son!I95</f>
        <v>1</v>
      </c>
      <c r="BK95" s="23"/>
      <c r="BL95" s="23"/>
      <c r="BM95" s="68"/>
      <c r="BN95" s="29">
        <f>if($F95=$G95,if(and($F95=$G95,I95&lt;&gt;J95),'Thể lệ'!$E$7,if($F95=I95,0,0.5*'Thể lệ'!$E$7)),if(and($F95=I95,$G95=J95),"0",if(($F95-$G95)*(I95-J95)&gt;0,0.5*'Thể lệ'!$E$7,'Thể lệ'!$E$7)))</f>
        <v>0</v>
      </c>
      <c r="BO95" s="29"/>
      <c r="BP95" s="29">
        <f>if($F95=$G95,if(and($F95=$G95,K95&lt;&gt;L95),'Thể lệ'!$E$7,if($F95=K95,0,0.5*'Thể lệ'!$E$7)),if(and($F95=K95,$G95=L95),"0",if(($F95-$G95)*(K95-L95)&gt;0,0.5*'Thể lệ'!$E$7,'Thể lệ'!$E$7)))</f>
        <v>0</v>
      </c>
      <c r="BQ95" s="29"/>
      <c r="BR95" s="29">
        <f>if($F95=$G95,if(and($F95=$G95,M95&lt;&gt;N95),'Thể lệ'!$E$7,if($F95=M95,0,0.5*'Thể lệ'!$E$7)),if(and($F95=M95,$G95=N95),"0",if(($F95-$G95)*(M95-N95)&gt;0,0.5*'Thể lệ'!$E$7,'Thể lệ'!$E$7)))</f>
        <v>0</v>
      </c>
      <c r="BS95" s="29"/>
      <c r="BT95" s="29">
        <f>if($F95=$G95,if(and($F95=$G95,O95&lt;&gt;P95),'Thể lệ'!$E$7,if($F95=O95,0,0.5*'Thể lệ'!$E$7)),if(and($F95=O95,$G95=P95),"0",if(($F95-$G95)*(O95-P95)&gt;0,0.5*'Thể lệ'!$E$7,'Thể lệ'!$E$7)))</f>
        <v>0</v>
      </c>
      <c r="BU95" s="29"/>
      <c r="BV95" s="29">
        <f>if($F95=$G95,if(and($F95=$G95,Q95&lt;&gt;R95),'Thể lệ'!$E$7,if($F95=Q95,0,0.5*'Thể lệ'!$E$7)),if(and($F95=Q95,$G95=R95),"0",if(($F95-$G95)*(Q95-R95)&gt;0,0.5*'Thể lệ'!$E$7,'Thể lệ'!$E$7)))</f>
        <v>0</v>
      </c>
      <c r="BW95" s="29"/>
      <c r="BX95" s="29">
        <f>if($F95=$G95,if(and($F95=$G95,S95&lt;&gt;T95),'Thể lệ'!$E$7,if($F95=S95,0,0.5*'Thể lệ'!$E$7)),if(and($F95=S95,$G95=T95),"0",if(($F95-$G95)*(S95-T95)&gt;0,0.5*'Thể lệ'!$E$7,'Thể lệ'!$E$7)))</f>
        <v>0</v>
      </c>
      <c r="BY95" s="29"/>
      <c r="BZ95" s="29">
        <f>if($F95=$G95,if(and($F95=$G95,U95&lt;&gt;V95),'Thể lệ'!$E$7,if($F95=U95,0,0.5*'Thể lệ'!$E$7)),if(and($F95=U95,$G95=V95),"0",if(($F95-$G95)*(U95-V95)&gt;0,0.5*'Thể lệ'!$E$7,'Thể lệ'!$E$7)))</f>
        <v>0</v>
      </c>
      <c r="CA95" s="29"/>
      <c r="CB95" s="29">
        <f>if($F95=$G95,if(and($F95=$G95,W95&lt;&gt;X95),'Thể lệ'!$E$7,if($F95=W95,0,0.5*'Thể lệ'!$E$7)),if(and($F95=W95,$G95=X95),"0",if(($F95-$G95)*(W95-X95)&gt;0,0.5*'Thể lệ'!$E$7,'Thể lệ'!$E$7)))</f>
        <v>0</v>
      </c>
      <c r="CC95" s="29"/>
      <c r="CD95" s="29">
        <f>if($F95=$G95,if(and($F95=$G95,Y95&lt;&gt;Z95),'Thể lệ'!$E$7,if($F95=Y95,0,0.5*'Thể lệ'!$E$7)),if(and($F95=Y95,$G95=Z95),"0",if(($F95-$G95)*(Y95-Z95)&gt;0,0.5*'Thể lệ'!$E$7,'Thể lệ'!$E$7)))</f>
        <v>0</v>
      </c>
      <c r="CE95" s="29"/>
      <c r="CF95" s="29">
        <f>if($F95=$G95,if(and($F95=$G95,AA95&lt;&gt;AB95),'Thể lệ'!$E$7,if($F95=AA95,0,0.5*'Thể lệ'!$E$7)),if(and($F95=AA95,$G95=AB95),"0",if(($F95-$G95)*(AA95-AB95)&gt;0,0.5*'Thể lệ'!$E$7,'Thể lệ'!$E$7)))</f>
        <v>0</v>
      </c>
      <c r="CG95" s="29"/>
      <c r="CH95" s="29">
        <f>if($F95=$G95,if(and($F95=$G95,AC95&lt;&gt;AD95),'Thể lệ'!$E$7,if($F95=AC95,0,0.5*'Thể lệ'!$E$7)),if(and($F95=AC95,$G95=AD95),"0",if(($F95-$G95)*(AC95-AD95)&gt;0,0.5*'Thể lệ'!$E$7,'Thể lệ'!$E$7)))</f>
        <v>0</v>
      </c>
      <c r="CI95" s="29"/>
      <c r="CJ95" s="29">
        <f>if($F95=$G95,if(and($F95=$G95,AE95&lt;&gt;AF95),'Thể lệ'!$E$7,if($F95=AE95,0,0.5*'Thể lệ'!$E$7)),if(and($F95=AE95,$G95=AF95),"0",if(($F95-$G95)*(AE95-AF95)&gt;0,0.5*'Thể lệ'!$E$7,'Thể lệ'!$E$7)))</f>
        <v>0</v>
      </c>
      <c r="CK95" s="29"/>
      <c r="CL95" s="29">
        <f>if($F95=$G95,if(and($F95=$G95,AG95&lt;&gt;AH95),'Thể lệ'!$E$7,if($F95=AG95,0,0.5*'Thể lệ'!$E$7)),if(and($F95=AG95,$G95=AH95),"0",if(($F95-$G95)*(AG95-AH95)&gt;0,0.5*'Thể lệ'!$E$7,'Thể lệ'!$E$7)))</f>
        <v>0</v>
      </c>
      <c r="CM95" s="29"/>
      <c r="CN95" s="29">
        <f>if($F95=$G95,if(and($F95=$G95,AI95&lt;&gt;AJ95),'Thể lệ'!$E$7,if($F95=AI95,0,0.5*'Thể lệ'!$E$7)),if(and($F95=AI95,$G95=AJ95),"0",if(($F95-$G95)*(AI95-AJ95)&gt;0,0.5*'Thể lệ'!$E$7,'Thể lệ'!$E$7)))</f>
        <v>0</v>
      </c>
      <c r="CO95" s="29"/>
      <c r="CP95" s="29">
        <f>if($F95=$G95,if(and($F95=$G95,AK95&lt;&gt;AL95),'Thể lệ'!$E$7,if($F95=AK95,0,0.5*'Thể lệ'!$E$7)),if(and($F95=AK95,$G95=AL95),"0",if(($F95-$G95)*(AK95-AL95)&gt;0,0.5*'Thể lệ'!$E$7,'Thể lệ'!$E$7)))</f>
        <v>0</v>
      </c>
      <c r="CQ95" s="29"/>
      <c r="CR95" s="29">
        <f>if($F95=$G95,if(and($F95=$G95,AM95&lt;&gt;AN95),'Thể lệ'!$E$7,if($F95=AM95,0,0.5*'Thể lệ'!$E$7)),if(and($F95=AM95,$G95=AN95),"0",if(($F95-$G95)*(AM95-AN95)&gt;0,0.5*'Thể lệ'!$E$7,'Thể lệ'!$E$7)))</f>
        <v>0</v>
      </c>
      <c r="CS95" s="29"/>
      <c r="CT95" s="29">
        <f>if($F95=$G95,if(and($F95=$G95,AO95&lt;&gt;AP95),'Thể lệ'!$E$7,if($F95=AO95,0,0.5*'Thể lệ'!$E$7)),if(and($F95=AO95,$G95=AP95),"0",if(($F95-$G95)*(AO95-AP95)&gt;0,0.5*'Thể lệ'!$E$7,'Thể lệ'!$E$7)))</f>
        <v>0</v>
      </c>
      <c r="CU95" s="29"/>
      <c r="CV95" s="29">
        <f>if($F95=$G95,if(and($F95=$G95,AQ95&lt;&gt;AR95),'Thể lệ'!$E$7,if($F95=AQ95,0,0.5*'Thể lệ'!$E$7)),if(and($F95=AQ95,$G95=AR95),"0",if(($F95-$G95)*(AQ95-AR95)&gt;0,0.5*'Thể lệ'!$E$7,'Thể lệ'!$E$7)))</f>
        <v>0</v>
      </c>
      <c r="CW95" s="29"/>
      <c r="CX95" s="29">
        <f>if($F95=$G95,if(and($F95=$G95,AS95&lt;&gt;AT95),'Thể lệ'!$E$7,if($F95=AS95,0,0.5*'Thể lệ'!$E$7)),if(and($F95=AS95,$G95=AT95),"0",if(($F95-$G95)*(AS95-AT95)&gt;0,0.5*'Thể lệ'!$E$7,'Thể lệ'!$E$7)))</f>
        <v>0</v>
      </c>
      <c r="CY95" s="29"/>
      <c r="CZ95" s="29">
        <f>if($F95=$G95,if(and($F95=$G95,AU95&lt;&gt;AV95),'Thể lệ'!$E$7,if($F95=AU95,0,0.5*'Thể lệ'!$E$7)),if(and($F95=AU95,$G95=AV95),"0",if(($F95-$G95)*(AU95-AV95)&gt;0,0.5*'Thể lệ'!$E$7,'Thể lệ'!$E$7)))</f>
        <v>0</v>
      </c>
      <c r="DA95" s="29"/>
      <c r="DB95" s="29">
        <f>if($F95=$G95,if(and($F95=$G95,AW95&lt;&gt;AX95),'Thể lệ'!$E$7,if($F95=AW95,0,0.5*'Thể lệ'!$E$7)),if(and($F95=AW95,$G95=AX95),"0",if(($F95-$G95)*(AW95-AX95)&gt;0,0.5*'Thể lệ'!$E$7,'Thể lệ'!$E$7)))</f>
        <v>0</v>
      </c>
      <c r="DC95" s="69"/>
      <c r="DD95" s="29">
        <f>if($F95=$G95,if(and($F95=$G95,AY95&lt;&gt;AZ95),'Thể lệ'!$E$7,if($F95=AY95,0,0.5*'Thể lệ'!$E$7)),if(and($F95=AY95,$G95=AZ95),"0",if(($F95-$G95)*(AY95-AZ95)&gt;0,0.5*'Thể lệ'!$E$7,'Thể lệ'!$E$7)))</f>
        <v>0</v>
      </c>
      <c r="DE95" s="69"/>
      <c r="DF95" s="29">
        <f>if($F95=$G95,if(and($F95=$G95,BA95&lt;&gt;BB95),'Thể lệ'!$E$7,if($F95=BA95,0,0.5*'Thể lệ'!$E$7)),if(and($F95=BA95,$G95=BB95),"0",if(($F95-$G95)*(BA95-BB95)&gt;0,0.5*'Thể lệ'!$E$7,'Thể lệ'!$E$7)))</f>
        <v>0</v>
      </c>
      <c r="DG95" s="69"/>
      <c r="DH95" s="29">
        <f>if($F95=$G95,if(and($F95=$G95,BC95&lt;&gt;BD95),'Thể lệ'!$E$7,if($F95=BC95,0,0.5*'Thể lệ'!$E$7)),if(and($F95=BC95,$G95=BD95),"0",if(($F95-$G95)*(BC95-BD95)&gt;0,0.5*'Thể lệ'!$E$7,'Thể lệ'!$E$7)))</f>
        <v>0</v>
      </c>
      <c r="DI95" s="69"/>
      <c r="DJ95" s="29">
        <f>if($F95=$G95,if(and($F95=$G95,BE95&lt;&gt;BF95),'Thể lệ'!$E$7,if($F95=BE95,0,0.5*'Thể lệ'!$E$7)),if(and($F95=BE95,$G95=BF95),"0",if(($F95-$G95)*(BE95-BF95)&gt;0,0.5*'Thể lệ'!$E$7,'Thể lệ'!$E$7)))</f>
        <v>0</v>
      </c>
      <c r="DK95" s="69"/>
      <c r="DL95" s="29">
        <f>if($F95=$G95,if(and($F95=$G95,BG95&lt;&gt;BH95),'Thể lệ'!$E$7,if($F95=BG95,0,0.5*'Thể lệ'!$E$7)),if(and($F95=BG95,$G95=BH95),"0",if(($F95-$G95)*(BG95-BH95)&gt;0,0.5*'Thể lệ'!$E$7,'Thể lệ'!$E$7)))</f>
        <v>0</v>
      </c>
      <c r="DM95" s="69"/>
      <c r="DN95" s="72">
        <f>if($F95=$G95,if(and($F95=$G95,BI95&lt;&gt;BJ95),'Thể lệ'!$E$7,if($F95=BI95,0,0.5*'Thể lệ'!$E$7)),if(and($F95=BI95,$G95=BJ95),"0",if(($F95-$G95)*(BI95-BJ95)&gt;0,0.5*'Thể lệ'!$E$7,'Thể lệ'!$E$7)))</f>
        <v>7500</v>
      </c>
      <c r="DO95" s="69"/>
      <c r="DP95" s="69"/>
    </row>
    <row r="96">
      <c r="A96" s="63"/>
      <c r="B96" s="73"/>
      <c r="C96" s="70" t="s">
        <v>82</v>
      </c>
      <c r="D96" s="74"/>
      <c r="E96" s="55"/>
      <c r="F96" s="23"/>
      <c r="G96" s="23"/>
      <c r="H96" s="55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67"/>
      <c r="BF96" s="23"/>
      <c r="BG96" s="23"/>
      <c r="BH96" s="23"/>
      <c r="BI96" s="37" t="str">
        <f>H.Son!H96</f>
        <v/>
      </c>
      <c r="BJ96" s="37" t="str">
        <f>H.Son!I96</f>
        <v/>
      </c>
      <c r="BK96" s="23"/>
      <c r="BL96" s="23"/>
      <c r="BM96" s="6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75"/>
      <c r="DD96" s="28"/>
      <c r="DE96" s="75"/>
      <c r="DF96" s="28"/>
      <c r="DG96" s="75"/>
      <c r="DH96" s="28"/>
      <c r="DI96" s="75"/>
      <c r="DJ96" s="28"/>
      <c r="DK96" s="75"/>
      <c r="DL96" s="28"/>
      <c r="DM96" s="75"/>
      <c r="DN96" s="28"/>
      <c r="DO96" s="75"/>
      <c r="DP96" s="75"/>
    </row>
    <row r="97">
      <c r="A97" s="63"/>
      <c r="B97" s="71">
        <v>89.0</v>
      </c>
      <c r="C97" s="64">
        <v>46207.99999999999</v>
      </c>
      <c r="D97" s="65">
        <v>46207.99999999999</v>
      </c>
      <c r="E97" s="55" t="s">
        <v>81</v>
      </c>
      <c r="F97" s="23"/>
      <c r="G97" s="23"/>
      <c r="H97" s="55" t="s">
        <v>81</v>
      </c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67"/>
      <c r="BF97" s="23"/>
      <c r="BG97" s="23"/>
      <c r="BH97" s="23"/>
      <c r="BI97" s="37">
        <f>H.Son!H97</f>
        <v>1</v>
      </c>
      <c r="BJ97" s="37">
        <f>H.Son!I97</f>
        <v>1</v>
      </c>
      <c r="BK97" s="23"/>
      <c r="BL97" s="23"/>
      <c r="BM97" s="68"/>
      <c r="BN97" s="29">
        <f>if($F97=$G97,if(and($F97=$G97,I97&lt;&gt;J97),'Thể lệ'!$E$8,if($F97=I97,0,0.5*'Thể lệ'!$E$8)),if(and($F97=I97,$G97=J97),"0",if(($F97-$G97)*(I97-J97)&gt;0,0.5*'Thể lệ'!$E$8,'Thể lệ'!$E$8)))</f>
        <v>0</v>
      </c>
      <c r="BO97" s="29"/>
      <c r="BP97" s="29">
        <f>if($F97=$G97,if(and($F97=$G97,K97&lt;&gt;L97),'Thể lệ'!$E$8,if($F97=K97,0,0.5*'Thể lệ'!$E$8)),if(and($F97=K97,$G97=L97),"0",if(($F97-$G97)*(K97-L97)&gt;0,0.5*'Thể lệ'!$E$8,'Thể lệ'!$E$8)))</f>
        <v>0</v>
      </c>
      <c r="BQ97" s="29"/>
      <c r="BR97" s="29">
        <f>if($F97=$G97,if(and($F97=$G97,M97&lt;&gt;N97),'Thể lệ'!$E$8,if($F97=M97,0,0.5*'Thể lệ'!$E$8)),if(and($F97=M97,$G97=N97),"0",if(($F97-$G97)*(M97-N97)&gt;0,0.5*'Thể lệ'!$E$8,'Thể lệ'!$E$8)))</f>
        <v>0</v>
      </c>
      <c r="BS97" s="29"/>
      <c r="BT97" s="29">
        <f>if($F97=$G97,if(and($F97=$G97,O97&lt;&gt;P97),'Thể lệ'!$E$8,if($F97=O97,0,0.5*'Thể lệ'!$E$8)),if(and($F97=O97,$G97=P97),"0",if(($F97-$G97)*(O97-P97)&gt;0,0.5*'Thể lệ'!$E$8,'Thể lệ'!$E$8)))</f>
        <v>0</v>
      </c>
      <c r="BU97" s="29"/>
      <c r="BV97" s="29">
        <f>if($F97=$G97,if(and($F97=$G97,Q97&lt;&gt;R97),'Thể lệ'!$E$8,if($F97=Q97,0,0.5*'Thể lệ'!$E$8)),if(and($F97=Q97,$G97=R97),"0",if(($F97-$G97)*(Q97-R97)&gt;0,0.5*'Thể lệ'!$E$8,'Thể lệ'!$E$8)))</f>
        <v>0</v>
      </c>
      <c r="BW97" s="29"/>
      <c r="BX97" s="29">
        <f>if($F97=$G97,if(and($F97=$G97,S97&lt;&gt;T97),'Thể lệ'!$E$8,if($F97=S97,0,0.5*'Thể lệ'!$E$8)),if(and($F97=S97,$G97=T97),"0",if(($F97-$G97)*(S97-T97)&gt;0,0.5*'Thể lệ'!$E$8,'Thể lệ'!$E$8)))</f>
        <v>0</v>
      </c>
      <c r="BY97" s="29"/>
      <c r="BZ97" s="29">
        <f>if($F97=$G97,if(and($F97=$G97,U97&lt;&gt;V97),'Thể lệ'!$E$8,if($F97=U97,0,0.5*'Thể lệ'!$E$8)),if(and($F97=U97,$G97=V97),"0",if(($F97-$G97)*(U97-V97)&gt;0,0.5*'Thể lệ'!$E$8,'Thể lệ'!$E$8)))</f>
        <v>0</v>
      </c>
      <c r="CA97" s="29"/>
      <c r="CB97" s="29">
        <f>if($F97=$G97,if(and($F97=$G97,W97&lt;&gt;X97),'Thể lệ'!$E$8,if($F97=W97,0,0.5*'Thể lệ'!$E$8)),if(and($F97=W97,$G97=X97),"0",if(($F97-$G97)*(W97-X97)&gt;0,0.5*'Thể lệ'!$E$8,'Thể lệ'!$E$8)))</f>
        <v>0</v>
      </c>
      <c r="CC97" s="29"/>
      <c r="CD97" s="29">
        <f>if($F97=$G97,if(and($F97=$G97,Y97&lt;&gt;Z97),'Thể lệ'!$E$8,if($F97=Y97,0,0.5*'Thể lệ'!$E$8)),if(and($F97=Y97,$G97=Z97),"0",if(($F97-$G97)*(Y97-Z97)&gt;0,0.5*'Thể lệ'!$E$8,'Thể lệ'!$E$8)))</f>
        <v>0</v>
      </c>
      <c r="CE97" s="29"/>
      <c r="CF97" s="29">
        <f>if($F97=$G97,if(and($F97=$G97,AA97&lt;&gt;AB97),'Thể lệ'!$E$8,if($F97=AA97,0,0.5*'Thể lệ'!$E$8)),if(and($F97=AA97,$G97=AB97),"0",if(($F97-$G97)*(AA97-AB97)&gt;0,0.5*'Thể lệ'!$E$8,'Thể lệ'!$E$8)))</f>
        <v>0</v>
      </c>
      <c r="CG97" s="29"/>
      <c r="CH97" s="29">
        <f>if($F97=$G97,if(and($F97=$G97,AC97&lt;&gt;AD97),'Thể lệ'!$E$8,if($F97=AC97,0,0.5*'Thể lệ'!$E$8)),if(and($F97=AC97,$G97=AD97),"0",if(($F97-$G97)*(AC97-AD97)&gt;0,0.5*'Thể lệ'!$E$8,'Thể lệ'!$E$8)))</f>
        <v>0</v>
      </c>
      <c r="CI97" s="29"/>
      <c r="CJ97" s="29">
        <f>if($F97=$G97,if(and($F97=$G97,AE97&lt;&gt;AF97),'Thể lệ'!$E$8,if($F97=AE97,0,0.5*'Thể lệ'!$E$8)),if(and($F97=AE97,$G97=AF97),"0",if(($F97-$G97)*(AE97-AF97)&gt;0,0.5*'Thể lệ'!$E$8,'Thể lệ'!$E$8)))</f>
        <v>0</v>
      </c>
      <c r="CK97" s="29"/>
      <c r="CL97" s="29">
        <f>if($F97=$G97,if(and($F97=$G97,AG97&lt;&gt;AH97),'Thể lệ'!$E$8,if($F97=AG97,0,0.5*'Thể lệ'!$E$8)),if(and($F97=AG97,$G97=AH97),"0",if(($F97-$G97)*(AG97-AH97)&gt;0,0.5*'Thể lệ'!$E$8,'Thể lệ'!$E$8)))</f>
        <v>0</v>
      </c>
      <c r="CM97" s="29"/>
      <c r="CN97" s="29">
        <f>if($F97=$G97,if(and($F97=$G97,AI97&lt;&gt;AJ97),'Thể lệ'!$E$8,if($F97=AI97,0,0.5*'Thể lệ'!$E$8)),if(and($F97=AI97,$G97=AJ97),"0",if(($F97-$G97)*(AI97-AJ97)&gt;0,0.5*'Thể lệ'!$E$8,'Thể lệ'!$E$8)))</f>
        <v>0</v>
      </c>
      <c r="CO97" s="29"/>
      <c r="CP97" s="29">
        <f>if($F97=$G97,if(and($F97=$G97,AK97&lt;&gt;AL97),'Thể lệ'!$E$8,if($F97=AK97,0,0.5*'Thể lệ'!$E$8)),if(and($F97=AK97,$G97=AL97),"0",if(($F97-$G97)*(AK97-AL97)&gt;0,0.5*'Thể lệ'!$E$8,'Thể lệ'!$E$8)))</f>
        <v>0</v>
      </c>
      <c r="CQ97" s="29"/>
      <c r="CR97" s="29">
        <f>if($F97=$G97,if(and($F97=$G97,AM97&lt;&gt;AN97),'Thể lệ'!$E$8,if($F97=AM97,0,0.5*'Thể lệ'!$E$8)),if(and($F97=AM97,$G97=AN97),"0",if(($F97-$G97)*(AM97-AN97)&gt;0,0.5*'Thể lệ'!$E$8,'Thể lệ'!$E$8)))</f>
        <v>0</v>
      </c>
      <c r="CS97" s="29"/>
      <c r="CT97" s="29">
        <f>if($F97=$G97,if(and($F97=$G97,AO97&lt;&gt;AP97),'Thể lệ'!$E$8,if($F97=AO97,0,0.5*'Thể lệ'!$E$8)),if(and($F97=AO97,$G97=AP97),"0",if(($F97-$G97)*(AO97-AP97)&gt;0,0.5*'Thể lệ'!$E$8,'Thể lệ'!$E$8)))</f>
        <v>0</v>
      </c>
      <c r="CU97" s="29"/>
      <c r="CV97" s="29">
        <f>if($F97=$G97,if(and($F97=$G97,AQ97&lt;&gt;AR97),'Thể lệ'!$E$8,if($F97=AQ97,0,0.5*'Thể lệ'!$E$8)),if(and($F97=AQ97,$G97=AR97),"0",if(($F97-$G97)*(AQ97-AR97)&gt;0,0.5*'Thể lệ'!$E$8,'Thể lệ'!$E$8)))</f>
        <v>0</v>
      </c>
      <c r="CW97" s="29"/>
      <c r="CX97" s="29">
        <f>if($F97=$G97,if(and($F97=$G97,AS97&lt;&gt;AT97),'Thể lệ'!$E$8,if($F97=AS97,0,0.5*'Thể lệ'!$E$8)),if(and($F97=AS97,$G97=AT97),"0",if(($F97-$G97)*(AS97-AT97)&gt;0,0.5*'Thể lệ'!$E$8,'Thể lệ'!$E$8)))</f>
        <v>0</v>
      </c>
      <c r="CY97" s="29"/>
      <c r="CZ97" s="29">
        <f>if($F97=$G97,if(and($F97=$G97,AU97&lt;&gt;AV97),'Thể lệ'!$E$8,if($F97=AU97,0,0.5*'Thể lệ'!$E$8)),if(and($F97=AU97,$G97=AV97),"0",if(($F97-$G97)*(AU97-AV97)&gt;0,0.5*'Thể lệ'!$E$8,'Thể lệ'!$E$8)))</f>
        <v>0</v>
      </c>
      <c r="DA97" s="29"/>
      <c r="DB97" s="29">
        <f>if($F97=$G97,if(and($F97=$G97,AW97&lt;&gt;AX97),'Thể lệ'!$E$8,if($F97=AW97,0,0.5*'Thể lệ'!$E$8)),if(and($F97=AW97,$G97=AX97),"0",if(($F97-$G97)*(AW97-AX97)&gt;0,0.5*'Thể lệ'!$E$8,'Thể lệ'!$E$8)))</f>
        <v>0</v>
      </c>
      <c r="DC97" s="69"/>
      <c r="DD97" s="29">
        <f>if($F97=$G97,if(and($F97=$G97,AY97&lt;&gt;AZ97),'Thể lệ'!$E$8,if($F97=AY97,0,0.5*'Thể lệ'!$E$8)),if(and($F97=AY97,$G97=AZ97),"0",if(($F97-$G97)*(AY97-AZ97)&gt;0,0.5*'Thể lệ'!$E$8,'Thể lệ'!$E$8)))</f>
        <v>0</v>
      </c>
      <c r="DE97" s="69"/>
      <c r="DF97" s="29">
        <f>if($F97=$G97,if(and($F97=$G97,BA97&lt;&gt;BB97),'Thể lệ'!$E$8,if($F97=BA97,0,0.5*'Thể lệ'!$E$8)),if(and($F97=BA97,$G97=BB97),"0",if(($F97-$G97)*(BA97-BB97)&gt;0,0.5*'Thể lệ'!$E$8,'Thể lệ'!$E$8)))</f>
        <v>0</v>
      </c>
      <c r="DG97" s="69"/>
      <c r="DH97" s="29">
        <f>if($F97=$G97,if(and($F97=$G97,BC97&lt;&gt;BD97),'Thể lệ'!$E$8,if($F97=BC97,0,0.5*'Thể lệ'!$E$8)),if(and($F97=BC97,$G97=BD97),"0",if(($F97-$G97)*(BC97-BD97)&gt;0,0.5*'Thể lệ'!$E$8,'Thể lệ'!$E$8)))</f>
        <v>0</v>
      </c>
      <c r="DI97" s="69"/>
      <c r="DJ97" s="29">
        <f>if($F97=$G97,if(and($F97=$G97,BE97&lt;&gt;BF97),'Thể lệ'!$E$8,if($F97=BE97,0,0.5*'Thể lệ'!$E$8)),if(and($F97=BE97,$G97=BF97),"0",if(($F97-$G97)*(BE97-BF97)&gt;0,0.5*'Thể lệ'!$E$8,'Thể lệ'!$E$8)))</f>
        <v>0</v>
      </c>
      <c r="DK97" s="69"/>
      <c r="DL97" s="29">
        <f>if($F97=$G97,if(and($F97=$G97,BG97&lt;&gt;BH97),'Thể lệ'!$E$8,if($F97=BG97,0,0.5*'Thể lệ'!$E$8)),if(and($F97=BG97,$G97=BH97),"0",if(($F97-$G97)*(BG97-BH97)&gt;0,0.5*'Thể lệ'!$E$8,'Thể lệ'!$E$8)))</f>
        <v>0</v>
      </c>
      <c r="DM97" s="69"/>
      <c r="DN97" s="72">
        <f>if($F97=$G97,if(and($F97=$G97,BI97&lt;&gt;BJ97),'Thể lệ'!$E$8,if($F97=BI97,0,0.5*'Thể lệ'!$E$8)),if(and($F97=BI97,$G97=BJ97),"0",if(($F97-$G97)*(BI97-BJ97)&gt;0,0.5*'Thể lệ'!$E$8,'Thể lệ'!$E$8)))</f>
        <v>10000</v>
      </c>
      <c r="DO97" s="69"/>
      <c r="DP97" s="69"/>
    </row>
    <row r="98">
      <c r="A98" s="63"/>
      <c r="B98" s="71">
        <v>90.0</v>
      </c>
      <c r="C98" s="64">
        <v>46208.166666666664</v>
      </c>
      <c r="D98" s="65">
        <v>46208.166666666664</v>
      </c>
      <c r="E98" s="55" t="s">
        <v>81</v>
      </c>
      <c r="F98" s="23"/>
      <c r="G98" s="23"/>
      <c r="H98" s="55" t="s">
        <v>81</v>
      </c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67"/>
      <c r="BF98" s="23"/>
      <c r="BG98" s="23"/>
      <c r="BH98" s="23"/>
      <c r="BI98" s="37">
        <f>H.Son!H98</f>
        <v>1</v>
      </c>
      <c r="BJ98" s="37">
        <f>H.Son!I98</f>
        <v>1</v>
      </c>
      <c r="BK98" s="23"/>
      <c r="BL98" s="23"/>
      <c r="BM98" s="68"/>
      <c r="BN98" s="29">
        <f>if($F98=$G98,if(and($F98=$G98,I98&lt;&gt;J98),'Thể lệ'!$E$8,if($F98=I98,0,0.5*'Thể lệ'!$E$8)),if(and($F98=I98,$G98=J98),"0",if(($F98-$G98)*(I98-J98)&gt;0,0.5*'Thể lệ'!$E$8,'Thể lệ'!$E$8)))</f>
        <v>0</v>
      </c>
      <c r="BO98" s="29"/>
      <c r="BP98" s="29">
        <f>if($F98=$G98,if(and($F98=$G98,K98&lt;&gt;L98),'Thể lệ'!$E$8,if($F98=K98,0,0.5*'Thể lệ'!$E$8)),if(and($F98=K98,$G98=L98),"0",if(($F98-$G98)*(K98-L98)&gt;0,0.5*'Thể lệ'!$E$8,'Thể lệ'!$E$8)))</f>
        <v>0</v>
      </c>
      <c r="BQ98" s="29"/>
      <c r="BR98" s="29">
        <f>if($F98=$G98,if(and($F98=$G98,M98&lt;&gt;N98),'Thể lệ'!$E$8,if($F98=M98,0,0.5*'Thể lệ'!$E$8)),if(and($F98=M98,$G98=N98),"0",if(($F98-$G98)*(M98-N98)&gt;0,0.5*'Thể lệ'!$E$8,'Thể lệ'!$E$8)))</f>
        <v>0</v>
      </c>
      <c r="BS98" s="29"/>
      <c r="BT98" s="29">
        <f>if($F98=$G98,if(and($F98=$G98,O98&lt;&gt;P98),'Thể lệ'!$E$8,if($F98=O98,0,0.5*'Thể lệ'!$E$8)),if(and($F98=O98,$G98=P98),"0",if(($F98-$G98)*(O98-P98)&gt;0,0.5*'Thể lệ'!$E$8,'Thể lệ'!$E$8)))</f>
        <v>0</v>
      </c>
      <c r="BU98" s="29"/>
      <c r="BV98" s="29">
        <f>if($F98=$G98,if(and($F98=$G98,Q98&lt;&gt;R98),'Thể lệ'!$E$8,if($F98=Q98,0,0.5*'Thể lệ'!$E$8)),if(and($F98=Q98,$G98=R98),"0",if(($F98-$G98)*(Q98-R98)&gt;0,0.5*'Thể lệ'!$E$8,'Thể lệ'!$E$8)))</f>
        <v>0</v>
      </c>
      <c r="BW98" s="29"/>
      <c r="BX98" s="29">
        <f>if($F98=$G98,if(and($F98=$G98,S98&lt;&gt;T98),'Thể lệ'!$E$8,if($F98=S98,0,0.5*'Thể lệ'!$E$8)),if(and($F98=S98,$G98=T98),"0",if(($F98-$G98)*(S98-T98)&gt;0,0.5*'Thể lệ'!$E$8,'Thể lệ'!$E$8)))</f>
        <v>0</v>
      </c>
      <c r="BY98" s="29"/>
      <c r="BZ98" s="29">
        <f>if($F98=$G98,if(and($F98=$G98,U98&lt;&gt;V98),'Thể lệ'!$E$8,if($F98=U98,0,0.5*'Thể lệ'!$E$8)),if(and($F98=U98,$G98=V98),"0",if(($F98-$G98)*(U98-V98)&gt;0,0.5*'Thể lệ'!$E$8,'Thể lệ'!$E$8)))</f>
        <v>0</v>
      </c>
      <c r="CA98" s="29"/>
      <c r="CB98" s="29">
        <f>if($F98=$G98,if(and($F98=$G98,W98&lt;&gt;X98),'Thể lệ'!$E$8,if($F98=W98,0,0.5*'Thể lệ'!$E$8)),if(and($F98=W98,$G98=X98),"0",if(($F98-$G98)*(W98-X98)&gt;0,0.5*'Thể lệ'!$E$8,'Thể lệ'!$E$8)))</f>
        <v>0</v>
      </c>
      <c r="CC98" s="29"/>
      <c r="CD98" s="29">
        <f>if($F98=$G98,if(and($F98=$G98,Y98&lt;&gt;Z98),'Thể lệ'!$E$8,if($F98=Y98,0,0.5*'Thể lệ'!$E$8)),if(and($F98=Y98,$G98=Z98),"0",if(($F98-$G98)*(Y98-Z98)&gt;0,0.5*'Thể lệ'!$E$8,'Thể lệ'!$E$8)))</f>
        <v>0</v>
      </c>
      <c r="CE98" s="29"/>
      <c r="CF98" s="29">
        <f>if($F98=$G98,if(and($F98=$G98,AA98&lt;&gt;AB98),'Thể lệ'!$E$8,if($F98=AA98,0,0.5*'Thể lệ'!$E$8)),if(and($F98=AA98,$G98=AB98),"0",if(($F98-$G98)*(AA98-AB98)&gt;0,0.5*'Thể lệ'!$E$8,'Thể lệ'!$E$8)))</f>
        <v>0</v>
      </c>
      <c r="CG98" s="29"/>
      <c r="CH98" s="29">
        <f>if($F98=$G98,if(and($F98=$G98,AC98&lt;&gt;AD98),'Thể lệ'!$E$8,if($F98=AC98,0,0.5*'Thể lệ'!$E$8)),if(and($F98=AC98,$G98=AD98),"0",if(($F98-$G98)*(AC98-AD98)&gt;0,0.5*'Thể lệ'!$E$8,'Thể lệ'!$E$8)))</f>
        <v>0</v>
      </c>
      <c r="CI98" s="29"/>
      <c r="CJ98" s="29">
        <f>if($F98=$G98,if(and($F98=$G98,AE98&lt;&gt;AF98),'Thể lệ'!$E$8,if($F98=AE98,0,0.5*'Thể lệ'!$E$8)),if(and($F98=AE98,$G98=AF98),"0",if(($F98-$G98)*(AE98-AF98)&gt;0,0.5*'Thể lệ'!$E$8,'Thể lệ'!$E$8)))</f>
        <v>0</v>
      </c>
      <c r="CK98" s="29"/>
      <c r="CL98" s="29">
        <f>if($F98=$G98,if(and($F98=$G98,AG98&lt;&gt;AH98),'Thể lệ'!$E$8,if($F98=AG98,0,0.5*'Thể lệ'!$E$8)),if(and($F98=AG98,$G98=AH98),"0",if(($F98-$G98)*(AG98-AH98)&gt;0,0.5*'Thể lệ'!$E$8,'Thể lệ'!$E$8)))</f>
        <v>0</v>
      </c>
      <c r="CM98" s="29"/>
      <c r="CN98" s="29">
        <f>if($F98=$G98,if(and($F98=$G98,AI98&lt;&gt;AJ98),'Thể lệ'!$E$8,if($F98=AI98,0,0.5*'Thể lệ'!$E$8)),if(and($F98=AI98,$G98=AJ98),"0",if(($F98-$G98)*(AI98-AJ98)&gt;0,0.5*'Thể lệ'!$E$8,'Thể lệ'!$E$8)))</f>
        <v>0</v>
      </c>
      <c r="CO98" s="29"/>
      <c r="CP98" s="29">
        <f>if($F98=$G98,if(and($F98=$G98,AK98&lt;&gt;AL98),'Thể lệ'!$E$8,if($F98=AK98,0,0.5*'Thể lệ'!$E$8)),if(and($F98=AK98,$G98=AL98),"0",if(($F98-$G98)*(AK98-AL98)&gt;0,0.5*'Thể lệ'!$E$8,'Thể lệ'!$E$8)))</f>
        <v>0</v>
      </c>
      <c r="CQ98" s="29"/>
      <c r="CR98" s="29">
        <f>if($F98=$G98,if(and($F98=$G98,AM98&lt;&gt;AN98),'Thể lệ'!$E$8,if($F98=AM98,0,0.5*'Thể lệ'!$E$8)),if(and($F98=AM98,$G98=AN98),"0",if(($F98-$G98)*(AM98-AN98)&gt;0,0.5*'Thể lệ'!$E$8,'Thể lệ'!$E$8)))</f>
        <v>0</v>
      </c>
      <c r="CS98" s="29"/>
      <c r="CT98" s="29">
        <f>if($F98=$G98,if(and($F98=$G98,AO98&lt;&gt;AP98),'Thể lệ'!$E$8,if($F98=AO98,0,0.5*'Thể lệ'!$E$8)),if(and($F98=AO98,$G98=AP98),"0",if(($F98-$G98)*(AO98-AP98)&gt;0,0.5*'Thể lệ'!$E$8,'Thể lệ'!$E$8)))</f>
        <v>0</v>
      </c>
      <c r="CU98" s="29"/>
      <c r="CV98" s="29">
        <f>if($F98=$G98,if(and($F98=$G98,AQ98&lt;&gt;AR98),'Thể lệ'!$E$8,if($F98=AQ98,0,0.5*'Thể lệ'!$E$8)),if(and($F98=AQ98,$G98=AR98),"0",if(($F98-$G98)*(AQ98-AR98)&gt;0,0.5*'Thể lệ'!$E$8,'Thể lệ'!$E$8)))</f>
        <v>0</v>
      </c>
      <c r="CW98" s="29"/>
      <c r="CX98" s="29">
        <f>if($F98=$G98,if(and($F98=$G98,AS98&lt;&gt;AT98),'Thể lệ'!$E$8,if($F98=AS98,0,0.5*'Thể lệ'!$E$8)),if(and($F98=AS98,$G98=AT98),"0",if(($F98-$G98)*(AS98-AT98)&gt;0,0.5*'Thể lệ'!$E$8,'Thể lệ'!$E$8)))</f>
        <v>0</v>
      </c>
      <c r="CY98" s="29"/>
      <c r="CZ98" s="29">
        <f>if($F98=$G98,if(and($F98=$G98,AU98&lt;&gt;AV98),'Thể lệ'!$E$8,if($F98=AU98,0,0.5*'Thể lệ'!$E$8)),if(and($F98=AU98,$G98=AV98),"0",if(($F98-$G98)*(AU98-AV98)&gt;0,0.5*'Thể lệ'!$E$8,'Thể lệ'!$E$8)))</f>
        <v>0</v>
      </c>
      <c r="DA98" s="29"/>
      <c r="DB98" s="29">
        <f>if($F98=$G98,if(and($F98=$G98,AW98&lt;&gt;AX98),'Thể lệ'!$E$8,if($F98=AW98,0,0.5*'Thể lệ'!$E$8)),if(and($F98=AW98,$G98=AX98),"0",if(($F98-$G98)*(AW98-AX98)&gt;0,0.5*'Thể lệ'!$E$8,'Thể lệ'!$E$8)))</f>
        <v>0</v>
      </c>
      <c r="DC98" s="69"/>
      <c r="DD98" s="29">
        <f>if($F98=$G98,if(and($F98=$G98,AY98&lt;&gt;AZ98),'Thể lệ'!$E$8,if($F98=AY98,0,0.5*'Thể lệ'!$E$8)),if(and($F98=AY98,$G98=AZ98),"0",if(($F98-$G98)*(AY98-AZ98)&gt;0,0.5*'Thể lệ'!$E$8,'Thể lệ'!$E$8)))</f>
        <v>0</v>
      </c>
      <c r="DE98" s="69"/>
      <c r="DF98" s="29">
        <f>if($F98=$G98,if(and($F98=$G98,BA98&lt;&gt;BB98),'Thể lệ'!$E$8,if($F98=BA98,0,0.5*'Thể lệ'!$E$8)),if(and($F98=BA98,$G98=BB98),"0",if(($F98-$G98)*(BA98-BB98)&gt;0,0.5*'Thể lệ'!$E$8,'Thể lệ'!$E$8)))</f>
        <v>0</v>
      </c>
      <c r="DG98" s="69"/>
      <c r="DH98" s="29">
        <f>if($F98=$G98,if(and($F98=$G98,BC98&lt;&gt;BD98),'Thể lệ'!$E$8,if($F98=BC98,0,0.5*'Thể lệ'!$E$8)),if(and($F98=BC98,$G98=BD98),"0",if(($F98-$G98)*(BC98-BD98)&gt;0,0.5*'Thể lệ'!$E$8,'Thể lệ'!$E$8)))</f>
        <v>0</v>
      </c>
      <c r="DI98" s="69"/>
      <c r="DJ98" s="29">
        <f>if($F98=$G98,if(and($F98=$G98,BE98&lt;&gt;BF98),'Thể lệ'!$E$8,if($F98=BE98,0,0.5*'Thể lệ'!$E$8)),if(and($F98=BE98,$G98=BF98),"0",if(($F98-$G98)*(BE98-BF98)&gt;0,0.5*'Thể lệ'!$E$8,'Thể lệ'!$E$8)))</f>
        <v>0</v>
      </c>
      <c r="DK98" s="69"/>
      <c r="DL98" s="29">
        <f>if($F98=$G98,if(and($F98=$G98,BG98&lt;&gt;BH98),'Thể lệ'!$E$8,if($F98=BG98,0,0.5*'Thể lệ'!$E$8)),if(and($F98=BG98,$G98=BH98),"0",if(($F98-$G98)*(BG98-BH98)&gt;0,0.5*'Thể lệ'!$E$8,'Thể lệ'!$E$8)))</f>
        <v>0</v>
      </c>
      <c r="DM98" s="69"/>
      <c r="DN98" s="72">
        <f>if($F98=$G98,if(and($F98=$G98,BI98&lt;&gt;BJ98),'Thể lệ'!$E$8,if($F98=BI98,0,0.5*'Thể lệ'!$E$8)),if(and($F98=BI98,$G98=BJ98),"0",if(($F98-$G98)*(BI98-BJ98)&gt;0,0.5*'Thể lệ'!$E$8,'Thể lệ'!$E$8)))</f>
        <v>10000</v>
      </c>
      <c r="DO98" s="69"/>
      <c r="DP98" s="69"/>
    </row>
    <row r="99">
      <c r="A99" s="63"/>
      <c r="B99" s="71">
        <v>91.0</v>
      </c>
      <c r="C99" s="64">
        <v>46209.12499999999</v>
      </c>
      <c r="D99" s="65">
        <v>46209.12499999999</v>
      </c>
      <c r="E99" s="55" t="s">
        <v>81</v>
      </c>
      <c r="F99" s="23"/>
      <c r="G99" s="23"/>
      <c r="H99" s="55" t="s">
        <v>81</v>
      </c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67"/>
      <c r="BF99" s="23"/>
      <c r="BG99" s="23"/>
      <c r="BH99" s="23"/>
      <c r="BI99" s="37">
        <f>H.Son!H99</f>
        <v>1</v>
      </c>
      <c r="BJ99" s="37">
        <f>H.Son!I99</f>
        <v>1</v>
      </c>
      <c r="BK99" s="23"/>
      <c r="BL99" s="23"/>
      <c r="BM99" s="68"/>
      <c r="BN99" s="29">
        <f>if($F99=$G99,if(and($F99=$G99,I99&lt;&gt;J99),'Thể lệ'!$E$8,if($F99=I99,0,0.5*'Thể lệ'!$E$8)),if(and($F99=I99,$G99=J99),"0",if(($F99-$G99)*(I99-J99)&gt;0,0.5*'Thể lệ'!$E$8,'Thể lệ'!$E$8)))</f>
        <v>0</v>
      </c>
      <c r="BO99" s="29"/>
      <c r="BP99" s="29">
        <f>if($F99=$G99,if(and($F99=$G99,K99&lt;&gt;L99),'Thể lệ'!$E$8,if($F99=K99,0,0.5*'Thể lệ'!$E$8)),if(and($F99=K99,$G99=L99),"0",if(($F99-$G99)*(K99-L99)&gt;0,0.5*'Thể lệ'!$E$8,'Thể lệ'!$E$8)))</f>
        <v>0</v>
      </c>
      <c r="BQ99" s="29"/>
      <c r="BR99" s="29">
        <f>if($F99=$G99,if(and($F99=$G99,M99&lt;&gt;N99),'Thể lệ'!$E$8,if($F99=M99,0,0.5*'Thể lệ'!$E$8)),if(and($F99=M99,$G99=N99),"0",if(($F99-$G99)*(M99-N99)&gt;0,0.5*'Thể lệ'!$E$8,'Thể lệ'!$E$8)))</f>
        <v>0</v>
      </c>
      <c r="BS99" s="29"/>
      <c r="BT99" s="29">
        <f>if($F99=$G99,if(and($F99=$G99,O99&lt;&gt;P99),'Thể lệ'!$E$8,if($F99=O99,0,0.5*'Thể lệ'!$E$8)),if(and($F99=O99,$G99=P99),"0",if(($F99-$G99)*(O99-P99)&gt;0,0.5*'Thể lệ'!$E$8,'Thể lệ'!$E$8)))</f>
        <v>0</v>
      </c>
      <c r="BU99" s="29"/>
      <c r="BV99" s="29">
        <f>if($F99=$G99,if(and($F99=$G99,Q99&lt;&gt;R99),'Thể lệ'!$E$8,if($F99=Q99,0,0.5*'Thể lệ'!$E$8)),if(and($F99=Q99,$G99=R99),"0",if(($F99-$G99)*(Q99-R99)&gt;0,0.5*'Thể lệ'!$E$8,'Thể lệ'!$E$8)))</f>
        <v>0</v>
      </c>
      <c r="BW99" s="29"/>
      <c r="BX99" s="29">
        <f>if($F99=$G99,if(and($F99=$G99,S99&lt;&gt;T99),'Thể lệ'!$E$8,if($F99=S99,0,0.5*'Thể lệ'!$E$8)),if(and($F99=S99,$G99=T99),"0",if(($F99-$G99)*(S99-T99)&gt;0,0.5*'Thể lệ'!$E$8,'Thể lệ'!$E$8)))</f>
        <v>0</v>
      </c>
      <c r="BY99" s="29"/>
      <c r="BZ99" s="29">
        <f>if($F99=$G99,if(and($F99=$G99,U99&lt;&gt;V99),'Thể lệ'!$E$8,if($F99=U99,0,0.5*'Thể lệ'!$E$8)),if(and($F99=U99,$G99=V99),"0",if(($F99-$G99)*(U99-V99)&gt;0,0.5*'Thể lệ'!$E$8,'Thể lệ'!$E$8)))</f>
        <v>0</v>
      </c>
      <c r="CA99" s="29"/>
      <c r="CB99" s="29">
        <f>if($F99=$G99,if(and($F99=$G99,W99&lt;&gt;X99),'Thể lệ'!$E$8,if($F99=W99,0,0.5*'Thể lệ'!$E$8)),if(and($F99=W99,$G99=X99),"0",if(($F99-$G99)*(W99-X99)&gt;0,0.5*'Thể lệ'!$E$8,'Thể lệ'!$E$8)))</f>
        <v>0</v>
      </c>
      <c r="CC99" s="29"/>
      <c r="CD99" s="29">
        <f>if($F99=$G99,if(and($F99=$G99,Y99&lt;&gt;Z99),'Thể lệ'!$E$8,if($F99=Y99,0,0.5*'Thể lệ'!$E$8)),if(and($F99=Y99,$G99=Z99),"0",if(($F99-$G99)*(Y99-Z99)&gt;0,0.5*'Thể lệ'!$E$8,'Thể lệ'!$E$8)))</f>
        <v>0</v>
      </c>
      <c r="CE99" s="29"/>
      <c r="CF99" s="29">
        <f>if($F99=$G99,if(and($F99=$G99,AA99&lt;&gt;AB99),'Thể lệ'!$E$8,if($F99=AA99,0,0.5*'Thể lệ'!$E$8)),if(and($F99=AA99,$G99=AB99),"0",if(($F99-$G99)*(AA99-AB99)&gt;0,0.5*'Thể lệ'!$E$8,'Thể lệ'!$E$8)))</f>
        <v>0</v>
      </c>
      <c r="CG99" s="29"/>
      <c r="CH99" s="29">
        <f>if($F99=$G99,if(and($F99=$G99,AC99&lt;&gt;AD99),'Thể lệ'!$E$8,if($F99=AC99,0,0.5*'Thể lệ'!$E$8)),if(and($F99=AC99,$G99=AD99),"0",if(($F99-$G99)*(AC99-AD99)&gt;0,0.5*'Thể lệ'!$E$8,'Thể lệ'!$E$8)))</f>
        <v>0</v>
      </c>
      <c r="CI99" s="29"/>
      <c r="CJ99" s="29">
        <f>if($F99=$G99,if(and($F99=$G99,AE99&lt;&gt;AF99),'Thể lệ'!$E$8,if($F99=AE99,0,0.5*'Thể lệ'!$E$8)),if(and($F99=AE99,$G99=AF99),"0",if(($F99-$G99)*(AE99-AF99)&gt;0,0.5*'Thể lệ'!$E$8,'Thể lệ'!$E$8)))</f>
        <v>0</v>
      </c>
      <c r="CK99" s="29"/>
      <c r="CL99" s="29">
        <f>if($F99=$G99,if(and($F99=$G99,AG99&lt;&gt;AH99),'Thể lệ'!$E$8,if($F99=AG99,0,0.5*'Thể lệ'!$E$8)),if(and($F99=AG99,$G99=AH99),"0",if(($F99-$G99)*(AG99-AH99)&gt;0,0.5*'Thể lệ'!$E$8,'Thể lệ'!$E$8)))</f>
        <v>0</v>
      </c>
      <c r="CM99" s="29"/>
      <c r="CN99" s="29">
        <f>if($F99=$G99,if(and($F99=$G99,AI99&lt;&gt;AJ99),'Thể lệ'!$E$8,if($F99=AI99,0,0.5*'Thể lệ'!$E$8)),if(and($F99=AI99,$G99=AJ99),"0",if(($F99-$G99)*(AI99-AJ99)&gt;0,0.5*'Thể lệ'!$E$8,'Thể lệ'!$E$8)))</f>
        <v>0</v>
      </c>
      <c r="CO99" s="29"/>
      <c r="CP99" s="29">
        <f>if($F99=$G99,if(and($F99=$G99,AK99&lt;&gt;AL99),'Thể lệ'!$E$8,if($F99=AK99,0,0.5*'Thể lệ'!$E$8)),if(and($F99=AK99,$G99=AL99),"0",if(($F99-$G99)*(AK99-AL99)&gt;0,0.5*'Thể lệ'!$E$8,'Thể lệ'!$E$8)))</f>
        <v>0</v>
      </c>
      <c r="CQ99" s="29"/>
      <c r="CR99" s="29">
        <f>if($F99=$G99,if(and($F99=$G99,AM99&lt;&gt;AN99),'Thể lệ'!$E$8,if($F99=AM99,0,0.5*'Thể lệ'!$E$8)),if(and($F99=AM99,$G99=AN99),"0",if(($F99-$G99)*(AM99-AN99)&gt;0,0.5*'Thể lệ'!$E$8,'Thể lệ'!$E$8)))</f>
        <v>0</v>
      </c>
      <c r="CS99" s="29"/>
      <c r="CT99" s="29">
        <f>if($F99=$G99,if(and($F99=$G99,AO99&lt;&gt;AP99),'Thể lệ'!$E$8,if($F99=AO99,0,0.5*'Thể lệ'!$E$8)),if(and($F99=AO99,$G99=AP99),"0",if(($F99-$G99)*(AO99-AP99)&gt;0,0.5*'Thể lệ'!$E$8,'Thể lệ'!$E$8)))</f>
        <v>0</v>
      </c>
      <c r="CU99" s="29"/>
      <c r="CV99" s="29">
        <f>if($F99=$G99,if(and($F99=$G99,AQ99&lt;&gt;AR99),'Thể lệ'!$E$8,if($F99=AQ99,0,0.5*'Thể lệ'!$E$8)),if(and($F99=AQ99,$G99=AR99),"0",if(($F99-$G99)*(AQ99-AR99)&gt;0,0.5*'Thể lệ'!$E$8,'Thể lệ'!$E$8)))</f>
        <v>0</v>
      </c>
      <c r="CW99" s="29"/>
      <c r="CX99" s="29">
        <f>if($F99=$G99,if(and($F99=$G99,AS99&lt;&gt;AT99),'Thể lệ'!$E$8,if($F99=AS99,0,0.5*'Thể lệ'!$E$8)),if(and($F99=AS99,$G99=AT99),"0",if(($F99-$G99)*(AS99-AT99)&gt;0,0.5*'Thể lệ'!$E$8,'Thể lệ'!$E$8)))</f>
        <v>0</v>
      </c>
      <c r="CY99" s="29"/>
      <c r="CZ99" s="29">
        <f>if($F99=$G99,if(and($F99=$G99,AU99&lt;&gt;AV99),'Thể lệ'!$E$8,if($F99=AU99,0,0.5*'Thể lệ'!$E$8)),if(and($F99=AU99,$G99=AV99),"0",if(($F99-$G99)*(AU99-AV99)&gt;0,0.5*'Thể lệ'!$E$8,'Thể lệ'!$E$8)))</f>
        <v>0</v>
      </c>
      <c r="DA99" s="29"/>
      <c r="DB99" s="29">
        <f>if($F99=$G99,if(and($F99=$G99,AW99&lt;&gt;AX99),'Thể lệ'!$E$8,if($F99=AW99,0,0.5*'Thể lệ'!$E$8)),if(and($F99=AW99,$G99=AX99),"0",if(($F99-$G99)*(AW99-AX99)&gt;0,0.5*'Thể lệ'!$E$8,'Thể lệ'!$E$8)))</f>
        <v>0</v>
      </c>
      <c r="DC99" s="69"/>
      <c r="DD99" s="29">
        <f>if($F99=$G99,if(and($F99=$G99,AY99&lt;&gt;AZ99),'Thể lệ'!$E$8,if($F99=AY99,0,0.5*'Thể lệ'!$E$8)),if(and($F99=AY99,$G99=AZ99),"0",if(($F99-$G99)*(AY99-AZ99)&gt;0,0.5*'Thể lệ'!$E$8,'Thể lệ'!$E$8)))</f>
        <v>0</v>
      </c>
      <c r="DE99" s="69"/>
      <c r="DF99" s="29">
        <f>if($F99=$G99,if(and($F99=$G99,BA99&lt;&gt;BB99),'Thể lệ'!$E$8,if($F99=BA99,0,0.5*'Thể lệ'!$E$8)),if(and($F99=BA99,$G99=BB99),"0",if(($F99-$G99)*(BA99-BB99)&gt;0,0.5*'Thể lệ'!$E$8,'Thể lệ'!$E$8)))</f>
        <v>0</v>
      </c>
      <c r="DG99" s="69"/>
      <c r="DH99" s="29">
        <f>if($F99=$G99,if(and($F99=$G99,BC99&lt;&gt;BD99),'Thể lệ'!$E$8,if($F99=BC99,0,0.5*'Thể lệ'!$E$8)),if(and($F99=BC99,$G99=BD99),"0",if(($F99-$G99)*(BC99-BD99)&gt;0,0.5*'Thể lệ'!$E$8,'Thể lệ'!$E$8)))</f>
        <v>0</v>
      </c>
      <c r="DI99" s="69"/>
      <c r="DJ99" s="29">
        <f>if($F99=$G99,if(and($F99=$G99,BE99&lt;&gt;BF99),'Thể lệ'!$E$8,if($F99=BE99,0,0.5*'Thể lệ'!$E$8)),if(and($F99=BE99,$G99=BF99),"0",if(($F99-$G99)*(BE99-BF99)&gt;0,0.5*'Thể lệ'!$E$8,'Thể lệ'!$E$8)))</f>
        <v>0</v>
      </c>
      <c r="DK99" s="69"/>
      <c r="DL99" s="29">
        <f>if($F99=$G99,if(and($F99=$G99,BG99&lt;&gt;BH99),'Thể lệ'!$E$8,if($F99=BG99,0,0.5*'Thể lệ'!$E$8)),if(and($F99=BG99,$G99=BH99),"0",if(($F99-$G99)*(BG99-BH99)&gt;0,0.5*'Thể lệ'!$E$8,'Thể lệ'!$E$8)))</f>
        <v>0</v>
      </c>
      <c r="DM99" s="69"/>
      <c r="DN99" s="72">
        <f>if($F99=$G99,if(and($F99=$G99,BI99&lt;&gt;BJ99),'Thể lệ'!$E$8,if($F99=BI99,0,0.5*'Thể lệ'!$E$8)),if(and($F99=BI99,$G99=BJ99),"0",if(($F99-$G99)*(BI99-BJ99)&gt;0,0.5*'Thể lệ'!$E$8,'Thể lệ'!$E$8)))</f>
        <v>10000</v>
      </c>
      <c r="DO99" s="69"/>
      <c r="DP99" s="69"/>
    </row>
    <row r="100">
      <c r="A100" s="63"/>
      <c r="B100" s="71">
        <v>92.0</v>
      </c>
      <c r="C100" s="64">
        <v>46209.291666666664</v>
      </c>
      <c r="D100" s="65">
        <v>46209.291666666664</v>
      </c>
      <c r="E100" s="55" t="s">
        <v>81</v>
      </c>
      <c r="F100" s="23"/>
      <c r="G100" s="23"/>
      <c r="H100" s="55" t="s">
        <v>81</v>
      </c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67"/>
      <c r="BF100" s="23"/>
      <c r="BG100" s="23"/>
      <c r="BH100" s="23"/>
      <c r="BI100" s="37">
        <f>H.Son!H100</f>
        <v>1</v>
      </c>
      <c r="BJ100" s="37">
        <f>H.Son!I100</f>
        <v>1</v>
      </c>
      <c r="BK100" s="23"/>
      <c r="BL100" s="23"/>
      <c r="BM100" s="68"/>
      <c r="BN100" s="29">
        <f>if($F100=$G100,if(and($F100=$G100,I100&lt;&gt;J100),'Thể lệ'!$E$8,if($F100=I100,0,0.5*'Thể lệ'!$E$8)),if(and($F100=I100,$G100=J100),"0",if(($F100-$G100)*(I100-J100)&gt;0,0.5*'Thể lệ'!$E$8,'Thể lệ'!$E$8)))</f>
        <v>0</v>
      </c>
      <c r="BO100" s="29"/>
      <c r="BP100" s="29">
        <f>if($F100=$G100,if(and($F100=$G100,K100&lt;&gt;L100),'Thể lệ'!$E$8,if($F100=K100,0,0.5*'Thể lệ'!$E$8)),if(and($F100=K100,$G100=L100),"0",if(($F100-$G100)*(K100-L100)&gt;0,0.5*'Thể lệ'!$E$8,'Thể lệ'!$E$8)))</f>
        <v>0</v>
      </c>
      <c r="BQ100" s="29"/>
      <c r="BR100" s="29">
        <f>if($F100=$G100,if(and($F100=$G100,M100&lt;&gt;N100),'Thể lệ'!$E$8,if($F100=M100,0,0.5*'Thể lệ'!$E$8)),if(and($F100=M100,$G100=N100),"0",if(($F100-$G100)*(M100-N100)&gt;0,0.5*'Thể lệ'!$E$8,'Thể lệ'!$E$8)))</f>
        <v>0</v>
      </c>
      <c r="BS100" s="29"/>
      <c r="BT100" s="29">
        <f>if($F100=$G100,if(and($F100=$G100,O100&lt;&gt;P100),'Thể lệ'!$E$8,if($F100=O100,0,0.5*'Thể lệ'!$E$8)),if(and($F100=O100,$G100=P100),"0",if(($F100-$G100)*(O100-P100)&gt;0,0.5*'Thể lệ'!$E$8,'Thể lệ'!$E$8)))</f>
        <v>0</v>
      </c>
      <c r="BU100" s="29"/>
      <c r="BV100" s="29">
        <f>if($F100=$G100,if(and($F100=$G100,Q100&lt;&gt;R100),'Thể lệ'!$E$8,if($F100=Q100,0,0.5*'Thể lệ'!$E$8)),if(and($F100=Q100,$G100=R100),"0",if(($F100-$G100)*(Q100-R100)&gt;0,0.5*'Thể lệ'!$E$8,'Thể lệ'!$E$8)))</f>
        <v>0</v>
      </c>
      <c r="BW100" s="29"/>
      <c r="BX100" s="29">
        <f>if($F100=$G100,if(and($F100=$G100,S100&lt;&gt;T100),'Thể lệ'!$E$8,if($F100=S100,0,0.5*'Thể lệ'!$E$8)),if(and($F100=S100,$G100=T100),"0",if(($F100-$G100)*(S100-T100)&gt;0,0.5*'Thể lệ'!$E$8,'Thể lệ'!$E$8)))</f>
        <v>0</v>
      </c>
      <c r="BY100" s="29"/>
      <c r="BZ100" s="29">
        <f>if($F100=$G100,if(and($F100=$G100,U100&lt;&gt;V100),'Thể lệ'!$E$8,if($F100=U100,0,0.5*'Thể lệ'!$E$8)),if(and($F100=U100,$G100=V100),"0",if(($F100-$G100)*(U100-V100)&gt;0,0.5*'Thể lệ'!$E$8,'Thể lệ'!$E$8)))</f>
        <v>0</v>
      </c>
      <c r="CA100" s="29"/>
      <c r="CB100" s="29">
        <f>if($F100=$G100,if(and($F100=$G100,W100&lt;&gt;X100),'Thể lệ'!$E$8,if($F100=W100,0,0.5*'Thể lệ'!$E$8)),if(and($F100=W100,$G100=X100),"0",if(($F100-$G100)*(W100-X100)&gt;0,0.5*'Thể lệ'!$E$8,'Thể lệ'!$E$8)))</f>
        <v>0</v>
      </c>
      <c r="CC100" s="29"/>
      <c r="CD100" s="29">
        <f>if($F100=$G100,if(and($F100=$G100,Y100&lt;&gt;Z100),'Thể lệ'!$E$8,if($F100=Y100,0,0.5*'Thể lệ'!$E$8)),if(and($F100=Y100,$G100=Z100),"0",if(($F100-$G100)*(Y100-Z100)&gt;0,0.5*'Thể lệ'!$E$8,'Thể lệ'!$E$8)))</f>
        <v>0</v>
      </c>
      <c r="CE100" s="29"/>
      <c r="CF100" s="29">
        <f>if($F100=$G100,if(and($F100=$G100,AA100&lt;&gt;AB100),'Thể lệ'!$E$8,if($F100=AA100,0,0.5*'Thể lệ'!$E$8)),if(and($F100=AA100,$G100=AB100),"0",if(($F100-$G100)*(AA100-AB100)&gt;0,0.5*'Thể lệ'!$E$8,'Thể lệ'!$E$8)))</f>
        <v>0</v>
      </c>
      <c r="CG100" s="29"/>
      <c r="CH100" s="29">
        <f>if($F100=$G100,if(and($F100=$G100,AC100&lt;&gt;AD100),'Thể lệ'!$E$8,if($F100=AC100,0,0.5*'Thể lệ'!$E$8)),if(and($F100=AC100,$G100=AD100),"0",if(($F100-$G100)*(AC100-AD100)&gt;0,0.5*'Thể lệ'!$E$8,'Thể lệ'!$E$8)))</f>
        <v>0</v>
      </c>
      <c r="CI100" s="29"/>
      <c r="CJ100" s="29">
        <f>if($F100=$G100,if(and($F100=$G100,AE100&lt;&gt;AF100),'Thể lệ'!$E$8,if($F100=AE100,0,0.5*'Thể lệ'!$E$8)),if(and($F100=AE100,$G100=AF100),"0",if(($F100-$G100)*(AE100-AF100)&gt;0,0.5*'Thể lệ'!$E$8,'Thể lệ'!$E$8)))</f>
        <v>0</v>
      </c>
      <c r="CK100" s="29"/>
      <c r="CL100" s="29">
        <f>if($F100=$G100,if(and($F100=$G100,AG100&lt;&gt;AH100),'Thể lệ'!$E$8,if($F100=AG100,0,0.5*'Thể lệ'!$E$8)),if(and($F100=AG100,$G100=AH100),"0",if(($F100-$G100)*(AG100-AH100)&gt;0,0.5*'Thể lệ'!$E$8,'Thể lệ'!$E$8)))</f>
        <v>0</v>
      </c>
      <c r="CM100" s="29"/>
      <c r="CN100" s="29">
        <f>if($F100=$G100,if(and($F100=$G100,AI100&lt;&gt;AJ100),'Thể lệ'!$E$8,if($F100=AI100,0,0.5*'Thể lệ'!$E$8)),if(and($F100=AI100,$G100=AJ100),"0",if(($F100-$G100)*(AI100-AJ100)&gt;0,0.5*'Thể lệ'!$E$8,'Thể lệ'!$E$8)))</f>
        <v>0</v>
      </c>
      <c r="CO100" s="29"/>
      <c r="CP100" s="29">
        <f>if($F100=$G100,if(and($F100=$G100,AK100&lt;&gt;AL100),'Thể lệ'!$E$8,if($F100=AK100,0,0.5*'Thể lệ'!$E$8)),if(and($F100=AK100,$G100=AL100),"0",if(($F100-$G100)*(AK100-AL100)&gt;0,0.5*'Thể lệ'!$E$8,'Thể lệ'!$E$8)))</f>
        <v>0</v>
      </c>
      <c r="CQ100" s="29"/>
      <c r="CR100" s="29">
        <f>if($F100=$G100,if(and($F100=$G100,AM100&lt;&gt;AN100),'Thể lệ'!$E$8,if($F100=AM100,0,0.5*'Thể lệ'!$E$8)),if(and($F100=AM100,$G100=AN100),"0",if(($F100-$G100)*(AM100-AN100)&gt;0,0.5*'Thể lệ'!$E$8,'Thể lệ'!$E$8)))</f>
        <v>0</v>
      </c>
      <c r="CS100" s="29"/>
      <c r="CT100" s="29">
        <f>if($F100=$G100,if(and($F100=$G100,AO100&lt;&gt;AP100),'Thể lệ'!$E$8,if($F100=AO100,0,0.5*'Thể lệ'!$E$8)),if(and($F100=AO100,$G100=AP100),"0",if(($F100-$G100)*(AO100-AP100)&gt;0,0.5*'Thể lệ'!$E$8,'Thể lệ'!$E$8)))</f>
        <v>0</v>
      </c>
      <c r="CU100" s="29"/>
      <c r="CV100" s="29">
        <f>if($F100=$G100,if(and($F100=$G100,AQ100&lt;&gt;AR100),'Thể lệ'!$E$8,if($F100=AQ100,0,0.5*'Thể lệ'!$E$8)),if(and($F100=AQ100,$G100=AR100),"0",if(($F100-$G100)*(AQ100-AR100)&gt;0,0.5*'Thể lệ'!$E$8,'Thể lệ'!$E$8)))</f>
        <v>0</v>
      </c>
      <c r="CW100" s="29"/>
      <c r="CX100" s="29">
        <f>if($F100=$G100,if(and($F100=$G100,AS100&lt;&gt;AT100),'Thể lệ'!$E$8,if($F100=AS100,0,0.5*'Thể lệ'!$E$8)),if(and($F100=AS100,$G100=AT100),"0",if(($F100-$G100)*(AS100-AT100)&gt;0,0.5*'Thể lệ'!$E$8,'Thể lệ'!$E$8)))</f>
        <v>0</v>
      </c>
      <c r="CY100" s="29"/>
      <c r="CZ100" s="29">
        <f>if($F100=$G100,if(and($F100=$G100,AU100&lt;&gt;AV100),'Thể lệ'!$E$8,if($F100=AU100,0,0.5*'Thể lệ'!$E$8)),if(and($F100=AU100,$G100=AV100),"0",if(($F100-$G100)*(AU100-AV100)&gt;0,0.5*'Thể lệ'!$E$8,'Thể lệ'!$E$8)))</f>
        <v>0</v>
      </c>
      <c r="DA100" s="29"/>
      <c r="DB100" s="29">
        <f>if($F100=$G100,if(and($F100=$G100,AW100&lt;&gt;AX100),'Thể lệ'!$E$8,if($F100=AW100,0,0.5*'Thể lệ'!$E$8)),if(and($F100=AW100,$G100=AX100),"0",if(($F100-$G100)*(AW100-AX100)&gt;0,0.5*'Thể lệ'!$E$8,'Thể lệ'!$E$8)))</f>
        <v>0</v>
      </c>
      <c r="DC100" s="69"/>
      <c r="DD100" s="29">
        <f>if($F100=$G100,if(and($F100=$G100,AY100&lt;&gt;AZ100),'Thể lệ'!$E$8,if($F100=AY100,0,0.5*'Thể lệ'!$E$8)),if(and($F100=AY100,$G100=AZ100),"0",if(($F100-$G100)*(AY100-AZ100)&gt;0,0.5*'Thể lệ'!$E$8,'Thể lệ'!$E$8)))</f>
        <v>0</v>
      </c>
      <c r="DE100" s="69"/>
      <c r="DF100" s="29">
        <f>if($F100=$G100,if(and($F100=$G100,BA100&lt;&gt;BB100),'Thể lệ'!$E$8,if($F100=BA100,0,0.5*'Thể lệ'!$E$8)),if(and($F100=BA100,$G100=BB100),"0",if(($F100-$G100)*(BA100-BB100)&gt;0,0.5*'Thể lệ'!$E$8,'Thể lệ'!$E$8)))</f>
        <v>0</v>
      </c>
      <c r="DG100" s="69"/>
      <c r="DH100" s="29">
        <f>if($F100=$G100,if(and($F100=$G100,BC100&lt;&gt;BD100),'Thể lệ'!$E$8,if($F100=BC100,0,0.5*'Thể lệ'!$E$8)),if(and($F100=BC100,$G100=BD100),"0",if(($F100-$G100)*(BC100-BD100)&gt;0,0.5*'Thể lệ'!$E$8,'Thể lệ'!$E$8)))</f>
        <v>0</v>
      </c>
      <c r="DI100" s="69"/>
      <c r="DJ100" s="29">
        <f>if($F100=$G100,if(and($F100=$G100,BE100&lt;&gt;BF100),'Thể lệ'!$E$8,if($F100=BE100,0,0.5*'Thể lệ'!$E$8)),if(and($F100=BE100,$G100=BF100),"0",if(($F100-$G100)*(BE100-BF100)&gt;0,0.5*'Thể lệ'!$E$8,'Thể lệ'!$E$8)))</f>
        <v>0</v>
      </c>
      <c r="DK100" s="69"/>
      <c r="DL100" s="29">
        <f>if($F100=$G100,if(and($F100=$G100,BG100&lt;&gt;BH100),'Thể lệ'!$E$8,if($F100=BG100,0,0.5*'Thể lệ'!$E$8)),if(and($F100=BG100,$G100=BH100),"0",if(($F100-$G100)*(BG100-BH100)&gt;0,0.5*'Thể lệ'!$E$8,'Thể lệ'!$E$8)))</f>
        <v>0</v>
      </c>
      <c r="DM100" s="69"/>
      <c r="DN100" s="72">
        <f>if($F100=$G100,if(and($F100=$G100,BI100&lt;&gt;BJ100),'Thể lệ'!$E$8,if($F100=BI100,0,0.5*'Thể lệ'!$E$8)),if(and($F100=BI100,$G100=BJ100),"0",if(($F100-$G100)*(BI100-BJ100)&gt;0,0.5*'Thể lệ'!$E$8,'Thể lệ'!$E$8)))</f>
        <v>10000</v>
      </c>
      <c r="DO100" s="69"/>
      <c r="DP100" s="69"/>
    </row>
    <row r="101">
      <c r="A101" s="63"/>
      <c r="B101" s="71">
        <v>93.0</v>
      </c>
      <c r="C101" s="64">
        <v>46210.08333333333</v>
      </c>
      <c r="D101" s="65">
        <v>46210.08333333333</v>
      </c>
      <c r="E101" s="55" t="s">
        <v>81</v>
      </c>
      <c r="F101" s="23"/>
      <c r="G101" s="23"/>
      <c r="H101" s="55" t="s">
        <v>81</v>
      </c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67"/>
      <c r="BF101" s="23"/>
      <c r="BG101" s="23"/>
      <c r="BH101" s="23"/>
      <c r="BI101" s="37">
        <f>H.Son!H101</f>
        <v>1</v>
      </c>
      <c r="BJ101" s="37">
        <f>H.Son!I101</f>
        <v>1</v>
      </c>
      <c r="BK101" s="23"/>
      <c r="BL101" s="23"/>
      <c r="BM101" s="68"/>
      <c r="BN101" s="29">
        <f>if($F101=$G101,if(and($F101=$G101,I101&lt;&gt;J101),'Thể lệ'!$E$8,if($F101=I101,0,0.5*'Thể lệ'!$E$8)),if(and($F101=I101,$G101=J101),"0",if(($F101-$G101)*(I101-J101)&gt;0,0.5*'Thể lệ'!$E$8,'Thể lệ'!$E$8)))</f>
        <v>0</v>
      </c>
      <c r="BO101" s="29"/>
      <c r="BP101" s="29">
        <f>if($F101=$G101,if(and($F101=$G101,K101&lt;&gt;L101),'Thể lệ'!$E$8,if($F101=K101,0,0.5*'Thể lệ'!$E$8)),if(and($F101=K101,$G101=L101),"0",if(($F101-$G101)*(K101-L101)&gt;0,0.5*'Thể lệ'!$E$8,'Thể lệ'!$E$8)))</f>
        <v>0</v>
      </c>
      <c r="BQ101" s="29"/>
      <c r="BR101" s="29">
        <f>if($F101=$G101,if(and($F101=$G101,M101&lt;&gt;N101),'Thể lệ'!$E$8,if($F101=M101,0,0.5*'Thể lệ'!$E$8)),if(and($F101=M101,$G101=N101),"0",if(($F101-$G101)*(M101-N101)&gt;0,0.5*'Thể lệ'!$E$8,'Thể lệ'!$E$8)))</f>
        <v>0</v>
      </c>
      <c r="BS101" s="29"/>
      <c r="BT101" s="29">
        <f>if($F101=$G101,if(and($F101=$G101,O101&lt;&gt;P101),'Thể lệ'!$E$8,if($F101=O101,0,0.5*'Thể lệ'!$E$8)),if(and($F101=O101,$G101=P101),"0",if(($F101-$G101)*(O101-P101)&gt;0,0.5*'Thể lệ'!$E$8,'Thể lệ'!$E$8)))</f>
        <v>0</v>
      </c>
      <c r="BU101" s="29"/>
      <c r="BV101" s="29">
        <f>if($F101=$G101,if(and($F101=$G101,Q101&lt;&gt;R101),'Thể lệ'!$E$8,if($F101=Q101,0,0.5*'Thể lệ'!$E$8)),if(and($F101=Q101,$G101=R101),"0",if(($F101-$G101)*(Q101-R101)&gt;0,0.5*'Thể lệ'!$E$8,'Thể lệ'!$E$8)))</f>
        <v>0</v>
      </c>
      <c r="BW101" s="29"/>
      <c r="BX101" s="29">
        <f>if($F101=$G101,if(and($F101=$G101,S101&lt;&gt;T101),'Thể lệ'!$E$8,if($F101=S101,0,0.5*'Thể lệ'!$E$8)),if(and($F101=S101,$G101=T101),"0",if(($F101-$G101)*(S101-T101)&gt;0,0.5*'Thể lệ'!$E$8,'Thể lệ'!$E$8)))</f>
        <v>0</v>
      </c>
      <c r="BY101" s="29"/>
      <c r="BZ101" s="29">
        <f>if($F101=$G101,if(and($F101=$G101,U101&lt;&gt;V101),'Thể lệ'!$E$8,if($F101=U101,0,0.5*'Thể lệ'!$E$8)),if(and($F101=U101,$G101=V101),"0",if(($F101-$G101)*(U101-V101)&gt;0,0.5*'Thể lệ'!$E$8,'Thể lệ'!$E$8)))</f>
        <v>0</v>
      </c>
      <c r="CA101" s="29"/>
      <c r="CB101" s="29">
        <f>if($F101=$G101,if(and($F101=$G101,W101&lt;&gt;X101),'Thể lệ'!$E$8,if($F101=W101,0,0.5*'Thể lệ'!$E$8)),if(and($F101=W101,$G101=X101),"0",if(($F101-$G101)*(W101-X101)&gt;0,0.5*'Thể lệ'!$E$8,'Thể lệ'!$E$8)))</f>
        <v>0</v>
      </c>
      <c r="CC101" s="29"/>
      <c r="CD101" s="29">
        <f>if($F101=$G101,if(and($F101=$G101,Y101&lt;&gt;Z101),'Thể lệ'!$E$8,if($F101=Y101,0,0.5*'Thể lệ'!$E$8)),if(and($F101=Y101,$G101=Z101),"0",if(($F101-$G101)*(Y101-Z101)&gt;0,0.5*'Thể lệ'!$E$8,'Thể lệ'!$E$8)))</f>
        <v>0</v>
      </c>
      <c r="CE101" s="29"/>
      <c r="CF101" s="29">
        <f>if($F101=$G101,if(and($F101=$G101,AA101&lt;&gt;AB101),'Thể lệ'!$E$8,if($F101=AA101,0,0.5*'Thể lệ'!$E$8)),if(and($F101=AA101,$G101=AB101),"0",if(($F101-$G101)*(AA101-AB101)&gt;0,0.5*'Thể lệ'!$E$8,'Thể lệ'!$E$8)))</f>
        <v>0</v>
      </c>
      <c r="CG101" s="29"/>
      <c r="CH101" s="29">
        <f>if($F101=$G101,if(and($F101=$G101,AC101&lt;&gt;AD101),'Thể lệ'!$E$8,if($F101=AC101,0,0.5*'Thể lệ'!$E$8)),if(and($F101=AC101,$G101=AD101),"0",if(($F101-$G101)*(AC101-AD101)&gt;0,0.5*'Thể lệ'!$E$8,'Thể lệ'!$E$8)))</f>
        <v>0</v>
      </c>
      <c r="CI101" s="29"/>
      <c r="CJ101" s="29">
        <f>if($F101=$G101,if(and($F101=$G101,AE101&lt;&gt;AF101),'Thể lệ'!$E$8,if($F101=AE101,0,0.5*'Thể lệ'!$E$8)),if(and($F101=AE101,$G101=AF101),"0",if(($F101-$G101)*(AE101-AF101)&gt;0,0.5*'Thể lệ'!$E$8,'Thể lệ'!$E$8)))</f>
        <v>0</v>
      </c>
      <c r="CK101" s="29"/>
      <c r="CL101" s="29">
        <f>if($F101=$G101,if(and($F101=$G101,AG101&lt;&gt;AH101),'Thể lệ'!$E$8,if($F101=AG101,0,0.5*'Thể lệ'!$E$8)),if(and($F101=AG101,$G101=AH101),"0",if(($F101-$G101)*(AG101-AH101)&gt;0,0.5*'Thể lệ'!$E$8,'Thể lệ'!$E$8)))</f>
        <v>0</v>
      </c>
      <c r="CM101" s="29"/>
      <c r="CN101" s="29">
        <f>if($F101=$G101,if(and($F101=$G101,AI101&lt;&gt;AJ101),'Thể lệ'!$E$8,if($F101=AI101,0,0.5*'Thể lệ'!$E$8)),if(and($F101=AI101,$G101=AJ101),"0",if(($F101-$G101)*(AI101-AJ101)&gt;0,0.5*'Thể lệ'!$E$8,'Thể lệ'!$E$8)))</f>
        <v>0</v>
      </c>
      <c r="CO101" s="29"/>
      <c r="CP101" s="29">
        <f>if($F101=$G101,if(and($F101=$G101,AK101&lt;&gt;AL101),'Thể lệ'!$E$8,if($F101=AK101,0,0.5*'Thể lệ'!$E$8)),if(and($F101=AK101,$G101=AL101),"0",if(($F101-$G101)*(AK101-AL101)&gt;0,0.5*'Thể lệ'!$E$8,'Thể lệ'!$E$8)))</f>
        <v>0</v>
      </c>
      <c r="CQ101" s="29"/>
      <c r="CR101" s="29">
        <f>if($F101=$G101,if(and($F101=$G101,AM101&lt;&gt;AN101),'Thể lệ'!$E$8,if($F101=AM101,0,0.5*'Thể lệ'!$E$8)),if(and($F101=AM101,$G101=AN101),"0",if(($F101-$G101)*(AM101-AN101)&gt;0,0.5*'Thể lệ'!$E$8,'Thể lệ'!$E$8)))</f>
        <v>0</v>
      </c>
      <c r="CS101" s="29"/>
      <c r="CT101" s="29">
        <f>if($F101=$G101,if(and($F101=$G101,AO101&lt;&gt;AP101),'Thể lệ'!$E$8,if($F101=AO101,0,0.5*'Thể lệ'!$E$8)),if(and($F101=AO101,$G101=AP101),"0",if(($F101-$G101)*(AO101-AP101)&gt;0,0.5*'Thể lệ'!$E$8,'Thể lệ'!$E$8)))</f>
        <v>0</v>
      </c>
      <c r="CU101" s="29"/>
      <c r="CV101" s="29">
        <f>if($F101=$G101,if(and($F101=$G101,AQ101&lt;&gt;AR101),'Thể lệ'!$E$8,if($F101=AQ101,0,0.5*'Thể lệ'!$E$8)),if(and($F101=AQ101,$G101=AR101),"0",if(($F101-$G101)*(AQ101-AR101)&gt;0,0.5*'Thể lệ'!$E$8,'Thể lệ'!$E$8)))</f>
        <v>0</v>
      </c>
      <c r="CW101" s="29"/>
      <c r="CX101" s="29">
        <f>if($F101=$G101,if(and($F101=$G101,AS101&lt;&gt;AT101),'Thể lệ'!$E$8,if($F101=AS101,0,0.5*'Thể lệ'!$E$8)),if(and($F101=AS101,$G101=AT101),"0",if(($F101-$G101)*(AS101-AT101)&gt;0,0.5*'Thể lệ'!$E$8,'Thể lệ'!$E$8)))</f>
        <v>0</v>
      </c>
      <c r="CY101" s="29"/>
      <c r="CZ101" s="29">
        <f>if($F101=$G101,if(and($F101=$G101,AU101&lt;&gt;AV101),'Thể lệ'!$E$8,if($F101=AU101,0,0.5*'Thể lệ'!$E$8)),if(and($F101=AU101,$G101=AV101),"0",if(($F101-$G101)*(AU101-AV101)&gt;0,0.5*'Thể lệ'!$E$8,'Thể lệ'!$E$8)))</f>
        <v>0</v>
      </c>
      <c r="DA101" s="29"/>
      <c r="DB101" s="29">
        <f>if($F101=$G101,if(and($F101=$G101,AW101&lt;&gt;AX101),'Thể lệ'!$E$8,if($F101=AW101,0,0.5*'Thể lệ'!$E$8)),if(and($F101=AW101,$G101=AX101),"0",if(($F101-$G101)*(AW101-AX101)&gt;0,0.5*'Thể lệ'!$E$8,'Thể lệ'!$E$8)))</f>
        <v>0</v>
      </c>
      <c r="DC101" s="69"/>
      <c r="DD101" s="29">
        <f>if($F101=$G101,if(and($F101=$G101,AY101&lt;&gt;AZ101),'Thể lệ'!$E$8,if($F101=AY101,0,0.5*'Thể lệ'!$E$8)),if(and($F101=AY101,$G101=AZ101),"0",if(($F101-$G101)*(AY101-AZ101)&gt;0,0.5*'Thể lệ'!$E$8,'Thể lệ'!$E$8)))</f>
        <v>0</v>
      </c>
      <c r="DE101" s="69"/>
      <c r="DF101" s="29">
        <f>if($F101=$G101,if(and($F101=$G101,BA101&lt;&gt;BB101),'Thể lệ'!$E$8,if($F101=BA101,0,0.5*'Thể lệ'!$E$8)),if(and($F101=BA101,$G101=BB101),"0",if(($F101-$G101)*(BA101-BB101)&gt;0,0.5*'Thể lệ'!$E$8,'Thể lệ'!$E$8)))</f>
        <v>0</v>
      </c>
      <c r="DG101" s="69"/>
      <c r="DH101" s="29">
        <f>if($F101=$G101,if(and($F101=$G101,BC101&lt;&gt;BD101),'Thể lệ'!$E$8,if($F101=BC101,0,0.5*'Thể lệ'!$E$8)),if(and($F101=BC101,$G101=BD101),"0",if(($F101-$G101)*(BC101-BD101)&gt;0,0.5*'Thể lệ'!$E$8,'Thể lệ'!$E$8)))</f>
        <v>0</v>
      </c>
      <c r="DI101" s="69"/>
      <c r="DJ101" s="29">
        <f>if($F101=$G101,if(and($F101=$G101,BE101&lt;&gt;BF101),'Thể lệ'!$E$8,if($F101=BE101,0,0.5*'Thể lệ'!$E$8)),if(and($F101=BE101,$G101=BF101),"0",if(($F101-$G101)*(BE101-BF101)&gt;0,0.5*'Thể lệ'!$E$8,'Thể lệ'!$E$8)))</f>
        <v>0</v>
      </c>
      <c r="DK101" s="69"/>
      <c r="DL101" s="29">
        <f>if($F101=$G101,if(and($F101=$G101,BG101&lt;&gt;BH101),'Thể lệ'!$E$8,if($F101=BG101,0,0.5*'Thể lệ'!$E$8)),if(and($F101=BG101,$G101=BH101),"0",if(($F101-$G101)*(BG101-BH101)&gt;0,0.5*'Thể lệ'!$E$8,'Thể lệ'!$E$8)))</f>
        <v>0</v>
      </c>
      <c r="DM101" s="69"/>
      <c r="DN101" s="72">
        <f>if($F101=$G101,if(and($F101=$G101,BI101&lt;&gt;BJ101),'Thể lệ'!$E$8,if($F101=BI101,0,0.5*'Thể lệ'!$E$8)),if(and($F101=BI101,$G101=BJ101),"0",if(($F101-$G101)*(BI101-BJ101)&gt;0,0.5*'Thể lệ'!$E$8,'Thể lệ'!$E$8)))</f>
        <v>10000</v>
      </c>
      <c r="DO101" s="69"/>
      <c r="DP101" s="69"/>
    </row>
    <row r="102">
      <c r="A102" s="63"/>
      <c r="B102" s="71">
        <v>94.0</v>
      </c>
      <c r="C102" s="64">
        <v>46210.291666666664</v>
      </c>
      <c r="D102" s="65">
        <v>46210.291666666664</v>
      </c>
      <c r="E102" s="55" t="s">
        <v>81</v>
      </c>
      <c r="F102" s="23"/>
      <c r="G102" s="23"/>
      <c r="H102" s="55" t="s">
        <v>81</v>
      </c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67"/>
      <c r="BF102" s="23"/>
      <c r="BG102" s="23"/>
      <c r="BH102" s="23"/>
      <c r="BI102" s="37">
        <f>H.Son!H102</f>
        <v>1</v>
      </c>
      <c r="BJ102" s="37">
        <f>H.Son!I102</f>
        <v>1</v>
      </c>
      <c r="BK102" s="23"/>
      <c r="BL102" s="23"/>
      <c r="BM102" s="68"/>
      <c r="BN102" s="29">
        <f>if($F102=$G102,if(and($F102=$G102,I102&lt;&gt;J102),'Thể lệ'!$E$8,if($F102=I102,0,0.5*'Thể lệ'!$E$8)),if(and($F102=I102,$G102=J102),"0",if(($F102-$G102)*(I102-J102)&gt;0,0.5*'Thể lệ'!$E$8,'Thể lệ'!$E$8)))</f>
        <v>0</v>
      </c>
      <c r="BO102" s="29"/>
      <c r="BP102" s="29">
        <f>if($F102=$G102,if(and($F102=$G102,K102&lt;&gt;L102),'Thể lệ'!$E$8,if($F102=K102,0,0.5*'Thể lệ'!$E$8)),if(and($F102=K102,$G102=L102),"0",if(($F102-$G102)*(K102-L102)&gt;0,0.5*'Thể lệ'!$E$8,'Thể lệ'!$E$8)))</f>
        <v>0</v>
      </c>
      <c r="BQ102" s="29"/>
      <c r="BR102" s="29">
        <f>if($F102=$G102,if(and($F102=$G102,M102&lt;&gt;N102),'Thể lệ'!$E$8,if($F102=M102,0,0.5*'Thể lệ'!$E$8)),if(and($F102=M102,$G102=N102),"0",if(($F102-$G102)*(M102-N102)&gt;0,0.5*'Thể lệ'!$E$8,'Thể lệ'!$E$8)))</f>
        <v>0</v>
      </c>
      <c r="BS102" s="29"/>
      <c r="BT102" s="29">
        <f>if($F102=$G102,if(and($F102=$G102,O102&lt;&gt;P102),'Thể lệ'!$E$8,if($F102=O102,0,0.5*'Thể lệ'!$E$8)),if(and($F102=O102,$G102=P102),"0",if(($F102-$G102)*(O102-P102)&gt;0,0.5*'Thể lệ'!$E$8,'Thể lệ'!$E$8)))</f>
        <v>0</v>
      </c>
      <c r="BU102" s="29"/>
      <c r="BV102" s="29">
        <f>if($F102=$G102,if(and($F102=$G102,Q102&lt;&gt;R102),'Thể lệ'!$E$8,if($F102=Q102,0,0.5*'Thể lệ'!$E$8)),if(and($F102=Q102,$G102=R102),"0",if(($F102-$G102)*(Q102-R102)&gt;0,0.5*'Thể lệ'!$E$8,'Thể lệ'!$E$8)))</f>
        <v>0</v>
      </c>
      <c r="BW102" s="29"/>
      <c r="BX102" s="29">
        <f>if($F102=$G102,if(and($F102=$G102,S102&lt;&gt;T102),'Thể lệ'!$E$8,if($F102=S102,0,0.5*'Thể lệ'!$E$8)),if(and($F102=S102,$G102=T102),"0",if(($F102-$G102)*(S102-T102)&gt;0,0.5*'Thể lệ'!$E$8,'Thể lệ'!$E$8)))</f>
        <v>0</v>
      </c>
      <c r="BY102" s="29"/>
      <c r="BZ102" s="29">
        <f>if($F102=$G102,if(and($F102=$G102,U102&lt;&gt;V102),'Thể lệ'!$E$8,if($F102=U102,0,0.5*'Thể lệ'!$E$8)),if(and($F102=U102,$G102=V102),"0",if(($F102-$G102)*(U102-V102)&gt;0,0.5*'Thể lệ'!$E$8,'Thể lệ'!$E$8)))</f>
        <v>0</v>
      </c>
      <c r="CA102" s="29"/>
      <c r="CB102" s="29">
        <f>if($F102=$G102,if(and($F102=$G102,W102&lt;&gt;X102),'Thể lệ'!$E$8,if($F102=W102,0,0.5*'Thể lệ'!$E$8)),if(and($F102=W102,$G102=X102),"0",if(($F102-$G102)*(W102-X102)&gt;0,0.5*'Thể lệ'!$E$8,'Thể lệ'!$E$8)))</f>
        <v>0</v>
      </c>
      <c r="CC102" s="29"/>
      <c r="CD102" s="29">
        <f>if($F102=$G102,if(and($F102=$G102,Y102&lt;&gt;Z102),'Thể lệ'!$E$8,if($F102=Y102,0,0.5*'Thể lệ'!$E$8)),if(and($F102=Y102,$G102=Z102),"0",if(($F102-$G102)*(Y102-Z102)&gt;0,0.5*'Thể lệ'!$E$8,'Thể lệ'!$E$8)))</f>
        <v>0</v>
      </c>
      <c r="CE102" s="29"/>
      <c r="CF102" s="29">
        <f>if($F102=$G102,if(and($F102=$G102,AA102&lt;&gt;AB102),'Thể lệ'!$E$8,if($F102=AA102,0,0.5*'Thể lệ'!$E$8)),if(and($F102=AA102,$G102=AB102),"0",if(($F102-$G102)*(AA102-AB102)&gt;0,0.5*'Thể lệ'!$E$8,'Thể lệ'!$E$8)))</f>
        <v>0</v>
      </c>
      <c r="CG102" s="29"/>
      <c r="CH102" s="29">
        <f>if($F102=$G102,if(and($F102=$G102,AC102&lt;&gt;AD102),'Thể lệ'!$E$8,if($F102=AC102,0,0.5*'Thể lệ'!$E$8)),if(and($F102=AC102,$G102=AD102),"0",if(($F102-$G102)*(AC102-AD102)&gt;0,0.5*'Thể lệ'!$E$8,'Thể lệ'!$E$8)))</f>
        <v>0</v>
      </c>
      <c r="CI102" s="29"/>
      <c r="CJ102" s="29">
        <f>if($F102=$G102,if(and($F102=$G102,AE102&lt;&gt;AF102),'Thể lệ'!$E$8,if($F102=AE102,0,0.5*'Thể lệ'!$E$8)),if(and($F102=AE102,$G102=AF102),"0",if(($F102-$G102)*(AE102-AF102)&gt;0,0.5*'Thể lệ'!$E$8,'Thể lệ'!$E$8)))</f>
        <v>0</v>
      </c>
      <c r="CK102" s="29"/>
      <c r="CL102" s="29">
        <f>if($F102=$G102,if(and($F102=$G102,AG102&lt;&gt;AH102),'Thể lệ'!$E$8,if($F102=AG102,0,0.5*'Thể lệ'!$E$8)),if(and($F102=AG102,$G102=AH102),"0",if(($F102-$G102)*(AG102-AH102)&gt;0,0.5*'Thể lệ'!$E$8,'Thể lệ'!$E$8)))</f>
        <v>0</v>
      </c>
      <c r="CM102" s="29"/>
      <c r="CN102" s="29">
        <f>if($F102=$G102,if(and($F102=$G102,AI102&lt;&gt;AJ102),'Thể lệ'!$E$8,if($F102=AI102,0,0.5*'Thể lệ'!$E$8)),if(and($F102=AI102,$G102=AJ102),"0",if(($F102-$G102)*(AI102-AJ102)&gt;0,0.5*'Thể lệ'!$E$8,'Thể lệ'!$E$8)))</f>
        <v>0</v>
      </c>
      <c r="CO102" s="29"/>
      <c r="CP102" s="29">
        <f>if($F102=$G102,if(and($F102=$G102,AK102&lt;&gt;AL102),'Thể lệ'!$E$8,if($F102=AK102,0,0.5*'Thể lệ'!$E$8)),if(and($F102=AK102,$G102=AL102),"0",if(($F102-$G102)*(AK102-AL102)&gt;0,0.5*'Thể lệ'!$E$8,'Thể lệ'!$E$8)))</f>
        <v>0</v>
      </c>
      <c r="CQ102" s="29"/>
      <c r="CR102" s="29">
        <f>if($F102=$G102,if(and($F102=$G102,AM102&lt;&gt;AN102),'Thể lệ'!$E$8,if($F102=AM102,0,0.5*'Thể lệ'!$E$8)),if(and($F102=AM102,$G102=AN102),"0",if(($F102-$G102)*(AM102-AN102)&gt;0,0.5*'Thể lệ'!$E$8,'Thể lệ'!$E$8)))</f>
        <v>0</v>
      </c>
      <c r="CS102" s="29"/>
      <c r="CT102" s="29">
        <f>if($F102=$G102,if(and($F102=$G102,AO102&lt;&gt;AP102),'Thể lệ'!$E$8,if($F102=AO102,0,0.5*'Thể lệ'!$E$8)),if(and($F102=AO102,$G102=AP102),"0",if(($F102-$G102)*(AO102-AP102)&gt;0,0.5*'Thể lệ'!$E$8,'Thể lệ'!$E$8)))</f>
        <v>0</v>
      </c>
      <c r="CU102" s="29"/>
      <c r="CV102" s="29">
        <f>if($F102=$G102,if(and($F102=$G102,AQ102&lt;&gt;AR102),'Thể lệ'!$E$8,if($F102=AQ102,0,0.5*'Thể lệ'!$E$8)),if(and($F102=AQ102,$G102=AR102),"0",if(($F102-$G102)*(AQ102-AR102)&gt;0,0.5*'Thể lệ'!$E$8,'Thể lệ'!$E$8)))</f>
        <v>0</v>
      </c>
      <c r="CW102" s="29"/>
      <c r="CX102" s="29">
        <f>if($F102=$G102,if(and($F102=$G102,AS102&lt;&gt;AT102),'Thể lệ'!$E$8,if($F102=AS102,0,0.5*'Thể lệ'!$E$8)),if(and($F102=AS102,$G102=AT102),"0",if(($F102-$G102)*(AS102-AT102)&gt;0,0.5*'Thể lệ'!$E$8,'Thể lệ'!$E$8)))</f>
        <v>0</v>
      </c>
      <c r="CY102" s="29"/>
      <c r="CZ102" s="29">
        <f>if($F102=$G102,if(and($F102=$G102,AU102&lt;&gt;AV102),'Thể lệ'!$E$8,if($F102=AU102,0,0.5*'Thể lệ'!$E$8)),if(and($F102=AU102,$G102=AV102),"0",if(($F102-$G102)*(AU102-AV102)&gt;0,0.5*'Thể lệ'!$E$8,'Thể lệ'!$E$8)))</f>
        <v>0</v>
      </c>
      <c r="DA102" s="29"/>
      <c r="DB102" s="29">
        <f>if($F102=$G102,if(and($F102=$G102,AW102&lt;&gt;AX102),'Thể lệ'!$E$8,if($F102=AW102,0,0.5*'Thể lệ'!$E$8)),if(and($F102=AW102,$G102=AX102),"0",if(($F102-$G102)*(AW102-AX102)&gt;0,0.5*'Thể lệ'!$E$8,'Thể lệ'!$E$8)))</f>
        <v>0</v>
      </c>
      <c r="DC102" s="69"/>
      <c r="DD102" s="29">
        <f>if($F102=$G102,if(and($F102=$G102,AY102&lt;&gt;AZ102),'Thể lệ'!$E$8,if($F102=AY102,0,0.5*'Thể lệ'!$E$8)),if(and($F102=AY102,$G102=AZ102),"0",if(($F102-$G102)*(AY102-AZ102)&gt;0,0.5*'Thể lệ'!$E$8,'Thể lệ'!$E$8)))</f>
        <v>0</v>
      </c>
      <c r="DE102" s="69"/>
      <c r="DF102" s="29">
        <f>if($F102=$G102,if(and($F102=$G102,BA102&lt;&gt;BB102),'Thể lệ'!$E$8,if($F102=BA102,0,0.5*'Thể lệ'!$E$8)),if(and($F102=BA102,$G102=BB102),"0",if(($F102-$G102)*(BA102-BB102)&gt;0,0.5*'Thể lệ'!$E$8,'Thể lệ'!$E$8)))</f>
        <v>0</v>
      </c>
      <c r="DG102" s="69"/>
      <c r="DH102" s="29">
        <f>if($F102=$G102,if(and($F102=$G102,BC102&lt;&gt;BD102),'Thể lệ'!$E$8,if($F102=BC102,0,0.5*'Thể lệ'!$E$8)),if(and($F102=BC102,$G102=BD102),"0",if(($F102-$G102)*(BC102-BD102)&gt;0,0.5*'Thể lệ'!$E$8,'Thể lệ'!$E$8)))</f>
        <v>0</v>
      </c>
      <c r="DI102" s="69"/>
      <c r="DJ102" s="29">
        <f>if($F102=$G102,if(and($F102=$G102,BE102&lt;&gt;BF102),'Thể lệ'!$E$8,if($F102=BE102,0,0.5*'Thể lệ'!$E$8)),if(and($F102=BE102,$G102=BF102),"0",if(($F102-$G102)*(BE102-BF102)&gt;0,0.5*'Thể lệ'!$E$8,'Thể lệ'!$E$8)))</f>
        <v>0</v>
      </c>
      <c r="DK102" s="69"/>
      <c r="DL102" s="29">
        <f>if($F102=$G102,if(and($F102=$G102,BG102&lt;&gt;BH102),'Thể lệ'!$E$8,if($F102=BG102,0,0.5*'Thể lệ'!$E$8)),if(and($F102=BG102,$G102=BH102),"0",if(($F102-$G102)*(BG102-BH102)&gt;0,0.5*'Thể lệ'!$E$8,'Thể lệ'!$E$8)))</f>
        <v>0</v>
      </c>
      <c r="DM102" s="69"/>
      <c r="DN102" s="72">
        <f>if($F102=$G102,if(and($F102=$G102,BI102&lt;&gt;BJ102),'Thể lệ'!$E$8,if($F102=BI102,0,0.5*'Thể lệ'!$E$8)),if(and($F102=BI102,$G102=BJ102),"0",if(($F102-$G102)*(BI102-BJ102)&gt;0,0.5*'Thể lệ'!$E$8,'Thể lệ'!$E$8)))</f>
        <v>10000</v>
      </c>
      <c r="DO102" s="69"/>
      <c r="DP102" s="69"/>
    </row>
    <row r="103">
      <c r="A103" s="63"/>
      <c r="B103" s="71">
        <v>95.0</v>
      </c>
      <c r="C103" s="64">
        <v>46210.95833333333</v>
      </c>
      <c r="D103" s="65">
        <v>46210.95833333333</v>
      </c>
      <c r="E103" s="55" t="s">
        <v>81</v>
      </c>
      <c r="F103" s="23"/>
      <c r="G103" s="23"/>
      <c r="H103" s="55" t="s">
        <v>81</v>
      </c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67"/>
      <c r="BF103" s="23"/>
      <c r="BG103" s="23"/>
      <c r="BH103" s="23"/>
      <c r="BI103" s="37">
        <f>H.Son!H103</f>
        <v>1</v>
      </c>
      <c r="BJ103" s="37">
        <f>H.Son!I103</f>
        <v>1</v>
      </c>
      <c r="BK103" s="23"/>
      <c r="BL103" s="23"/>
      <c r="BM103" s="68"/>
      <c r="BN103" s="29">
        <f>if($F103=$G103,if(and($F103=$G103,I103&lt;&gt;J103),'Thể lệ'!$E$8,if($F103=I103,0,0.5*'Thể lệ'!$E$8)),if(and($F103=I103,$G103=J103),"0",if(($F103-$G103)*(I103-J103)&gt;0,0.5*'Thể lệ'!$E$8,'Thể lệ'!$E$8)))</f>
        <v>0</v>
      </c>
      <c r="BO103" s="29"/>
      <c r="BP103" s="29">
        <f>if($F103=$G103,if(and($F103=$G103,K103&lt;&gt;L103),'Thể lệ'!$E$8,if($F103=K103,0,0.5*'Thể lệ'!$E$8)),if(and($F103=K103,$G103=L103),"0",if(($F103-$G103)*(K103-L103)&gt;0,0.5*'Thể lệ'!$E$8,'Thể lệ'!$E$8)))</f>
        <v>0</v>
      </c>
      <c r="BQ103" s="29"/>
      <c r="BR103" s="29">
        <f>if($F103=$G103,if(and($F103=$G103,M103&lt;&gt;N103),'Thể lệ'!$E$8,if($F103=M103,0,0.5*'Thể lệ'!$E$8)),if(and($F103=M103,$G103=N103),"0",if(($F103-$G103)*(M103-N103)&gt;0,0.5*'Thể lệ'!$E$8,'Thể lệ'!$E$8)))</f>
        <v>0</v>
      </c>
      <c r="BS103" s="29"/>
      <c r="BT103" s="29">
        <f>if($F103=$G103,if(and($F103=$G103,O103&lt;&gt;P103),'Thể lệ'!$E$8,if($F103=O103,0,0.5*'Thể lệ'!$E$8)),if(and($F103=O103,$G103=P103),"0",if(($F103-$G103)*(O103-P103)&gt;0,0.5*'Thể lệ'!$E$8,'Thể lệ'!$E$8)))</f>
        <v>0</v>
      </c>
      <c r="BU103" s="29"/>
      <c r="BV103" s="29">
        <f>if($F103=$G103,if(and($F103=$G103,Q103&lt;&gt;R103),'Thể lệ'!$E$8,if($F103=Q103,0,0.5*'Thể lệ'!$E$8)),if(and($F103=Q103,$G103=R103),"0",if(($F103-$G103)*(Q103-R103)&gt;0,0.5*'Thể lệ'!$E$8,'Thể lệ'!$E$8)))</f>
        <v>0</v>
      </c>
      <c r="BW103" s="29"/>
      <c r="BX103" s="29">
        <f>if($F103=$G103,if(and($F103=$G103,S103&lt;&gt;T103),'Thể lệ'!$E$8,if($F103=S103,0,0.5*'Thể lệ'!$E$8)),if(and($F103=S103,$G103=T103),"0",if(($F103-$G103)*(S103-T103)&gt;0,0.5*'Thể lệ'!$E$8,'Thể lệ'!$E$8)))</f>
        <v>0</v>
      </c>
      <c r="BY103" s="29"/>
      <c r="BZ103" s="29">
        <f>if($F103=$G103,if(and($F103=$G103,U103&lt;&gt;V103),'Thể lệ'!$E$8,if($F103=U103,0,0.5*'Thể lệ'!$E$8)),if(and($F103=U103,$G103=V103),"0",if(($F103-$G103)*(U103-V103)&gt;0,0.5*'Thể lệ'!$E$8,'Thể lệ'!$E$8)))</f>
        <v>0</v>
      </c>
      <c r="CA103" s="29"/>
      <c r="CB103" s="29">
        <f>if($F103=$G103,if(and($F103=$G103,W103&lt;&gt;X103),'Thể lệ'!$E$8,if($F103=W103,0,0.5*'Thể lệ'!$E$8)),if(and($F103=W103,$G103=X103),"0",if(($F103-$G103)*(W103-X103)&gt;0,0.5*'Thể lệ'!$E$8,'Thể lệ'!$E$8)))</f>
        <v>0</v>
      </c>
      <c r="CC103" s="29"/>
      <c r="CD103" s="29">
        <f>if($F103=$G103,if(and($F103=$G103,Y103&lt;&gt;Z103),'Thể lệ'!$E$8,if($F103=Y103,0,0.5*'Thể lệ'!$E$8)),if(and($F103=Y103,$G103=Z103),"0",if(($F103-$G103)*(Y103-Z103)&gt;0,0.5*'Thể lệ'!$E$8,'Thể lệ'!$E$8)))</f>
        <v>0</v>
      </c>
      <c r="CE103" s="29"/>
      <c r="CF103" s="29">
        <f>if($F103=$G103,if(and($F103=$G103,AA103&lt;&gt;AB103),'Thể lệ'!$E$8,if($F103=AA103,0,0.5*'Thể lệ'!$E$8)),if(and($F103=AA103,$G103=AB103),"0",if(($F103-$G103)*(AA103-AB103)&gt;0,0.5*'Thể lệ'!$E$8,'Thể lệ'!$E$8)))</f>
        <v>0</v>
      </c>
      <c r="CG103" s="29"/>
      <c r="CH103" s="29">
        <f>if($F103=$G103,if(and($F103=$G103,AC103&lt;&gt;AD103),'Thể lệ'!$E$8,if($F103=AC103,0,0.5*'Thể lệ'!$E$8)),if(and($F103=AC103,$G103=AD103),"0",if(($F103-$G103)*(AC103-AD103)&gt;0,0.5*'Thể lệ'!$E$8,'Thể lệ'!$E$8)))</f>
        <v>0</v>
      </c>
      <c r="CI103" s="29"/>
      <c r="CJ103" s="29">
        <f>if($F103=$G103,if(and($F103=$G103,AE103&lt;&gt;AF103),'Thể lệ'!$E$8,if($F103=AE103,0,0.5*'Thể lệ'!$E$8)),if(and($F103=AE103,$G103=AF103),"0",if(($F103-$G103)*(AE103-AF103)&gt;0,0.5*'Thể lệ'!$E$8,'Thể lệ'!$E$8)))</f>
        <v>0</v>
      </c>
      <c r="CK103" s="29"/>
      <c r="CL103" s="29">
        <f>if($F103=$G103,if(and($F103=$G103,AG103&lt;&gt;AH103),'Thể lệ'!$E$8,if($F103=AG103,0,0.5*'Thể lệ'!$E$8)),if(and($F103=AG103,$G103=AH103),"0",if(($F103-$G103)*(AG103-AH103)&gt;0,0.5*'Thể lệ'!$E$8,'Thể lệ'!$E$8)))</f>
        <v>0</v>
      </c>
      <c r="CM103" s="29"/>
      <c r="CN103" s="29">
        <f>if($F103=$G103,if(and($F103=$G103,AI103&lt;&gt;AJ103),'Thể lệ'!$E$8,if($F103=AI103,0,0.5*'Thể lệ'!$E$8)),if(and($F103=AI103,$G103=AJ103),"0",if(($F103-$G103)*(AI103-AJ103)&gt;0,0.5*'Thể lệ'!$E$8,'Thể lệ'!$E$8)))</f>
        <v>0</v>
      </c>
      <c r="CO103" s="29"/>
      <c r="CP103" s="29">
        <f>if($F103=$G103,if(and($F103=$G103,AK103&lt;&gt;AL103),'Thể lệ'!$E$8,if($F103=AK103,0,0.5*'Thể lệ'!$E$8)),if(and($F103=AK103,$G103=AL103),"0",if(($F103-$G103)*(AK103-AL103)&gt;0,0.5*'Thể lệ'!$E$8,'Thể lệ'!$E$8)))</f>
        <v>0</v>
      </c>
      <c r="CQ103" s="29"/>
      <c r="CR103" s="29">
        <f>if($F103=$G103,if(and($F103=$G103,AM103&lt;&gt;AN103),'Thể lệ'!$E$8,if($F103=AM103,0,0.5*'Thể lệ'!$E$8)),if(and($F103=AM103,$G103=AN103),"0",if(($F103-$G103)*(AM103-AN103)&gt;0,0.5*'Thể lệ'!$E$8,'Thể lệ'!$E$8)))</f>
        <v>0</v>
      </c>
      <c r="CS103" s="29"/>
      <c r="CT103" s="29">
        <f>if($F103=$G103,if(and($F103=$G103,AO103&lt;&gt;AP103),'Thể lệ'!$E$8,if($F103=AO103,0,0.5*'Thể lệ'!$E$8)),if(and($F103=AO103,$G103=AP103),"0",if(($F103-$G103)*(AO103-AP103)&gt;0,0.5*'Thể lệ'!$E$8,'Thể lệ'!$E$8)))</f>
        <v>0</v>
      </c>
      <c r="CU103" s="29"/>
      <c r="CV103" s="29">
        <f>if($F103=$G103,if(and($F103=$G103,AQ103&lt;&gt;AR103),'Thể lệ'!$E$8,if($F103=AQ103,0,0.5*'Thể lệ'!$E$8)),if(and($F103=AQ103,$G103=AR103),"0",if(($F103-$G103)*(AQ103-AR103)&gt;0,0.5*'Thể lệ'!$E$8,'Thể lệ'!$E$8)))</f>
        <v>0</v>
      </c>
      <c r="CW103" s="29"/>
      <c r="CX103" s="29">
        <f>if($F103=$G103,if(and($F103=$G103,AS103&lt;&gt;AT103),'Thể lệ'!$E$8,if($F103=AS103,0,0.5*'Thể lệ'!$E$8)),if(and($F103=AS103,$G103=AT103),"0",if(($F103-$G103)*(AS103-AT103)&gt;0,0.5*'Thể lệ'!$E$8,'Thể lệ'!$E$8)))</f>
        <v>0</v>
      </c>
      <c r="CY103" s="29"/>
      <c r="CZ103" s="29">
        <f>if($F103=$G103,if(and($F103=$G103,AU103&lt;&gt;AV103),'Thể lệ'!$E$8,if($F103=AU103,0,0.5*'Thể lệ'!$E$8)),if(and($F103=AU103,$G103=AV103),"0",if(($F103-$G103)*(AU103-AV103)&gt;0,0.5*'Thể lệ'!$E$8,'Thể lệ'!$E$8)))</f>
        <v>0</v>
      </c>
      <c r="DA103" s="29"/>
      <c r="DB103" s="29">
        <f>if($F103=$G103,if(and($F103=$G103,AW103&lt;&gt;AX103),'Thể lệ'!$E$8,if($F103=AW103,0,0.5*'Thể lệ'!$E$8)),if(and($F103=AW103,$G103=AX103),"0",if(($F103-$G103)*(AW103-AX103)&gt;0,0.5*'Thể lệ'!$E$8,'Thể lệ'!$E$8)))</f>
        <v>0</v>
      </c>
      <c r="DC103" s="69"/>
      <c r="DD103" s="29">
        <f>if($F103=$G103,if(and($F103=$G103,AY103&lt;&gt;AZ103),'Thể lệ'!$E$8,if($F103=AY103,0,0.5*'Thể lệ'!$E$8)),if(and($F103=AY103,$G103=AZ103),"0",if(($F103-$G103)*(AY103-AZ103)&gt;0,0.5*'Thể lệ'!$E$8,'Thể lệ'!$E$8)))</f>
        <v>0</v>
      </c>
      <c r="DE103" s="69"/>
      <c r="DF103" s="29">
        <f>if($F103=$G103,if(and($F103=$G103,BA103&lt;&gt;BB103),'Thể lệ'!$E$8,if($F103=BA103,0,0.5*'Thể lệ'!$E$8)),if(and($F103=BA103,$G103=BB103),"0",if(($F103-$G103)*(BA103-BB103)&gt;0,0.5*'Thể lệ'!$E$8,'Thể lệ'!$E$8)))</f>
        <v>0</v>
      </c>
      <c r="DG103" s="69"/>
      <c r="DH103" s="29">
        <f>if($F103=$G103,if(and($F103=$G103,BC103&lt;&gt;BD103),'Thể lệ'!$E$8,if($F103=BC103,0,0.5*'Thể lệ'!$E$8)),if(and($F103=BC103,$G103=BD103),"0",if(($F103-$G103)*(BC103-BD103)&gt;0,0.5*'Thể lệ'!$E$8,'Thể lệ'!$E$8)))</f>
        <v>0</v>
      </c>
      <c r="DI103" s="69"/>
      <c r="DJ103" s="29">
        <f>if($F103=$G103,if(and($F103=$G103,BE103&lt;&gt;BF103),'Thể lệ'!$E$8,if($F103=BE103,0,0.5*'Thể lệ'!$E$8)),if(and($F103=BE103,$G103=BF103),"0",if(($F103-$G103)*(BE103-BF103)&gt;0,0.5*'Thể lệ'!$E$8,'Thể lệ'!$E$8)))</f>
        <v>0</v>
      </c>
      <c r="DK103" s="69"/>
      <c r="DL103" s="29">
        <f>if($F103=$G103,if(and($F103=$G103,BG103&lt;&gt;BH103),'Thể lệ'!$E$8,if($F103=BG103,0,0.5*'Thể lệ'!$E$8)),if(and($F103=BG103,$G103=BH103),"0",if(($F103-$G103)*(BG103-BH103)&gt;0,0.5*'Thể lệ'!$E$8,'Thể lệ'!$E$8)))</f>
        <v>0</v>
      </c>
      <c r="DM103" s="69"/>
      <c r="DN103" s="72">
        <f>if($F103=$G103,if(and($F103=$G103,BI103&lt;&gt;BJ103),'Thể lệ'!$E$8,if($F103=BI103,0,0.5*'Thể lệ'!$E$8)),if(and($F103=BI103,$G103=BJ103),"0",if(($F103-$G103)*(BI103-BJ103)&gt;0,0.5*'Thể lệ'!$E$8,'Thể lệ'!$E$8)))</f>
        <v>10000</v>
      </c>
      <c r="DO103" s="69"/>
      <c r="DP103" s="69"/>
    </row>
    <row r="104">
      <c r="A104" s="63"/>
      <c r="B104" s="71">
        <v>96.0</v>
      </c>
      <c r="C104" s="64">
        <v>46211.12499999999</v>
      </c>
      <c r="D104" s="65">
        <v>46211.12499999999</v>
      </c>
      <c r="E104" s="55" t="s">
        <v>81</v>
      </c>
      <c r="F104" s="23"/>
      <c r="G104" s="23"/>
      <c r="H104" s="55" t="s">
        <v>81</v>
      </c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67"/>
      <c r="BF104" s="23"/>
      <c r="BG104" s="23"/>
      <c r="BH104" s="23"/>
      <c r="BI104" s="37">
        <f>H.Son!H104</f>
        <v>1</v>
      </c>
      <c r="BJ104" s="37">
        <f>H.Son!I104</f>
        <v>1</v>
      </c>
      <c r="BK104" s="23"/>
      <c r="BL104" s="23"/>
      <c r="BM104" s="68"/>
      <c r="BN104" s="29">
        <f>if($F104=$G104,if(and($F104=$G104,I104&lt;&gt;J104),'Thể lệ'!$E$8,if($F104=I104,0,0.5*'Thể lệ'!$E$8)),if(and($F104=I104,$G104=J104),"0",if(($F104-$G104)*(I104-J104)&gt;0,0.5*'Thể lệ'!$E$8,'Thể lệ'!$E$8)))</f>
        <v>0</v>
      </c>
      <c r="BO104" s="29"/>
      <c r="BP104" s="29">
        <f>if($F104=$G104,if(and($F104=$G104,K104&lt;&gt;L104),'Thể lệ'!$E$8,if($F104=K104,0,0.5*'Thể lệ'!$E$8)),if(and($F104=K104,$G104=L104),"0",if(($F104-$G104)*(K104-L104)&gt;0,0.5*'Thể lệ'!$E$8,'Thể lệ'!$E$8)))</f>
        <v>0</v>
      </c>
      <c r="BQ104" s="29"/>
      <c r="BR104" s="29">
        <f>if($F104=$G104,if(and($F104=$G104,M104&lt;&gt;N104),'Thể lệ'!$E$8,if($F104=M104,0,0.5*'Thể lệ'!$E$8)),if(and($F104=M104,$G104=N104),"0",if(($F104-$G104)*(M104-N104)&gt;0,0.5*'Thể lệ'!$E$8,'Thể lệ'!$E$8)))</f>
        <v>0</v>
      </c>
      <c r="BS104" s="29"/>
      <c r="BT104" s="29">
        <f>if($F104=$G104,if(and($F104=$G104,O104&lt;&gt;P104),'Thể lệ'!$E$8,if($F104=O104,0,0.5*'Thể lệ'!$E$8)),if(and($F104=O104,$G104=P104),"0",if(($F104-$G104)*(O104-P104)&gt;0,0.5*'Thể lệ'!$E$8,'Thể lệ'!$E$8)))</f>
        <v>0</v>
      </c>
      <c r="BU104" s="29"/>
      <c r="BV104" s="29">
        <f>if($F104=$G104,if(and($F104=$G104,Q104&lt;&gt;R104),'Thể lệ'!$E$8,if($F104=Q104,0,0.5*'Thể lệ'!$E$8)),if(and($F104=Q104,$G104=R104),"0",if(($F104-$G104)*(Q104-R104)&gt;0,0.5*'Thể lệ'!$E$8,'Thể lệ'!$E$8)))</f>
        <v>0</v>
      </c>
      <c r="BW104" s="29"/>
      <c r="BX104" s="29">
        <f>if($F104=$G104,if(and($F104=$G104,S104&lt;&gt;T104),'Thể lệ'!$E$8,if($F104=S104,0,0.5*'Thể lệ'!$E$8)),if(and($F104=S104,$G104=T104),"0",if(($F104-$G104)*(S104-T104)&gt;0,0.5*'Thể lệ'!$E$8,'Thể lệ'!$E$8)))</f>
        <v>0</v>
      </c>
      <c r="BY104" s="29"/>
      <c r="BZ104" s="29">
        <f>if($F104=$G104,if(and($F104=$G104,U104&lt;&gt;V104),'Thể lệ'!$E$8,if($F104=U104,0,0.5*'Thể lệ'!$E$8)),if(and($F104=U104,$G104=V104),"0",if(($F104-$G104)*(U104-V104)&gt;0,0.5*'Thể lệ'!$E$8,'Thể lệ'!$E$8)))</f>
        <v>0</v>
      </c>
      <c r="CA104" s="29"/>
      <c r="CB104" s="29">
        <f>if($F104=$G104,if(and($F104=$G104,W104&lt;&gt;X104),'Thể lệ'!$E$8,if($F104=W104,0,0.5*'Thể lệ'!$E$8)),if(and($F104=W104,$G104=X104),"0",if(($F104-$G104)*(W104-X104)&gt;0,0.5*'Thể lệ'!$E$8,'Thể lệ'!$E$8)))</f>
        <v>0</v>
      </c>
      <c r="CC104" s="29"/>
      <c r="CD104" s="29">
        <f>if($F104=$G104,if(and($F104=$G104,Y104&lt;&gt;Z104),'Thể lệ'!$E$8,if($F104=Y104,0,0.5*'Thể lệ'!$E$8)),if(and($F104=Y104,$G104=Z104),"0",if(($F104-$G104)*(Y104-Z104)&gt;0,0.5*'Thể lệ'!$E$8,'Thể lệ'!$E$8)))</f>
        <v>0</v>
      </c>
      <c r="CE104" s="29"/>
      <c r="CF104" s="29">
        <f>if($F104=$G104,if(and($F104=$G104,AA104&lt;&gt;AB104),'Thể lệ'!$E$8,if($F104=AA104,0,0.5*'Thể lệ'!$E$8)),if(and($F104=AA104,$G104=AB104),"0",if(($F104-$G104)*(AA104-AB104)&gt;0,0.5*'Thể lệ'!$E$8,'Thể lệ'!$E$8)))</f>
        <v>0</v>
      </c>
      <c r="CG104" s="29"/>
      <c r="CH104" s="29">
        <f>if($F104=$G104,if(and($F104=$G104,AC104&lt;&gt;AD104),'Thể lệ'!$E$8,if($F104=AC104,0,0.5*'Thể lệ'!$E$8)),if(and($F104=AC104,$G104=AD104),"0",if(($F104-$G104)*(AC104-AD104)&gt;0,0.5*'Thể lệ'!$E$8,'Thể lệ'!$E$8)))</f>
        <v>0</v>
      </c>
      <c r="CI104" s="29"/>
      <c r="CJ104" s="29">
        <f>if($F104=$G104,if(and($F104=$G104,AE104&lt;&gt;AF104),'Thể lệ'!$E$8,if($F104=AE104,0,0.5*'Thể lệ'!$E$8)),if(and($F104=AE104,$G104=AF104),"0",if(($F104-$G104)*(AE104-AF104)&gt;0,0.5*'Thể lệ'!$E$8,'Thể lệ'!$E$8)))</f>
        <v>0</v>
      </c>
      <c r="CK104" s="29"/>
      <c r="CL104" s="29">
        <f>if($F104=$G104,if(and($F104=$G104,AG104&lt;&gt;AH104),'Thể lệ'!$E$8,if($F104=AG104,0,0.5*'Thể lệ'!$E$8)),if(and($F104=AG104,$G104=AH104),"0",if(($F104-$G104)*(AG104-AH104)&gt;0,0.5*'Thể lệ'!$E$8,'Thể lệ'!$E$8)))</f>
        <v>0</v>
      </c>
      <c r="CM104" s="29"/>
      <c r="CN104" s="29">
        <f>if($F104=$G104,if(and($F104=$G104,AI104&lt;&gt;AJ104),'Thể lệ'!$E$8,if($F104=AI104,0,0.5*'Thể lệ'!$E$8)),if(and($F104=AI104,$G104=AJ104),"0",if(($F104-$G104)*(AI104-AJ104)&gt;0,0.5*'Thể lệ'!$E$8,'Thể lệ'!$E$8)))</f>
        <v>0</v>
      </c>
      <c r="CO104" s="29"/>
      <c r="CP104" s="29">
        <f>if($F104=$G104,if(and($F104=$G104,AK104&lt;&gt;AL104),'Thể lệ'!$E$8,if($F104=AK104,0,0.5*'Thể lệ'!$E$8)),if(and($F104=AK104,$G104=AL104),"0",if(($F104-$G104)*(AK104-AL104)&gt;0,0.5*'Thể lệ'!$E$8,'Thể lệ'!$E$8)))</f>
        <v>0</v>
      </c>
      <c r="CQ104" s="29"/>
      <c r="CR104" s="29">
        <f>if($F104=$G104,if(and($F104=$G104,AM104&lt;&gt;AN104),'Thể lệ'!$E$8,if($F104=AM104,0,0.5*'Thể lệ'!$E$8)),if(and($F104=AM104,$G104=AN104),"0",if(($F104-$G104)*(AM104-AN104)&gt;0,0.5*'Thể lệ'!$E$8,'Thể lệ'!$E$8)))</f>
        <v>0</v>
      </c>
      <c r="CS104" s="29"/>
      <c r="CT104" s="29">
        <f>if($F104=$G104,if(and($F104=$G104,AO104&lt;&gt;AP104),'Thể lệ'!$E$8,if($F104=AO104,0,0.5*'Thể lệ'!$E$8)),if(and($F104=AO104,$G104=AP104),"0",if(($F104-$G104)*(AO104-AP104)&gt;0,0.5*'Thể lệ'!$E$8,'Thể lệ'!$E$8)))</f>
        <v>0</v>
      </c>
      <c r="CU104" s="29"/>
      <c r="CV104" s="29">
        <f>if($F104=$G104,if(and($F104=$G104,AQ104&lt;&gt;AR104),'Thể lệ'!$E$8,if($F104=AQ104,0,0.5*'Thể lệ'!$E$8)),if(and($F104=AQ104,$G104=AR104),"0",if(($F104-$G104)*(AQ104-AR104)&gt;0,0.5*'Thể lệ'!$E$8,'Thể lệ'!$E$8)))</f>
        <v>0</v>
      </c>
      <c r="CW104" s="29"/>
      <c r="CX104" s="29">
        <f>if($F104=$G104,if(and($F104=$G104,AS104&lt;&gt;AT104),'Thể lệ'!$E$8,if($F104=AS104,0,0.5*'Thể lệ'!$E$8)),if(and($F104=AS104,$G104=AT104),"0",if(($F104-$G104)*(AS104-AT104)&gt;0,0.5*'Thể lệ'!$E$8,'Thể lệ'!$E$8)))</f>
        <v>0</v>
      </c>
      <c r="CY104" s="29"/>
      <c r="CZ104" s="29">
        <f>if($F104=$G104,if(and($F104=$G104,AU104&lt;&gt;AV104),'Thể lệ'!$E$8,if($F104=AU104,0,0.5*'Thể lệ'!$E$8)),if(and($F104=AU104,$G104=AV104),"0",if(($F104-$G104)*(AU104-AV104)&gt;0,0.5*'Thể lệ'!$E$8,'Thể lệ'!$E$8)))</f>
        <v>0</v>
      </c>
      <c r="DA104" s="29"/>
      <c r="DB104" s="29">
        <f>if($F104=$G104,if(and($F104=$G104,AW104&lt;&gt;AX104),'Thể lệ'!$E$8,if($F104=AW104,0,0.5*'Thể lệ'!$E$8)),if(and($F104=AW104,$G104=AX104),"0",if(($F104-$G104)*(AW104-AX104)&gt;0,0.5*'Thể lệ'!$E$8,'Thể lệ'!$E$8)))</f>
        <v>0</v>
      </c>
      <c r="DC104" s="69"/>
      <c r="DD104" s="29">
        <f>if($F104=$G104,if(and($F104=$G104,AY104&lt;&gt;AZ104),'Thể lệ'!$E$8,if($F104=AY104,0,0.5*'Thể lệ'!$E$8)),if(and($F104=AY104,$G104=AZ104),"0",if(($F104-$G104)*(AY104-AZ104)&gt;0,0.5*'Thể lệ'!$E$8,'Thể lệ'!$E$8)))</f>
        <v>0</v>
      </c>
      <c r="DE104" s="69"/>
      <c r="DF104" s="29">
        <f>if($F104=$G104,if(and($F104=$G104,BA104&lt;&gt;BB104),'Thể lệ'!$E$8,if($F104=BA104,0,0.5*'Thể lệ'!$E$8)),if(and($F104=BA104,$G104=BB104),"0",if(($F104-$G104)*(BA104-BB104)&gt;0,0.5*'Thể lệ'!$E$8,'Thể lệ'!$E$8)))</f>
        <v>0</v>
      </c>
      <c r="DG104" s="69"/>
      <c r="DH104" s="29">
        <f>if($F104=$G104,if(and($F104=$G104,BC104&lt;&gt;BD104),'Thể lệ'!$E$8,if($F104=BC104,0,0.5*'Thể lệ'!$E$8)),if(and($F104=BC104,$G104=BD104),"0",if(($F104-$G104)*(BC104-BD104)&gt;0,0.5*'Thể lệ'!$E$8,'Thể lệ'!$E$8)))</f>
        <v>0</v>
      </c>
      <c r="DI104" s="69"/>
      <c r="DJ104" s="29">
        <f>if($F104=$G104,if(and($F104=$G104,BE104&lt;&gt;BF104),'Thể lệ'!$E$8,if($F104=BE104,0,0.5*'Thể lệ'!$E$8)),if(and($F104=BE104,$G104=BF104),"0",if(($F104-$G104)*(BE104-BF104)&gt;0,0.5*'Thể lệ'!$E$8,'Thể lệ'!$E$8)))</f>
        <v>0</v>
      </c>
      <c r="DK104" s="69"/>
      <c r="DL104" s="29">
        <f>if($F104=$G104,if(and($F104=$G104,BG104&lt;&gt;BH104),'Thể lệ'!$E$8,if($F104=BG104,0,0.5*'Thể lệ'!$E$8)),if(and($F104=BG104,$G104=BH104),"0",if(($F104-$G104)*(BG104-BH104)&gt;0,0.5*'Thể lệ'!$E$8,'Thể lệ'!$E$8)))</f>
        <v>0</v>
      </c>
      <c r="DM104" s="69"/>
      <c r="DN104" s="72">
        <f>if($F104=$G104,if(and($F104=$G104,BI104&lt;&gt;BJ104),'Thể lệ'!$E$8,if($F104=BI104,0,0.5*'Thể lệ'!$E$8)),if(and($F104=BI104,$G104=BJ104),"0",if(($F104-$G104)*(BI104-BJ104)&gt;0,0.5*'Thể lệ'!$E$8,'Thể lệ'!$E$8)))</f>
        <v>10000</v>
      </c>
      <c r="DO104" s="69"/>
      <c r="DP104" s="69"/>
    </row>
    <row r="105">
      <c r="A105" s="63"/>
      <c r="B105" s="76"/>
      <c r="C105" s="77" t="s">
        <v>83</v>
      </c>
      <c r="D105" s="74"/>
      <c r="E105" s="55"/>
      <c r="F105" s="23"/>
      <c r="G105" s="23"/>
      <c r="H105" s="55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67"/>
      <c r="BF105" s="23"/>
      <c r="BG105" s="23"/>
      <c r="BH105" s="23"/>
      <c r="BI105" s="37" t="str">
        <f>H.Son!H105</f>
        <v/>
      </c>
      <c r="BJ105" s="37" t="str">
        <f>H.Son!I105</f>
        <v/>
      </c>
      <c r="BK105" s="23"/>
      <c r="BL105" s="23"/>
      <c r="BM105" s="68"/>
      <c r="BN105" s="28"/>
      <c r="BO105" s="28"/>
      <c r="BP105" s="28"/>
      <c r="BQ105" s="28"/>
      <c r="BR105" s="28"/>
      <c r="BS105" s="28"/>
      <c r="BT105" s="28"/>
      <c r="BU105" s="28"/>
      <c r="BV105" s="28"/>
      <c r="BW105" s="28"/>
      <c r="BX105" s="28"/>
      <c r="BY105" s="28"/>
      <c r="BZ105" s="28"/>
      <c r="CA105" s="28"/>
      <c r="CB105" s="28"/>
      <c r="CC105" s="28"/>
      <c r="CD105" s="28"/>
      <c r="CE105" s="28"/>
      <c r="CF105" s="28"/>
      <c r="CG105" s="28"/>
      <c r="CH105" s="28"/>
      <c r="CI105" s="28"/>
      <c r="CJ105" s="28"/>
      <c r="CK105" s="28"/>
      <c r="CL105" s="28"/>
      <c r="CM105" s="28"/>
      <c r="CN105" s="28"/>
      <c r="CO105" s="28"/>
      <c r="CP105" s="28"/>
      <c r="CQ105" s="28"/>
      <c r="CR105" s="28"/>
      <c r="CS105" s="28"/>
      <c r="CT105" s="28"/>
      <c r="CU105" s="28"/>
      <c r="CV105" s="28"/>
      <c r="CW105" s="28"/>
      <c r="CX105" s="28"/>
      <c r="CY105" s="28"/>
      <c r="CZ105" s="28"/>
      <c r="DA105" s="28"/>
      <c r="DB105" s="28"/>
      <c r="DC105" s="75"/>
      <c r="DD105" s="28"/>
      <c r="DE105" s="75"/>
      <c r="DF105" s="28"/>
      <c r="DG105" s="75"/>
      <c r="DH105" s="28"/>
      <c r="DI105" s="75"/>
      <c r="DJ105" s="28"/>
      <c r="DK105" s="75"/>
      <c r="DL105" s="28"/>
      <c r="DM105" s="75"/>
      <c r="DN105" s="28"/>
      <c r="DO105" s="75"/>
      <c r="DP105" s="75"/>
    </row>
    <row r="106">
      <c r="A106" s="63"/>
      <c r="B106" s="71">
        <v>97.0</v>
      </c>
      <c r="C106" s="64">
        <v>46213.12499999999</v>
      </c>
      <c r="D106" s="65">
        <v>46213.12499999999</v>
      </c>
      <c r="E106" s="55" t="s">
        <v>81</v>
      </c>
      <c r="F106" s="23"/>
      <c r="G106" s="23"/>
      <c r="H106" s="55" t="s">
        <v>81</v>
      </c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67"/>
      <c r="BF106" s="23"/>
      <c r="BG106" s="23"/>
      <c r="BH106" s="23"/>
      <c r="BI106" s="37">
        <f>H.Son!H106</f>
        <v>1</v>
      </c>
      <c r="BJ106" s="37">
        <f>H.Son!I106</f>
        <v>1</v>
      </c>
      <c r="BK106" s="23"/>
      <c r="BL106" s="23"/>
      <c r="BM106" s="68"/>
      <c r="BN106" s="29">
        <f>if($F106=$G106,if(and($F106=$G106,I106&lt;&gt;J106),'Thể lệ'!$E$9,if($F106=I106,0,0.5*'Thể lệ'!$E$9)),if(and($F106=I106,$G106=J106),"0",if(($F106-$G106)*(I106-J106)&gt;0,0.5*'Thể lệ'!$E$9,'Thể lệ'!$E$9)))</f>
        <v>0</v>
      </c>
      <c r="BO106" s="29"/>
      <c r="BP106" s="29">
        <f>if($F106=$G106,if(and($F106=$G106,K106&lt;&gt;L106),'Thể lệ'!$E$9,if($F106=K106,0,0.5*'Thể lệ'!$E$9)),if(and($F106=K106,$G106=L106),"0",if(($F106-$G106)*(K106-L106)&gt;0,0.5*'Thể lệ'!$E$9,'Thể lệ'!$E$9)))</f>
        <v>0</v>
      </c>
      <c r="BQ106" s="29"/>
      <c r="BR106" s="29">
        <f>if($F106=$G106,if(and($F106=$G106,M106&lt;&gt;N106),'Thể lệ'!$E$9,if($F106=M106,0,0.5*'Thể lệ'!$E$9)),if(and($F106=M106,$G106=N106),"0",if(($F106-$G106)*(M106-N106)&gt;0,0.5*'Thể lệ'!$E$9,'Thể lệ'!$E$9)))</f>
        <v>0</v>
      </c>
      <c r="BS106" s="29"/>
      <c r="BT106" s="29">
        <f>if($F106=$G106,if(and($F106=$G106,O106&lt;&gt;P106),'Thể lệ'!$E$9,if($F106=O106,0,0.5*'Thể lệ'!$E$9)),if(and($F106=O106,$G106=P106),"0",if(($F106-$G106)*(O106-P106)&gt;0,0.5*'Thể lệ'!$E$9,'Thể lệ'!$E$9)))</f>
        <v>0</v>
      </c>
      <c r="BU106" s="29"/>
      <c r="BV106" s="29">
        <f>if($F106=$G106,if(and($F106=$G106,Q106&lt;&gt;R106),'Thể lệ'!$E$9,if($F106=Q106,0,0.5*'Thể lệ'!$E$9)),if(and($F106=Q106,$G106=R106),"0",if(($F106-$G106)*(Q106-R106)&gt;0,0.5*'Thể lệ'!$E$9,'Thể lệ'!$E$9)))</f>
        <v>0</v>
      </c>
      <c r="BW106" s="29"/>
      <c r="BX106" s="29">
        <f>if($F106=$G106,if(and($F106=$G106,S106&lt;&gt;T106),'Thể lệ'!$E$9,if($F106=S106,0,0.5*'Thể lệ'!$E$9)),if(and($F106=S106,$G106=T106),"0",if(($F106-$G106)*(S106-T106)&gt;0,0.5*'Thể lệ'!$E$9,'Thể lệ'!$E$9)))</f>
        <v>0</v>
      </c>
      <c r="BY106" s="29"/>
      <c r="BZ106" s="29">
        <f>if($F106=$G106,if(and($F106=$G106,U106&lt;&gt;V106),'Thể lệ'!$E$9,if($F106=U106,0,0.5*'Thể lệ'!$E$9)),if(and($F106=U106,$G106=V106),"0",if(($F106-$G106)*(U106-V106)&gt;0,0.5*'Thể lệ'!$E$9,'Thể lệ'!$E$9)))</f>
        <v>0</v>
      </c>
      <c r="CA106" s="29"/>
      <c r="CB106" s="29">
        <f>if($F106=$G106,if(and($F106=$G106,W106&lt;&gt;X106),'Thể lệ'!$E$9,if($F106=W106,0,0.5*'Thể lệ'!$E$9)),if(and($F106=W106,$G106=X106),"0",if(($F106-$G106)*(W106-X106)&gt;0,0.5*'Thể lệ'!$E$9,'Thể lệ'!$E$9)))</f>
        <v>0</v>
      </c>
      <c r="CC106" s="29"/>
      <c r="CD106" s="29">
        <f>if($F106=$G106,if(and($F106=$G106,Y106&lt;&gt;Z106),'Thể lệ'!$E$9,if($F106=Y106,0,0.5*'Thể lệ'!$E$9)),if(and($F106=Y106,$G106=Z106),"0",if(($F106-$G106)*(Y106-Z106)&gt;0,0.5*'Thể lệ'!$E$9,'Thể lệ'!$E$9)))</f>
        <v>0</v>
      </c>
      <c r="CE106" s="29"/>
      <c r="CF106" s="29">
        <f>if($F106=$G106,if(and($F106=$G106,AA106&lt;&gt;AB106),'Thể lệ'!$E$9,if($F106=AA106,0,0.5*'Thể lệ'!$E$9)),if(and($F106=AA106,$G106=AB106),"0",if(($F106-$G106)*(AA106-AB106)&gt;0,0.5*'Thể lệ'!$E$9,'Thể lệ'!$E$9)))</f>
        <v>0</v>
      </c>
      <c r="CG106" s="29"/>
      <c r="CH106" s="29">
        <f>if($F106=$G106,if(and($F106=$G106,AC106&lt;&gt;AD106),'Thể lệ'!$E$9,if($F106=AC106,0,0.5*'Thể lệ'!$E$9)),if(and($F106=AC106,$G106=AD106),"0",if(($F106-$G106)*(AC106-AD106)&gt;0,0.5*'Thể lệ'!$E$9,'Thể lệ'!$E$9)))</f>
        <v>0</v>
      </c>
      <c r="CI106" s="29"/>
      <c r="CJ106" s="29">
        <f>if($F106=$G106,if(and($F106=$G106,AE106&lt;&gt;AF106),'Thể lệ'!$E$9,if($F106=AE106,0,0.5*'Thể lệ'!$E$9)),if(and($F106=AE106,$G106=AF106),"0",if(($F106-$G106)*(AE106-AF106)&gt;0,0.5*'Thể lệ'!$E$9,'Thể lệ'!$E$9)))</f>
        <v>0</v>
      </c>
      <c r="CK106" s="29"/>
      <c r="CL106" s="29">
        <f>if($F106=$G106,if(and($F106=$G106,AG106&lt;&gt;AH106),'Thể lệ'!$E$9,if($F106=AG106,0,0.5*'Thể lệ'!$E$9)),if(and($F106=AG106,$G106=AH106),"0",if(($F106-$G106)*(AG106-AH106)&gt;0,0.5*'Thể lệ'!$E$9,'Thể lệ'!$E$9)))</f>
        <v>0</v>
      </c>
      <c r="CM106" s="29"/>
      <c r="CN106" s="29">
        <f>if($F106=$G106,if(and($F106=$G106,AI106&lt;&gt;AJ106),'Thể lệ'!$E$9,if($F106=AI106,0,0.5*'Thể lệ'!$E$9)),if(and($F106=AI106,$G106=AJ106),"0",if(($F106-$G106)*(AI106-AJ106)&gt;0,0.5*'Thể lệ'!$E$9,'Thể lệ'!$E$9)))</f>
        <v>0</v>
      </c>
      <c r="CO106" s="29"/>
      <c r="CP106" s="29">
        <f>if($F106=$G106,if(and($F106=$G106,AK106&lt;&gt;AL106),'Thể lệ'!$E$9,if($F106=AK106,0,0.5*'Thể lệ'!$E$9)),if(and($F106=AK106,$G106=AL106),"0",if(($F106-$G106)*(AK106-AL106)&gt;0,0.5*'Thể lệ'!$E$9,'Thể lệ'!$E$9)))</f>
        <v>0</v>
      </c>
      <c r="CQ106" s="29"/>
      <c r="CR106" s="29">
        <f>if($F106=$G106,if(and($F106=$G106,AM106&lt;&gt;AN106),'Thể lệ'!$E$9,if($F106=AM106,0,0.5*'Thể lệ'!$E$9)),if(and($F106=AM106,$G106=AN106),"0",if(($F106-$G106)*(AM106-AN106)&gt;0,0.5*'Thể lệ'!$E$9,'Thể lệ'!$E$9)))</f>
        <v>0</v>
      </c>
      <c r="CS106" s="29"/>
      <c r="CT106" s="29">
        <f>if($F106=$G106,if(and($F106=$G106,AO106&lt;&gt;AP106),'Thể lệ'!$E$9,if($F106=AO106,0,0.5*'Thể lệ'!$E$9)),if(and($F106=AO106,$G106=AP106),"0",if(($F106-$G106)*(AO106-AP106)&gt;0,0.5*'Thể lệ'!$E$9,'Thể lệ'!$E$9)))</f>
        <v>0</v>
      </c>
      <c r="CU106" s="29"/>
      <c r="CV106" s="29">
        <f>if($F106=$G106,if(and($F106=$G106,AQ106&lt;&gt;AR106),'Thể lệ'!$E$9,if($F106=AQ106,0,0.5*'Thể lệ'!$E$9)),if(and($F106=AQ106,$G106=AR106),"0",if(($F106-$G106)*(AQ106-AR106)&gt;0,0.5*'Thể lệ'!$E$9,'Thể lệ'!$E$9)))</f>
        <v>0</v>
      </c>
      <c r="CW106" s="29"/>
      <c r="CX106" s="29">
        <f>if($F106=$G106,if(and($F106=$G106,AS106&lt;&gt;AT106),'Thể lệ'!$E$9,if($F106=AS106,0,0.5*'Thể lệ'!$E$9)),if(and($F106=AS106,$G106=AT106),"0",if(($F106-$G106)*(AS106-AT106)&gt;0,0.5*'Thể lệ'!$E$9,'Thể lệ'!$E$9)))</f>
        <v>0</v>
      </c>
      <c r="CY106" s="29"/>
      <c r="CZ106" s="29">
        <f>if($F106=$G106,if(and($F106=$G106,AU106&lt;&gt;AV106),'Thể lệ'!$E$9,if($F106=AU106,0,0.5*'Thể lệ'!$E$9)),if(and($F106=AU106,$G106=AV106),"0",if(($F106-$G106)*(AU106-AV106)&gt;0,0.5*'Thể lệ'!$E$9,'Thể lệ'!$E$9)))</f>
        <v>0</v>
      </c>
      <c r="DA106" s="29"/>
      <c r="DB106" s="29">
        <f>if($F106=$G106,if(and($F106=$G106,AW106&lt;&gt;AX106),'Thể lệ'!$E$9,if($F106=AW106,0,0.5*'Thể lệ'!$E$9)),if(and($F106=AW106,$G106=AX106),"0",if(($F106-$G106)*(AW106-AX106)&gt;0,0.5*'Thể lệ'!$E$9,'Thể lệ'!$E$9)))</f>
        <v>0</v>
      </c>
      <c r="DC106" s="69"/>
      <c r="DD106" s="29">
        <f>if($F106=$G106,if(and($F106=$G106,AY106&lt;&gt;AZ106),'Thể lệ'!$E$9,if($F106=AY106,0,0.5*'Thể lệ'!$E$9)),if(and($F106=AY106,$G106=AZ106),"0",if(($F106-$G106)*(AY106-AZ106)&gt;0,0.5*'Thể lệ'!$E$9,'Thể lệ'!$E$9)))</f>
        <v>0</v>
      </c>
      <c r="DE106" s="69"/>
      <c r="DF106" s="29">
        <f>if($F106=$G106,if(and($F106=$G106,BA106&lt;&gt;BB106),'Thể lệ'!$E$9,if($F106=BA106,0,0.5*'Thể lệ'!$E$9)),if(and($F106=BA106,$G106=BB106),"0",if(($F106-$G106)*(BA106-BB106)&gt;0,0.5*'Thể lệ'!$E$9,'Thể lệ'!$E$9)))</f>
        <v>0</v>
      </c>
      <c r="DG106" s="69"/>
      <c r="DH106" s="29">
        <f>if($F106=$G106,if(and($F106=$G106,BC106&lt;&gt;BD106),'Thể lệ'!$E$9,if($F106=BC106,0,0.5*'Thể lệ'!$E$9)),if(and($F106=BC106,$G106=BD106),"0",if(($F106-$G106)*(BC106-BD106)&gt;0,0.5*'Thể lệ'!$E$9,'Thể lệ'!$E$9)))</f>
        <v>0</v>
      </c>
      <c r="DI106" s="69"/>
      <c r="DJ106" s="29">
        <f>if($F106=$G106,if(and($F106=$G106,BE106&lt;&gt;BF106),'Thể lệ'!$E$9,if($F106=BE106,0,0.5*'Thể lệ'!$E$9)),if(and($F106=BE106,$G106=BF106),"0",if(($F106-$G106)*(BE106-BF106)&gt;0,0.5*'Thể lệ'!$E$9,'Thể lệ'!$E$9)))</f>
        <v>0</v>
      </c>
      <c r="DK106" s="69"/>
      <c r="DL106" s="29">
        <f>if($F106=$G106,if(and($F106=$G106,BG106&lt;&gt;BH106),'Thể lệ'!$E$9,if($F106=BG106,0,0.5*'Thể lệ'!$E$9)),if(and($F106=BG106,$G106=BH106),"0",if(($F106-$G106)*(BG106-BH106)&gt;0,0.5*'Thể lệ'!$E$9,'Thể lệ'!$E$9)))</f>
        <v>0</v>
      </c>
      <c r="DM106" s="69"/>
      <c r="DN106" s="72">
        <f>if($F106=$G106,if(and($F106=$G106,BI106&lt;&gt;BJ106),'Thể lệ'!$E$9,if($F106=BI106,0,0.5*'Thể lệ'!$E$9)),if(and($F106=BI106,$G106=BJ106),"0",if(($F106-$G106)*(BI106-BJ106)&gt;0,0.5*'Thể lệ'!$E$9,'Thể lệ'!$E$9)))</f>
        <v>12500</v>
      </c>
      <c r="DO106" s="69"/>
      <c r="DP106" s="69"/>
    </row>
    <row r="107">
      <c r="A107" s="63"/>
      <c r="B107" s="71">
        <v>98.0</v>
      </c>
      <c r="C107" s="64">
        <v>46214.08333333333</v>
      </c>
      <c r="D107" s="65">
        <v>46214.08333333333</v>
      </c>
      <c r="E107" s="55" t="s">
        <v>81</v>
      </c>
      <c r="F107" s="23"/>
      <c r="G107" s="23"/>
      <c r="H107" s="55" t="s">
        <v>81</v>
      </c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67"/>
      <c r="BF107" s="23"/>
      <c r="BG107" s="23"/>
      <c r="BH107" s="23"/>
      <c r="BI107" s="37">
        <f>H.Son!H107</f>
        <v>1</v>
      </c>
      <c r="BJ107" s="37">
        <f>H.Son!I107</f>
        <v>1</v>
      </c>
      <c r="BK107" s="23"/>
      <c r="BL107" s="23"/>
      <c r="BM107" s="68"/>
      <c r="BN107" s="29">
        <f>if($F107=$G107,if(and($F107=$G107,I107&lt;&gt;J107),'Thể lệ'!$E$9,if($F107=I107,0,0.5*'Thể lệ'!$E$9)),if(and($F107=I107,$G107=J107),"0",if(($F107-$G107)*(I107-J107)&gt;0,0.5*'Thể lệ'!$E$9,'Thể lệ'!$E$9)))</f>
        <v>0</v>
      </c>
      <c r="BO107" s="29"/>
      <c r="BP107" s="29">
        <f>if($F107=$G107,if(and($F107=$G107,K107&lt;&gt;L107),'Thể lệ'!$E$9,if($F107=K107,0,0.5*'Thể lệ'!$E$9)),if(and($F107=K107,$G107=L107),"0",if(($F107-$G107)*(K107-L107)&gt;0,0.5*'Thể lệ'!$E$9,'Thể lệ'!$E$9)))</f>
        <v>0</v>
      </c>
      <c r="BQ107" s="29"/>
      <c r="BR107" s="29">
        <f>if($F107=$G107,if(and($F107=$G107,M107&lt;&gt;N107),'Thể lệ'!$E$9,if($F107=M107,0,0.5*'Thể lệ'!$E$9)),if(and($F107=M107,$G107=N107),"0",if(($F107-$G107)*(M107-N107)&gt;0,0.5*'Thể lệ'!$E$9,'Thể lệ'!$E$9)))</f>
        <v>0</v>
      </c>
      <c r="BS107" s="29"/>
      <c r="BT107" s="29">
        <f>if($F107=$G107,if(and($F107=$G107,O107&lt;&gt;P107),'Thể lệ'!$E$9,if($F107=O107,0,0.5*'Thể lệ'!$E$9)),if(and($F107=O107,$G107=P107),"0",if(($F107-$G107)*(O107-P107)&gt;0,0.5*'Thể lệ'!$E$9,'Thể lệ'!$E$9)))</f>
        <v>0</v>
      </c>
      <c r="BU107" s="29"/>
      <c r="BV107" s="29">
        <f>if($F107=$G107,if(and($F107=$G107,Q107&lt;&gt;R107),'Thể lệ'!$E$9,if($F107=Q107,0,0.5*'Thể lệ'!$E$9)),if(and($F107=Q107,$G107=R107),"0",if(($F107-$G107)*(Q107-R107)&gt;0,0.5*'Thể lệ'!$E$9,'Thể lệ'!$E$9)))</f>
        <v>0</v>
      </c>
      <c r="BW107" s="29"/>
      <c r="BX107" s="29">
        <f>if($F107=$G107,if(and($F107=$G107,S107&lt;&gt;T107),'Thể lệ'!$E$9,if($F107=S107,0,0.5*'Thể lệ'!$E$9)),if(and($F107=S107,$G107=T107),"0",if(($F107-$G107)*(S107-T107)&gt;0,0.5*'Thể lệ'!$E$9,'Thể lệ'!$E$9)))</f>
        <v>0</v>
      </c>
      <c r="BY107" s="29"/>
      <c r="BZ107" s="29">
        <f>if($F107=$G107,if(and($F107=$G107,U107&lt;&gt;V107),'Thể lệ'!$E$9,if($F107=U107,0,0.5*'Thể lệ'!$E$9)),if(and($F107=U107,$G107=V107),"0",if(($F107-$G107)*(U107-V107)&gt;0,0.5*'Thể lệ'!$E$9,'Thể lệ'!$E$9)))</f>
        <v>0</v>
      </c>
      <c r="CA107" s="29"/>
      <c r="CB107" s="29">
        <f>if($F107=$G107,if(and($F107=$G107,W107&lt;&gt;X107),'Thể lệ'!$E$9,if($F107=W107,0,0.5*'Thể lệ'!$E$9)),if(and($F107=W107,$G107=X107),"0",if(($F107-$G107)*(W107-X107)&gt;0,0.5*'Thể lệ'!$E$9,'Thể lệ'!$E$9)))</f>
        <v>0</v>
      </c>
      <c r="CC107" s="29"/>
      <c r="CD107" s="29">
        <f>if($F107=$G107,if(and($F107=$G107,Y107&lt;&gt;Z107),'Thể lệ'!$E$9,if($F107=Y107,0,0.5*'Thể lệ'!$E$9)),if(and($F107=Y107,$G107=Z107),"0",if(($F107-$G107)*(Y107-Z107)&gt;0,0.5*'Thể lệ'!$E$9,'Thể lệ'!$E$9)))</f>
        <v>0</v>
      </c>
      <c r="CE107" s="29"/>
      <c r="CF107" s="29">
        <f>if($F107=$G107,if(and($F107=$G107,AA107&lt;&gt;AB107),'Thể lệ'!$E$9,if($F107=AA107,0,0.5*'Thể lệ'!$E$9)),if(and($F107=AA107,$G107=AB107),"0",if(($F107-$G107)*(AA107-AB107)&gt;0,0.5*'Thể lệ'!$E$9,'Thể lệ'!$E$9)))</f>
        <v>0</v>
      </c>
      <c r="CG107" s="29"/>
      <c r="CH107" s="29">
        <f>if($F107=$G107,if(and($F107=$G107,AC107&lt;&gt;AD107),'Thể lệ'!$E$9,if($F107=AC107,0,0.5*'Thể lệ'!$E$9)),if(and($F107=AC107,$G107=AD107),"0",if(($F107-$G107)*(AC107-AD107)&gt;0,0.5*'Thể lệ'!$E$9,'Thể lệ'!$E$9)))</f>
        <v>0</v>
      </c>
      <c r="CI107" s="29"/>
      <c r="CJ107" s="29">
        <f>if($F107=$G107,if(and($F107=$G107,AE107&lt;&gt;AF107),'Thể lệ'!$E$9,if($F107=AE107,0,0.5*'Thể lệ'!$E$9)),if(and($F107=AE107,$G107=AF107),"0",if(($F107-$G107)*(AE107-AF107)&gt;0,0.5*'Thể lệ'!$E$9,'Thể lệ'!$E$9)))</f>
        <v>0</v>
      </c>
      <c r="CK107" s="29"/>
      <c r="CL107" s="29">
        <f>if($F107=$G107,if(and($F107=$G107,AG107&lt;&gt;AH107),'Thể lệ'!$E$9,if($F107=AG107,0,0.5*'Thể lệ'!$E$9)),if(and($F107=AG107,$G107=AH107),"0",if(($F107-$G107)*(AG107-AH107)&gt;0,0.5*'Thể lệ'!$E$9,'Thể lệ'!$E$9)))</f>
        <v>0</v>
      </c>
      <c r="CM107" s="29"/>
      <c r="CN107" s="29">
        <f>if($F107=$G107,if(and($F107=$G107,AI107&lt;&gt;AJ107),'Thể lệ'!$E$9,if($F107=AI107,0,0.5*'Thể lệ'!$E$9)),if(and($F107=AI107,$G107=AJ107),"0",if(($F107-$G107)*(AI107-AJ107)&gt;0,0.5*'Thể lệ'!$E$9,'Thể lệ'!$E$9)))</f>
        <v>0</v>
      </c>
      <c r="CO107" s="29"/>
      <c r="CP107" s="29">
        <f>if($F107=$G107,if(and($F107=$G107,AK107&lt;&gt;AL107),'Thể lệ'!$E$9,if($F107=AK107,0,0.5*'Thể lệ'!$E$9)),if(and($F107=AK107,$G107=AL107),"0",if(($F107-$G107)*(AK107-AL107)&gt;0,0.5*'Thể lệ'!$E$9,'Thể lệ'!$E$9)))</f>
        <v>0</v>
      </c>
      <c r="CQ107" s="29"/>
      <c r="CR107" s="29">
        <f>if($F107=$G107,if(and($F107=$G107,AM107&lt;&gt;AN107),'Thể lệ'!$E$9,if($F107=AM107,0,0.5*'Thể lệ'!$E$9)),if(and($F107=AM107,$G107=AN107),"0",if(($F107-$G107)*(AM107-AN107)&gt;0,0.5*'Thể lệ'!$E$9,'Thể lệ'!$E$9)))</f>
        <v>0</v>
      </c>
      <c r="CS107" s="29"/>
      <c r="CT107" s="29">
        <f>if($F107=$G107,if(and($F107=$G107,AO107&lt;&gt;AP107),'Thể lệ'!$E$9,if($F107=AO107,0,0.5*'Thể lệ'!$E$9)),if(and($F107=AO107,$G107=AP107),"0",if(($F107-$G107)*(AO107-AP107)&gt;0,0.5*'Thể lệ'!$E$9,'Thể lệ'!$E$9)))</f>
        <v>0</v>
      </c>
      <c r="CU107" s="29"/>
      <c r="CV107" s="29">
        <f>if($F107=$G107,if(and($F107=$G107,AQ107&lt;&gt;AR107),'Thể lệ'!$E$9,if($F107=AQ107,0,0.5*'Thể lệ'!$E$9)),if(and($F107=AQ107,$G107=AR107),"0",if(($F107-$G107)*(AQ107-AR107)&gt;0,0.5*'Thể lệ'!$E$9,'Thể lệ'!$E$9)))</f>
        <v>0</v>
      </c>
      <c r="CW107" s="29"/>
      <c r="CX107" s="29">
        <f>if($F107=$G107,if(and($F107=$G107,AS107&lt;&gt;AT107),'Thể lệ'!$E$9,if($F107=AS107,0,0.5*'Thể lệ'!$E$9)),if(and($F107=AS107,$G107=AT107),"0",if(($F107-$G107)*(AS107-AT107)&gt;0,0.5*'Thể lệ'!$E$9,'Thể lệ'!$E$9)))</f>
        <v>0</v>
      </c>
      <c r="CY107" s="29"/>
      <c r="CZ107" s="29">
        <f>if($F107=$G107,if(and($F107=$G107,AU107&lt;&gt;AV107),'Thể lệ'!$E$9,if($F107=AU107,0,0.5*'Thể lệ'!$E$9)),if(and($F107=AU107,$G107=AV107),"0",if(($F107-$G107)*(AU107-AV107)&gt;0,0.5*'Thể lệ'!$E$9,'Thể lệ'!$E$9)))</f>
        <v>0</v>
      </c>
      <c r="DA107" s="29"/>
      <c r="DB107" s="29">
        <f>if($F107=$G107,if(and($F107=$G107,AW107&lt;&gt;AX107),'Thể lệ'!$E$9,if($F107=AW107,0,0.5*'Thể lệ'!$E$9)),if(and($F107=AW107,$G107=AX107),"0",if(($F107-$G107)*(AW107-AX107)&gt;0,0.5*'Thể lệ'!$E$9,'Thể lệ'!$E$9)))</f>
        <v>0</v>
      </c>
      <c r="DC107" s="69"/>
      <c r="DD107" s="29">
        <f>if($F107=$G107,if(and($F107=$G107,AY107&lt;&gt;AZ107),'Thể lệ'!$E$9,if($F107=AY107,0,0.5*'Thể lệ'!$E$9)),if(and($F107=AY107,$G107=AZ107),"0",if(($F107-$G107)*(AY107-AZ107)&gt;0,0.5*'Thể lệ'!$E$9,'Thể lệ'!$E$9)))</f>
        <v>0</v>
      </c>
      <c r="DE107" s="69"/>
      <c r="DF107" s="29">
        <f>if($F107=$G107,if(and($F107=$G107,BA107&lt;&gt;BB107),'Thể lệ'!$E$9,if($F107=BA107,0,0.5*'Thể lệ'!$E$9)),if(and($F107=BA107,$G107=BB107),"0",if(($F107-$G107)*(BA107-BB107)&gt;0,0.5*'Thể lệ'!$E$9,'Thể lệ'!$E$9)))</f>
        <v>0</v>
      </c>
      <c r="DG107" s="69"/>
      <c r="DH107" s="29">
        <f>if($F107=$G107,if(and($F107=$G107,BC107&lt;&gt;BD107),'Thể lệ'!$E$9,if($F107=BC107,0,0.5*'Thể lệ'!$E$9)),if(and($F107=BC107,$G107=BD107),"0",if(($F107-$G107)*(BC107-BD107)&gt;0,0.5*'Thể lệ'!$E$9,'Thể lệ'!$E$9)))</f>
        <v>0</v>
      </c>
      <c r="DI107" s="69"/>
      <c r="DJ107" s="29">
        <f>if($F107=$G107,if(and($F107=$G107,BE107&lt;&gt;BF107),'Thể lệ'!$E$9,if($F107=BE107,0,0.5*'Thể lệ'!$E$9)),if(and($F107=BE107,$G107=BF107),"0",if(($F107-$G107)*(BE107-BF107)&gt;0,0.5*'Thể lệ'!$E$9,'Thể lệ'!$E$9)))</f>
        <v>0</v>
      </c>
      <c r="DK107" s="69"/>
      <c r="DL107" s="29">
        <f>if($F107=$G107,if(and($F107=$G107,BG107&lt;&gt;BH107),'Thể lệ'!$E$9,if($F107=BG107,0,0.5*'Thể lệ'!$E$9)),if(and($F107=BG107,$G107=BH107),"0",if(($F107-$G107)*(BG107-BH107)&gt;0,0.5*'Thể lệ'!$E$9,'Thể lệ'!$E$9)))</f>
        <v>0</v>
      </c>
      <c r="DM107" s="69"/>
      <c r="DN107" s="72">
        <f>if($F107=$G107,if(and($F107=$G107,BI107&lt;&gt;BJ107),'Thể lệ'!$E$9,if($F107=BI107,0,0.5*'Thể lệ'!$E$9)),if(and($F107=BI107,$G107=BJ107),"0",if(($F107-$G107)*(BI107-BJ107)&gt;0,0.5*'Thể lệ'!$E$9,'Thể lệ'!$E$9)))</f>
        <v>12500</v>
      </c>
      <c r="DO107" s="69"/>
      <c r="DP107" s="69"/>
    </row>
    <row r="108">
      <c r="A108" s="63"/>
      <c r="B108" s="71">
        <v>99.0</v>
      </c>
      <c r="C108" s="64">
        <v>46215.166666666664</v>
      </c>
      <c r="D108" s="65">
        <v>46215.166666666664</v>
      </c>
      <c r="E108" s="55" t="s">
        <v>81</v>
      </c>
      <c r="F108" s="23"/>
      <c r="G108" s="23"/>
      <c r="H108" s="55" t="s">
        <v>81</v>
      </c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67"/>
      <c r="BF108" s="23"/>
      <c r="BG108" s="23"/>
      <c r="BH108" s="23"/>
      <c r="BI108" s="37">
        <f>H.Son!H108</f>
        <v>1</v>
      </c>
      <c r="BJ108" s="37">
        <f>H.Son!I108</f>
        <v>1</v>
      </c>
      <c r="BK108" s="23"/>
      <c r="BL108" s="23"/>
      <c r="BM108" s="68"/>
      <c r="BN108" s="29">
        <f>if($F108=$G108,if(and($F108=$G108,I108&lt;&gt;J108),'Thể lệ'!$E$9,if($F108=I108,0,0.5*'Thể lệ'!$E$9)),if(and($F108=I108,$G108=J108),"0",if(($F108-$G108)*(I108-J108)&gt;0,0.5*'Thể lệ'!$E$9,'Thể lệ'!$E$9)))</f>
        <v>0</v>
      </c>
      <c r="BO108" s="29"/>
      <c r="BP108" s="29">
        <f>if($F108=$G108,if(and($F108=$G108,K108&lt;&gt;L108),'Thể lệ'!$E$9,if($F108=K108,0,0.5*'Thể lệ'!$E$9)),if(and($F108=K108,$G108=L108),"0",if(($F108-$G108)*(K108-L108)&gt;0,0.5*'Thể lệ'!$E$9,'Thể lệ'!$E$9)))</f>
        <v>0</v>
      </c>
      <c r="BQ108" s="29"/>
      <c r="BR108" s="29">
        <f>if($F108=$G108,if(and($F108=$G108,M108&lt;&gt;N108),'Thể lệ'!$E$9,if($F108=M108,0,0.5*'Thể lệ'!$E$9)),if(and($F108=M108,$G108=N108),"0",if(($F108-$G108)*(M108-N108)&gt;0,0.5*'Thể lệ'!$E$9,'Thể lệ'!$E$9)))</f>
        <v>0</v>
      </c>
      <c r="BS108" s="29"/>
      <c r="BT108" s="29">
        <f>if($F108=$G108,if(and($F108=$G108,O108&lt;&gt;P108),'Thể lệ'!$E$9,if($F108=O108,0,0.5*'Thể lệ'!$E$9)),if(and($F108=O108,$G108=P108),"0",if(($F108-$G108)*(O108-P108)&gt;0,0.5*'Thể lệ'!$E$9,'Thể lệ'!$E$9)))</f>
        <v>0</v>
      </c>
      <c r="BU108" s="29"/>
      <c r="BV108" s="29">
        <f>if($F108=$G108,if(and($F108=$G108,Q108&lt;&gt;R108),'Thể lệ'!$E$9,if($F108=Q108,0,0.5*'Thể lệ'!$E$9)),if(and($F108=Q108,$G108=R108),"0",if(($F108-$G108)*(Q108-R108)&gt;0,0.5*'Thể lệ'!$E$9,'Thể lệ'!$E$9)))</f>
        <v>0</v>
      </c>
      <c r="BW108" s="29"/>
      <c r="BX108" s="29">
        <f>if($F108=$G108,if(and($F108=$G108,S108&lt;&gt;T108),'Thể lệ'!$E$9,if($F108=S108,0,0.5*'Thể lệ'!$E$9)),if(and($F108=S108,$G108=T108),"0",if(($F108-$G108)*(S108-T108)&gt;0,0.5*'Thể lệ'!$E$9,'Thể lệ'!$E$9)))</f>
        <v>0</v>
      </c>
      <c r="BY108" s="29"/>
      <c r="BZ108" s="29">
        <f>if($F108=$G108,if(and($F108=$G108,U108&lt;&gt;V108),'Thể lệ'!$E$9,if($F108=U108,0,0.5*'Thể lệ'!$E$9)),if(and($F108=U108,$G108=V108),"0",if(($F108-$G108)*(U108-V108)&gt;0,0.5*'Thể lệ'!$E$9,'Thể lệ'!$E$9)))</f>
        <v>0</v>
      </c>
      <c r="CA108" s="29"/>
      <c r="CB108" s="29">
        <f>if($F108=$G108,if(and($F108=$G108,W108&lt;&gt;X108),'Thể lệ'!$E$9,if($F108=W108,0,0.5*'Thể lệ'!$E$9)),if(and($F108=W108,$G108=X108),"0",if(($F108-$G108)*(W108-X108)&gt;0,0.5*'Thể lệ'!$E$9,'Thể lệ'!$E$9)))</f>
        <v>0</v>
      </c>
      <c r="CC108" s="29"/>
      <c r="CD108" s="29">
        <f>if($F108=$G108,if(and($F108=$G108,Y108&lt;&gt;Z108),'Thể lệ'!$E$9,if($F108=Y108,0,0.5*'Thể lệ'!$E$9)),if(and($F108=Y108,$G108=Z108),"0",if(($F108-$G108)*(Y108-Z108)&gt;0,0.5*'Thể lệ'!$E$9,'Thể lệ'!$E$9)))</f>
        <v>0</v>
      </c>
      <c r="CE108" s="29"/>
      <c r="CF108" s="29">
        <f>if($F108=$G108,if(and($F108=$G108,AA108&lt;&gt;AB108),'Thể lệ'!$E$9,if($F108=AA108,0,0.5*'Thể lệ'!$E$9)),if(and($F108=AA108,$G108=AB108),"0",if(($F108-$G108)*(AA108-AB108)&gt;0,0.5*'Thể lệ'!$E$9,'Thể lệ'!$E$9)))</f>
        <v>0</v>
      </c>
      <c r="CG108" s="29"/>
      <c r="CH108" s="29">
        <f>if($F108=$G108,if(and($F108=$G108,AC108&lt;&gt;AD108),'Thể lệ'!$E$9,if($F108=AC108,0,0.5*'Thể lệ'!$E$9)),if(and($F108=AC108,$G108=AD108),"0",if(($F108-$G108)*(AC108-AD108)&gt;0,0.5*'Thể lệ'!$E$9,'Thể lệ'!$E$9)))</f>
        <v>0</v>
      </c>
      <c r="CI108" s="29"/>
      <c r="CJ108" s="29">
        <f>if($F108=$G108,if(and($F108=$G108,AE108&lt;&gt;AF108),'Thể lệ'!$E$9,if($F108=AE108,0,0.5*'Thể lệ'!$E$9)),if(and($F108=AE108,$G108=AF108),"0",if(($F108-$G108)*(AE108-AF108)&gt;0,0.5*'Thể lệ'!$E$9,'Thể lệ'!$E$9)))</f>
        <v>0</v>
      </c>
      <c r="CK108" s="29"/>
      <c r="CL108" s="29">
        <f>if($F108=$G108,if(and($F108=$G108,AG108&lt;&gt;AH108),'Thể lệ'!$E$9,if($F108=AG108,0,0.5*'Thể lệ'!$E$9)),if(and($F108=AG108,$G108=AH108),"0",if(($F108-$G108)*(AG108-AH108)&gt;0,0.5*'Thể lệ'!$E$9,'Thể lệ'!$E$9)))</f>
        <v>0</v>
      </c>
      <c r="CM108" s="29"/>
      <c r="CN108" s="29">
        <f>if($F108=$G108,if(and($F108=$G108,AI108&lt;&gt;AJ108),'Thể lệ'!$E$9,if($F108=AI108,0,0.5*'Thể lệ'!$E$9)),if(and($F108=AI108,$G108=AJ108),"0",if(($F108-$G108)*(AI108-AJ108)&gt;0,0.5*'Thể lệ'!$E$9,'Thể lệ'!$E$9)))</f>
        <v>0</v>
      </c>
      <c r="CO108" s="29"/>
      <c r="CP108" s="29">
        <f>if($F108=$G108,if(and($F108=$G108,AK108&lt;&gt;AL108),'Thể lệ'!$E$9,if($F108=AK108,0,0.5*'Thể lệ'!$E$9)),if(and($F108=AK108,$G108=AL108),"0",if(($F108-$G108)*(AK108-AL108)&gt;0,0.5*'Thể lệ'!$E$9,'Thể lệ'!$E$9)))</f>
        <v>0</v>
      </c>
      <c r="CQ108" s="29"/>
      <c r="CR108" s="29">
        <f>if($F108=$G108,if(and($F108=$G108,AM108&lt;&gt;AN108),'Thể lệ'!$E$9,if($F108=AM108,0,0.5*'Thể lệ'!$E$9)),if(and($F108=AM108,$G108=AN108),"0",if(($F108-$G108)*(AM108-AN108)&gt;0,0.5*'Thể lệ'!$E$9,'Thể lệ'!$E$9)))</f>
        <v>0</v>
      </c>
      <c r="CS108" s="29"/>
      <c r="CT108" s="29">
        <f>if($F108=$G108,if(and($F108=$G108,AO108&lt;&gt;AP108),'Thể lệ'!$E$9,if($F108=AO108,0,0.5*'Thể lệ'!$E$9)),if(and($F108=AO108,$G108=AP108),"0",if(($F108-$G108)*(AO108-AP108)&gt;0,0.5*'Thể lệ'!$E$9,'Thể lệ'!$E$9)))</f>
        <v>0</v>
      </c>
      <c r="CU108" s="29"/>
      <c r="CV108" s="29">
        <f>if($F108=$G108,if(and($F108=$G108,AQ108&lt;&gt;AR108),'Thể lệ'!$E$9,if($F108=AQ108,0,0.5*'Thể lệ'!$E$9)),if(and($F108=AQ108,$G108=AR108),"0",if(($F108-$G108)*(AQ108-AR108)&gt;0,0.5*'Thể lệ'!$E$9,'Thể lệ'!$E$9)))</f>
        <v>0</v>
      </c>
      <c r="CW108" s="29"/>
      <c r="CX108" s="29">
        <f>if($F108=$G108,if(and($F108=$G108,AS108&lt;&gt;AT108),'Thể lệ'!$E$9,if($F108=AS108,0,0.5*'Thể lệ'!$E$9)),if(and($F108=AS108,$G108=AT108),"0",if(($F108-$G108)*(AS108-AT108)&gt;0,0.5*'Thể lệ'!$E$9,'Thể lệ'!$E$9)))</f>
        <v>0</v>
      </c>
      <c r="CY108" s="29"/>
      <c r="CZ108" s="29">
        <f>if($F108=$G108,if(and($F108=$G108,AU108&lt;&gt;AV108),'Thể lệ'!$E$9,if($F108=AU108,0,0.5*'Thể lệ'!$E$9)),if(and($F108=AU108,$G108=AV108),"0",if(($F108-$G108)*(AU108-AV108)&gt;0,0.5*'Thể lệ'!$E$9,'Thể lệ'!$E$9)))</f>
        <v>0</v>
      </c>
      <c r="DA108" s="29"/>
      <c r="DB108" s="29">
        <f>if($F108=$G108,if(and($F108=$G108,AW108&lt;&gt;AX108),'Thể lệ'!$E$9,if($F108=AW108,0,0.5*'Thể lệ'!$E$9)),if(and($F108=AW108,$G108=AX108),"0",if(($F108-$G108)*(AW108-AX108)&gt;0,0.5*'Thể lệ'!$E$9,'Thể lệ'!$E$9)))</f>
        <v>0</v>
      </c>
      <c r="DC108" s="69"/>
      <c r="DD108" s="29">
        <f>if($F108=$G108,if(and($F108=$G108,AY108&lt;&gt;AZ108),'Thể lệ'!$E$9,if($F108=AY108,0,0.5*'Thể lệ'!$E$9)),if(and($F108=AY108,$G108=AZ108),"0",if(($F108-$G108)*(AY108-AZ108)&gt;0,0.5*'Thể lệ'!$E$9,'Thể lệ'!$E$9)))</f>
        <v>0</v>
      </c>
      <c r="DE108" s="69"/>
      <c r="DF108" s="29">
        <f>if($F108=$G108,if(and($F108=$G108,BA108&lt;&gt;BB108),'Thể lệ'!$E$9,if($F108=BA108,0,0.5*'Thể lệ'!$E$9)),if(and($F108=BA108,$G108=BB108),"0",if(($F108-$G108)*(BA108-BB108)&gt;0,0.5*'Thể lệ'!$E$9,'Thể lệ'!$E$9)))</f>
        <v>0</v>
      </c>
      <c r="DG108" s="69"/>
      <c r="DH108" s="29">
        <f>if($F108=$G108,if(and($F108=$G108,BC108&lt;&gt;BD108),'Thể lệ'!$E$9,if($F108=BC108,0,0.5*'Thể lệ'!$E$9)),if(and($F108=BC108,$G108=BD108),"0",if(($F108-$G108)*(BC108-BD108)&gt;0,0.5*'Thể lệ'!$E$9,'Thể lệ'!$E$9)))</f>
        <v>0</v>
      </c>
      <c r="DI108" s="69"/>
      <c r="DJ108" s="29">
        <f>if($F108=$G108,if(and($F108=$G108,BE108&lt;&gt;BF108),'Thể lệ'!$E$9,if($F108=BE108,0,0.5*'Thể lệ'!$E$9)),if(and($F108=BE108,$G108=BF108),"0",if(($F108-$G108)*(BE108-BF108)&gt;0,0.5*'Thể lệ'!$E$9,'Thể lệ'!$E$9)))</f>
        <v>0</v>
      </c>
      <c r="DK108" s="69"/>
      <c r="DL108" s="29">
        <f>if($F108=$G108,if(and($F108=$G108,BG108&lt;&gt;BH108),'Thể lệ'!$E$9,if($F108=BG108,0,0.5*'Thể lệ'!$E$9)),if(and($F108=BG108,$G108=BH108),"0",if(($F108-$G108)*(BG108-BH108)&gt;0,0.5*'Thể lệ'!$E$9,'Thể lệ'!$E$9)))</f>
        <v>0</v>
      </c>
      <c r="DM108" s="69"/>
      <c r="DN108" s="72">
        <f>if($F108=$G108,if(and($F108=$G108,BI108&lt;&gt;BJ108),'Thể lệ'!$E$9,if($F108=BI108,0,0.5*'Thể lệ'!$E$9)),if(and($F108=BI108,$G108=BJ108),"0",if(($F108-$G108)*(BI108-BJ108)&gt;0,0.5*'Thể lệ'!$E$9,'Thể lệ'!$E$9)))</f>
        <v>12500</v>
      </c>
      <c r="DO108" s="69"/>
      <c r="DP108" s="69"/>
    </row>
    <row r="109">
      <c r="A109" s="63"/>
      <c r="B109" s="71">
        <v>100.0</v>
      </c>
      <c r="C109" s="64">
        <v>46215.33333333333</v>
      </c>
      <c r="D109" s="65">
        <v>46215.33333333333</v>
      </c>
      <c r="E109" s="55" t="s">
        <v>81</v>
      </c>
      <c r="F109" s="23"/>
      <c r="G109" s="23"/>
      <c r="H109" s="55" t="s">
        <v>81</v>
      </c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67"/>
      <c r="BF109" s="23"/>
      <c r="BG109" s="23"/>
      <c r="BH109" s="23"/>
      <c r="BI109" s="37">
        <f>H.Son!H109</f>
        <v>1</v>
      </c>
      <c r="BJ109" s="37">
        <f>H.Son!I109</f>
        <v>1</v>
      </c>
      <c r="BK109" s="23"/>
      <c r="BL109" s="23"/>
      <c r="BM109" s="68"/>
      <c r="BN109" s="29">
        <f>if($F109=$G109,if(and($F109=$G109,I109&lt;&gt;J109),'Thể lệ'!$E$9,if($F109=I109,0,0.5*'Thể lệ'!$E$9)),if(and($F109=I109,$G109=J109),"0",if(($F109-$G109)*(I109-J109)&gt;0,0.5*'Thể lệ'!$E$9,'Thể lệ'!$E$9)))</f>
        <v>0</v>
      </c>
      <c r="BO109" s="29"/>
      <c r="BP109" s="29">
        <f>if($F109=$G109,if(and($F109=$G109,K109&lt;&gt;L109),'Thể lệ'!$E$9,if($F109=K109,0,0.5*'Thể lệ'!$E$9)),if(and($F109=K109,$G109=L109),"0",if(($F109-$G109)*(K109-L109)&gt;0,0.5*'Thể lệ'!$E$9,'Thể lệ'!$E$9)))</f>
        <v>0</v>
      </c>
      <c r="BQ109" s="29"/>
      <c r="BR109" s="29">
        <f>if($F109=$G109,if(and($F109=$G109,M109&lt;&gt;N109),'Thể lệ'!$E$9,if($F109=M109,0,0.5*'Thể lệ'!$E$9)),if(and($F109=M109,$G109=N109),"0",if(($F109-$G109)*(M109-N109)&gt;0,0.5*'Thể lệ'!$E$9,'Thể lệ'!$E$9)))</f>
        <v>0</v>
      </c>
      <c r="BS109" s="29"/>
      <c r="BT109" s="29">
        <f>if($F109=$G109,if(and($F109=$G109,O109&lt;&gt;P109),'Thể lệ'!$E$9,if($F109=O109,0,0.5*'Thể lệ'!$E$9)),if(and($F109=O109,$G109=P109),"0",if(($F109-$G109)*(O109-P109)&gt;0,0.5*'Thể lệ'!$E$9,'Thể lệ'!$E$9)))</f>
        <v>0</v>
      </c>
      <c r="BU109" s="29"/>
      <c r="BV109" s="29">
        <f>if($F109=$G109,if(and($F109=$G109,Q109&lt;&gt;R109),'Thể lệ'!$E$9,if($F109=Q109,0,0.5*'Thể lệ'!$E$9)),if(and($F109=Q109,$G109=R109),"0",if(($F109-$G109)*(Q109-R109)&gt;0,0.5*'Thể lệ'!$E$9,'Thể lệ'!$E$9)))</f>
        <v>0</v>
      </c>
      <c r="BW109" s="29"/>
      <c r="BX109" s="29">
        <f>if($F109=$G109,if(and($F109=$G109,S109&lt;&gt;T109),'Thể lệ'!$E$9,if($F109=S109,0,0.5*'Thể lệ'!$E$9)),if(and($F109=S109,$G109=T109),"0",if(($F109-$G109)*(S109-T109)&gt;0,0.5*'Thể lệ'!$E$9,'Thể lệ'!$E$9)))</f>
        <v>0</v>
      </c>
      <c r="BY109" s="29"/>
      <c r="BZ109" s="29">
        <f>if($F109=$G109,if(and($F109=$G109,U109&lt;&gt;V109),'Thể lệ'!$E$9,if($F109=U109,0,0.5*'Thể lệ'!$E$9)),if(and($F109=U109,$G109=V109),"0",if(($F109-$G109)*(U109-V109)&gt;0,0.5*'Thể lệ'!$E$9,'Thể lệ'!$E$9)))</f>
        <v>0</v>
      </c>
      <c r="CA109" s="29"/>
      <c r="CB109" s="29">
        <f>if($F109=$G109,if(and($F109=$G109,W109&lt;&gt;X109),'Thể lệ'!$E$9,if($F109=W109,0,0.5*'Thể lệ'!$E$9)),if(and($F109=W109,$G109=X109),"0",if(($F109-$G109)*(W109-X109)&gt;0,0.5*'Thể lệ'!$E$9,'Thể lệ'!$E$9)))</f>
        <v>0</v>
      </c>
      <c r="CC109" s="29"/>
      <c r="CD109" s="29">
        <f>if($F109=$G109,if(and($F109=$G109,Y109&lt;&gt;Z109),'Thể lệ'!$E$9,if($F109=Y109,0,0.5*'Thể lệ'!$E$9)),if(and($F109=Y109,$G109=Z109),"0",if(($F109-$G109)*(Y109-Z109)&gt;0,0.5*'Thể lệ'!$E$9,'Thể lệ'!$E$9)))</f>
        <v>0</v>
      </c>
      <c r="CE109" s="29"/>
      <c r="CF109" s="29">
        <f>if($F109=$G109,if(and($F109=$G109,AA109&lt;&gt;AB109),'Thể lệ'!$E$9,if($F109=AA109,0,0.5*'Thể lệ'!$E$9)),if(and($F109=AA109,$G109=AB109),"0",if(($F109-$G109)*(AA109-AB109)&gt;0,0.5*'Thể lệ'!$E$9,'Thể lệ'!$E$9)))</f>
        <v>0</v>
      </c>
      <c r="CG109" s="29"/>
      <c r="CH109" s="29">
        <f>if($F109=$G109,if(and($F109=$G109,AC109&lt;&gt;AD109),'Thể lệ'!$E$9,if($F109=AC109,0,0.5*'Thể lệ'!$E$9)),if(and($F109=AC109,$G109=AD109),"0",if(($F109-$G109)*(AC109-AD109)&gt;0,0.5*'Thể lệ'!$E$9,'Thể lệ'!$E$9)))</f>
        <v>0</v>
      </c>
      <c r="CI109" s="29"/>
      <c r="CJ109" s="29">
        <f>if($F109=$G109,if(and($F109=$G109,AE109&lt;&gt;AF109),'Thể lệ'!$E$9,if($F109=AE109,0,0.5*'Thể lệ'!$E$9)),if(and($F109=AE109,$G109=AF109),"0",if(($F109-$G109)*(AE109-AF109)&gt;0,0.5*'Thể lệ'!$E$9,'Thể lệ'!$E$9)))</f>
        <v>0</v>
      </c>
      <c r="CK109" s="29"/>
      <c r="CL109" s="29">
        <f>if($F109=$G109,if(and($F109=$G109,AG109&lt;&gt;AH109),'Thể lệ'!$E$9,if($F109=AG109,0,0.5*'Thể lệ'!$E$9)),if(and($F109=AG109,$G109=AH109),"0",if(($F109-$G109)*(AG109-AH109)&gt;0,0.5*'Thể lệ'!$E$9,'Thể lệ'!$E$9)))</f>
        <v>0</v>
      </c>
      <c r="CM109" s="29"/>
      <c r="CN109" s="29">
        <f>if($F109=$G109,if(and($F109=$G109,AI109&lt;&gt;AJ109),'Thể lệ'!$E$9,if($F109=AI109,0,0.5*'Thể lệ'!$E$9)),if(and($F109=AI109,$G109=AJ109),"0",if(($F109-$G109)*(AI109-AJ109)&gt;0,0.5*'Thể lệ'!$E$9,'Thể lệ'!$E$9)))</f>
        <v>0</v>
      </c>
      <c r="CO109" s="29"/>
      <c r="CP109" s="29">
        <f>if($F109=$G109,if(and($F109=$G109,AK109&lt;&gt;AL109),'Thể lệ'!$E$9,if($F109=AK109,0,0.5*'Thể lệ'!$E$9)),if(and($F109=AK109,$G109=AL109),"0",if(($F109-$G109)*(AK109-AL109)&gt;0,0.5*'Thể lệ'!$E$9,'Thể lệ'!$E$9)))</f>
        <v>0</v>
      </c>
      <c r="CQ109" s="29"/>
      <c r="CR109" s="29">
        <f>if($F109=$G109,if(and($F109=$G109,AM109&lt;&gt;AN109),'Thể lệ'!$E$9,if($F109=AM109,0,0.5*'Thể lệ'!$E$9)),if(and($F109=AM109,$G109=AN109),"0",if(($F109-$G109)*(AM109-AN109)&gt;0,0.5*'Thể lệ'!$E$9,'Thể lệ'!$E$9)))</f>
        <v>0</v>
      </c>
      <c r="CS109" s="29"/>
      <c r="CT109" s="29">
        <f>if($F109=$G109,if(and($F109=$G109,AO109&lt;&gt;AP109),'Thể lệ'!$E$9,if($F109=AO109,0,0.5*'Thể lệ'!$E$9)),if(and($F109=AO109,$G109=AP109),"0",if(($F109-$G109)*(AO109-AP109)&gt;0,0.5*'Thể lệ'!$E$9,'Thể lệ'!$E$9)))</f>
        <v>0</v>
      </c>
      <c r="CU109" s="29"/>
      <c r="CV109" s="29">
        <f>if($F109=$G109,if(and($F109=$G109,AQ109&lt;&gt;AR109),'Thể lệ'!$E$9,if($F109=AQ109,0,0.5*'Thể lệ'!$E$9)),if(and($F109=AQ109,$G109=AR109),"0",if(($F109-$G109)*(AQ109-AR109)&gt;0,0.5*'Thể lệ'!$E$9,'Thể lệ'!$E$9)))</f>
        <v>0</v>
      </c>
      <c r="CW109" s="29"/>
      <c r="CX109" s="29">
        <f>if($F109=$G109,if(and($F109=$G109,AS109&lt;&gt;AT109),'Thể lệ'!$E$9,if($F109=AS109,0,0.5*'Thể lệ'!$E$9)),if(and($F109=AS109,$G109=AT109),"0",if(($F109-$G109)*(AS109-AT109)&gt;0,0.5*'Thể lệ'!$E$9,'Thể lệ'!$E$9)))</f>
        <v>0</v>
      </c>
      <c r="CY109" s="29"/>
      <c r="CZ109" s="29">
        <f>if($F109=$G109,if(and($F109=$G109,AU109&lt;&gt;AV109),'Thể lệ'!$E$9,if($F109=AU109,0,0.5*'Thể lệ'!$E$9)),if(and($F109=AU109,$G109=AV109),"0",if(($F109-$G109)*(AU109-AV109)&gt;0,0.5*'Thể lệ'!$E$9,'Thể lệ'!$E$9)))</f>
        <v>0</v>
      </c>
      <c r="DA109" s="29"/>
      <c r="DB109" s="29">
        <f>if($F109=$G109,if(and($F109=$G109,AW109&lt;&gt;AX109),'Thể lệ'!$E$9,if($F109=AW109,0,0.5*'Thể lệ'!$E$9)),if(and($F109=AW109,$G109=AX109),"0",if(($F109-$G109)*(AW109-AX109)&gt;0,0.5*'Thể lệ'!$E$9,'Thể lệ'!$E$9)))</f>
        <v>0</v>
      </c>
      <c r="DC109" s="69"/>
      <c r="DD109" s="29">
        <f>if($F109=$G109,if(and($F109=$G109,AY109&lt;&gt;AZ109),'Thể lệ'!$E$9,if($F109=AY109,0,0.5*'Thể lệ'!$E$9)),if(and($F109=AY109,$G109=AZ109),"0",if(($F109-$G109)*(AY109-AZ109)&gt;0,0.5*'Thể lệ'!$E$9,'Thể lệ'!$E$9)))</f>
        <v>0</v>
      </c>
      <c r="DE109" s="69"/>
      <c r="DF109" s="29">
        <f>if($F109=$G109,if(and($F109=$G109,BA109&lt;&gt;BB109),'Thể lệ'!$E$9,if($F109=BA109,0,0.5*'Thể lệ'!$E$9)),if(and($F109=BA109,$G109=BB109),"0",if(($F109-$G109)*(BA109-BB109)&gt;0,0.5*'Thể lệ'!$E$9,'Thể lệ'!$E$9)))</f>
        <v>0</v>
      </c>
      <c r="DG109" s="69"/>
      <c r="DH109" s="29">
        <f>if($F109=$G109,if(and($F109=$G109,BC109&lt;&gt;BD109),'Thể lệ'!$E$9,if($F109=BC109,0,0.5*'Thể lệ'!$E$9)),if(and($F109=BC109,$G109=BD109),"0",if(($F109-$G109)*(BC109-BD109)&gt;0,0.5*'Thể lệ'!$E$9,'Thể lệ'!$E$9)))</f>
        <v>0</v>
      </c>
      <c r="DI109" s="69"/>
      <c r="DJ109" s="29">
        <f>if($F109=$G109,if(and($F109=$G109,BE109&lt;&gt;BF109),'Thể lệ'!$E$9,if($F109=BE109,0,0.5*'Thể lệ'!$E$9)),if(and($F109=BE109,$G109=BF109),"0",if(($F109-$G109)*(BE109-BF109)&gt;0,0.5*'Thể lệ'!$E$9,'Thể lệ'!$E$9)))</f>
        <v>0</v>
      </c>
      <c r="DK109" s="69"/>
      <c r="DL109" s="29">
        <f>if($F109=$G109,if(and($F109=$G109,BG109&lt;&gt;BH109),'Thể lệ'!$E$9,if($F109=BG109,0,0.5*'Thể lệ'!$E$9)),if(and($F109=BG109,$G109=BH109),"0",if(($F109-$G109)*(BG109-BH109)&gt;0,0.5*'Thể lệ'!$E$9,'Thể lệ'!$E$9)))</f>
        <v>0</v>
      </c>
      <c r="DM109" s="69"/>
      <c r="DN109" s="72">
        <f>if($F109=$G109,if(and($F109=$G109,BI109&lt;&gt;BJ109),'Thể lệ'!$E$9,if($F109=BI109,0,0.5*'Thể lệ'!$E$9)),if(and($F109=BI109,$G109=BJ109),"0",if(($F109-$G109)*(BI109-BJ109)&gt;0,0.5*'Thể lệ'!$E$9,'Thể lệ'!$E$9)))</f>
        <v>12500</v>
      </c>
      <c r="DO109" s="69"/>
      <c r="DP109" s="69"/>
    </row>
    <row r="110">
      <c r="A110" s="63"/>
      <c r="B110" s="76"/>
      <c r="C110" s="70" t="s">
        <v>84</v>
      </c>
      <c r="D110" s="74"/>
      <c r="E110" s="55"/>
      <c r="F110" s="23"/>
      <c r="G110" s="23"/>
      <c r="H110" s="55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67"/>
      <c r="BF110" s="23"/>
      <c r="BG110" s="23"/>
      <c r="BH110" s="23"/>
      <c r="BI110" s="37" t="str">
        <f>H.Son!H110</f>
        <v/>
      </c>
      <c r="BJ110" s="37" t="str">
        <f>H.Son!I110</f>
        <v/>
      </c>
      <c r="BK110" s="23"/>
      <c r="BL110" s="23"/>
      <c r="BM110" s="68"/>
      <c r="BN110" s="28">
        <f>if($F110=$G110,if(and($F110=$G110,I110&lt;&gt;J110),'Thể lệ'!$E$11,if($F110=I110,0,0.5*'Thể lệ'!$E$11)),if(and($F110=I110,$G110=J110),"0",if(($F110-$G110)*(I110-J110)&gt;0,0.5*'Thể lệ'!$E$11,'Thể lệ'!$E$11)))</f>
        <v>0</v>
      </c>
      <c r="BO110" s="28"/>
      <c r="BP110" s="28">
        <f>if($F110=$G110,if(and($F110=$G110,K110&lt;&gt;L110),'Thể lệ'!$E$11,if($F110=K110,0,0.5*'Thể lệ'!$E$11)),if(and($F110=K110,$G110=L110),"0",if(($F110-$G110)*(K110-L110)&gt;0,0.5*'Thể lệ'!$E$11,'Thể lệ'!$E$11)))</f>
        <v>0</v>
      </c>
      <c r="BQ110" s="28"/>
      <c r="BR110" s="28">
        <f>if($F110=$G110,if(and($F110=$G110,M110&lt;&gt;N110),'Thể lệ'!$E$11,if($F110=M110,0,0.5*'Thể lệ'!$E$11)),if(and($F110=M110,$G110=N110),"0",if(($F110-$G110)*(M110-N110)&gt;0,0.5*'Thể lệ'!$E$11,'Thể lệ'!$E$11)))</f>
        <v>0</v>
      </c>
      <c r="BS110" s="28"/>
      <c r="BT110" s="28">
        <f>if($F110=$G110,if(and($F110=$G110,O110&lt;&gt;P110),'Thể lệ'!$E$11,if($F110=O110,0,0.5*'Thể lệ'!$E$11)),if(and($F110=O110,$G110=P110),"0",if(($F110-$G110)*(O110-P110)&gt;0,0.5*'Thể lệ'!$E$11,'Thể lệ'!$E$11)))</f>
        <v>0</v>
      </c>
      <c r="BU110" s="28"/>
      <c r="BV110" s="28">
        <f>if($F110=$G110,if(and($F110=$G110,Q110&lt;&gt;R110),'Thể lệ'!$E$11,if($F110=Q110,0,0.5*'Thể lệ'!$E$11)),if(and($F110=Q110,$G110=R110),"0",if(($F110-$G110)*(Q110-R110)&gt;0,0.5*'Thể lệ'!$E$11,'Thể lệ'!$E$11)))</f>
        <v>0</v>
      </c>
      <c r="BW110" s="28"/>
      <c r="BX110" s="28">
        <f>if($F110=$G110,if(and($F110=$G110,S110&lt;&gt;T110),'Thể lệ'!$E$11,if($F110=S110,0,0.5*'Thể lệ'!$E$11)),if(and($F110=S110,$G110=T110),"0",if(($F110-$G110)*(S110-T110)&gt;0,0.5*'Thể lệ'!$E$11,'Thể lệ'!$E$11)))</f>
        <v>0</v>
      </c>
      <c r="BY110" s="28"/>
      <c r="BZ110" s="28">
        <f>if($F110=$G110,if(and($F110=$G110,U110&lt;&gt;V110),'Thể lệ'!$E$11,if($F110=U110,0,0.5*'Thể lệ'!$E$11)),if(and($F110=U110,$G110=V110),"0",if(($F110-$G110)*(U110-V110)&gt;0,0.5*'Thể lệ'!$E$11,'Thể lệ'!$E$11)))</f>
        <v>0</v>
      </c>
      <c r="CA110" s="28"/>
      <c r="CB110" s="28">
        <f>if($F110=$G110,if(and($F110=$G110,W110&lt;&gt;X110),'Thể lệ'!$E$11,if($F110=W110,0,0.5*'Thể lệ'!$E$11)),if(and($F110=W110,$G110=X110),"0",if(($F110-$G110)*(W110-X110)&gt;0,0.5*'Thể lệ'!$E$11,'Thể lệ'!$E$11)))</f>
        <v>0</v>
      </c>
      <c r="CC110" s="28"/>
      <c r="CD110" s="28">
        <f>if($F110=$G110,if(and($F110=$G110,Y110&lt;&gt;Z110),'Thể lệ'!$E$11,if($F110=Y110,0,0.5*'Thể lệ'!$E$11)),if(and($F110=Y110,$G110=Z110),"0",if(($F110-$G110)*(Y110-Z110)&gt;0,0.5*'Thể lệ'!$E$11,'Thể lệ'!$E$11)))</f>
        <v>0</v>
      </c>
      <c r="CE110" s="28"/>
      <c r="CF110" s="28">
        <f>if($F110=$G110,if(and($F110=$G110,AA110&lt;&gt;AB110),'Thể lệ'!$E$11,if($F110=AA110,0,0.5*'Thể lệ'!$E$11)),if(and($F110=AA110,$G110=AB110),"0",if(($F110-$G110)*(AA110-AB110)&gt;0,0.5*'Thể lệ'!$E$11,'Thể lệ'!$E$11)))</f>
        <v>0</v>
      </c>
      <c r="CG110" s="28"/>
      <c r="CH110" s="28">
        <f>if($F110=$G110,if(and($F110=$G110,AC110&lt;&gt;AD110),'Thể lệ'!$E$11,if($F110=AC110,0,0.5*'Thể lệ'!$E$11)),if(and($F110=AC110,$G110=AD110),"0",if(($F110-$G110)*(AC110-AD110)&gt;0,0.5*'Thể lệ'!$E$11,'Thể lệ'!$E$11)))</f>
        <v>0</v>
      </c>
      <c r="CI110" s="28"/>
      <c r="CJ110" s="28">
        <f>if($F110=$G110,if(and($F110=$G110,AE110&lt;&gt;AF110),'Thể lệ'!$E$11,if($F110=AE110,0,0.5*'Thể lệ'!$E$11)),if(and($F110=AE110,$G110=AF110),"0",if(($F110-$G110)*(AE110-AF110)&gt;0,0.5*'Thể lệ'!$E$11,'Thể lệ'!$E$11)))</f>
        <v>0</v>
      </c>
      <c r="CK110" s="28"/>
      <c r="CL110" s="28">
        <f>if($F110=$G110,if(and($F110=$G110,AG110&lt;&gt;AH110),'Thể lệ'!$E$11,if($F110=AG110,0,0.5*'Thể lệ'!$E$11)),if(and($F110=AG110,$G110=AH110),"0",if(($F110-$G110)*(AG110-AH110)&gt;0,0.5*'Thể lệ'!$E$11,'Thể lệ'!$E$11)))</f>
        <v>0</v>
      </c>
      <c r="CM110" s="28"/>
      <c r="CN110" s="28">
        <f>if($F110=$G110,if(and($F110=$G110,AI110&lt;&gt;AJ110),'Thể lệ'!$E$11,if($F110=AI110,0,0.5*'Thể lệ'!$E$11)),if(and($F110=AI110,$G110=AJ110),"0",if(($F110-$G110)*(AI110-AJ110)&gt;0,0.5*'Thể lệ'!$E$11,'Thể lệ'!$E$11)))</f>
        <v>0</v>
      </c>
      <c r="CO110" s="28"/>
      <c r="CP110" s="28">
        <f>if($F110=$G110,if(and($F110=$G110,AK110&lt;&gt;AL110),'Thể lệ'!$E$11,if($F110=AK110,0,0.5*'Thể lệ'!$E$11)),if(and($F110=AK110,$G110=AL110),"0",if(($F110-$G110)*(AK110-AL110)&gt;0,0.5*'Thể lệ'!$E$11,'Thể lệ'!$E$11)))</f>
        <v>0</v>
      </c>
      <c r="CQ110" s="28"/>
      <c r="CR110" s="28">
        <f>if($F110=$G110,if(and($F110=$G110,AM110&lt;&gt;AN110),'Thể lệ'!$E$11,if($F110=AM110,0,0.5*'Thể lệ'!$E$11)),if(and($F110=AM110,$G110=AN110),"0",if(($F110-$G110)*(AM110-AN110)&gt;0,0.5*'Thể lệ'!$E$11,'Thể lệ'!$E$11)))</f>
        <v>0</v>
      </c>
      <c r="CS110" s="28"/>
      <c r="CT110" s="28">
        <f>if($F110=$G110,if(and($F110=$G110,AO110&lt;&gt;AP110),'Thể lệ'!$E$11,if($F110=AO110,0,0.5*'Thể lệ'!$E$11)),if(and($F110=AO110,$G110=AP110),"0",if(($F110-$G110)*(AO110-AP110)&gt;0,0.5*'Thể lệ'!$E$11,'Thể lệ'!$E$11)))</f>
        <v>0</v>
      </c>
      <c r="CU110" s="28"/>
      <c r="CV110" s="28">
        <f>if($F110=$G110,if(and($F110=$G110,AQ110&lt;&gt;AR110),'Thể lệ'!$E$11,if($F110=AQ110,0,0.5*'Thể lệ'!$E$11)),if(and($F110=AQ110,$G110=AR110),"0",if(($F110-$G110)*(AQ110-AR110)&gt;0,0.5*'Thể lệ'!$E$11,'Thể lệ'!$E$11)))</f>
        <v>0</v>
      </c>
      <c r="CW110" s="28"/>
      <c r="CX110" s="28">
        <f>if($F110=$G110,if(and($F110=$G110,AS110&lt;&gt;AT110),'Thể lệ'!$E$11,if($F110=AS110,0,0.5*'Thể lệ'!$E$11)),if(and($F110=AS110,$G110=AT110),"0",if(($F110-$G110)*(AS110-AT110)&gt;0,0.5*'Thể lệ'!$E$11,'Thể lệ'!$E$11)))</f>
        <v>0</v>
      </c>
      <c r="CY110" s="28"/>
      <c r="CZ110" s="28">
        <f>if($F110=$G110,if(and($F110=$G110,AU110&lt;&gt;AV110),'Thể lệ'!$E$11,if($F110=AU110,0,0.5*'Thể lệ'!$E$11)),if(and($F110=AU110,$G110=AV110),"0",if(($F110-$G110)*(AU110-AV110)&gt;0,0.5*'Thể lệ'!$E$11,'Thể lệ'!$E$11)))</f>
        <v>0</v>
      </c>
      <c r="DA110" s="28"/>
      <c r="DB110" s="28">
        <f>if($F110=$G110,if(and($F110=$G110,AW110&lt;&gt;AX110),'Thể lệ'!$E$11,if($F110=AW110,0,0.5*'Thể lệ'!$E$11)),if(and($F110=AW110,$G110=AX110),"0",if(($F110-$G110)*(AW110-AX110)&gt;0,0.5*'Thể lệ'!$E$11,'Thể lệ'!$E$11)))</f>
        <v>0</v>
      </c>
      <c r="DC110" s="75"/>
      <c r="DD110" s="28">
        <f>if($F110=$G110,if(and($F110=$G110,AY110&lt;&gt;AZ110),'Thể lệ'!$E$11,if($F110=AY110,0,0.5*'Thể lệ'!$E$11)),if(and($F110=AY110,$G110=AZ110),"0",if(($F110-$G110)*(AY110-AZ110)&gt;0,0.5*'Thể lệ'!$E$11,'Thể lệ'!$E$11)))</f>
        <v>0</v>
      </c>
      <c r="DE110" s="75"/>
      <c r="DF110" s="28">
        <f>if($F110=$G110,if(and($F110=$G110,BA110&lt;&gt;BB110),'Thể lệ'!$E$11,if($F110=BA110,0,0.5*'Thể lệ'!$E$11)),if(and($F110=BA110,$G110=BB110),"0",if(($F110-$G110)*(BA110-BB110)&gt;0,0.5*'Thể lệ'!$E$11,'Thể lệ'!$E$11)))</f>
        <v>0</v>
      </c>
      <c r="DG110" s="75"/>
      <c r="DH110" s="28">
        <f>if($F110=$G110,if(and($F110=$G110,BC110&lt;&gt;BD110),'Thể lệ'!$E$11,if($F110=BC110,0,0.5*'Thể lệ'!$E$11)),if(and($F110=BC110,$G110=BD110),"0",if(($F110-$G110)*(BC110-BD110)&gt;0,0.5*'Thể lệ'!$E$11,'Thể lệ'!$E$11)))</f>
        <v>0</v>
      </c>
      <c r="DI110" s="75"/>
      <c r="DJ110" s="28">
        <f>if($F110=$G110,if(and($F110=$G110,BE110&lt;&gt;BF110),'Thể lệ'!$E$11,if($F110=BE110,0,0.5*'Thể lệ'!$E$11)),if(and($F110=BE110,$G110=BF110),"0",if(($F110-$G110)*(BE110-BF110)&gt;0,0.5*'Thể lệ'!$E$11,'Thể lệ'!$E$11)))</f>
        <v>0</v>
      </c>
      <c r="DK110" s="75"/>
      <c r="DL110" s="28">
        <f>if($F110=$G110,if(and($F110=$G110,BG110&lt;&gt;BH110),'Thể lệ'!$E$11,if($F110=BG110,0,0.5*'Thể lệ'!$E$11)),if(and($F110=BG110,$G110=BH110),"0",if(($F110-$G110)*(BG110-BH110)&gt;0,0.5*'Thể lệ'!$E$11,'Thể lệ'!$E$11)))</f>
        <v>0</v>
      </c>
      <c r="DM110" s="75"/>
      <c r="DN110" s="28">
        <f>if($F110=$G110,if(and($F110=$G110,BI110&lt;&gt;BJ110),'Thể lệ'!$E$11,if($F110=BI110,0,0.5*'Thể lệ'!$E$11)),if(and($F110=BI110,$G110=BJ110),"0",if(($F110-$G110)*(BI110-BJ110)&gt;0,0.5*'Thể lệ'!$E$11,'Thể lệ'!$E$11)))</f>
        <v>0</v>
      </c>
      <c r="DO110" s="75"/>
      <c r="DP110" s="75"/>
    </row>
    <row r="111">
      <c r="A111" s="63"/>
      <c r="B111" s="71">
        <v>101.0</v>
      </c>
      <c r="C111" s="64">
        <v>46218.08333333333</v>
      </c>
      <c r="D111" s="65">
        <v>46218.08333333333</v>
      </c>
      <c r="E111" s="55" t="s">
        <v>81</v>
      </c>
      <c r="F111" s="23"/>
      <c r="G111" s="23"/>
      <c r="H111" s="55" t="s">
        <v>81</v>
      </c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67"/>
      <c r="BF111" s="23"/>
      <c r="BG111" s="23"/>
      <c r="BH111" s="23"/>
      <c r="BI111" s="37">
        <f>H.Son!H111</f>
        <v>1</v>
      </c>
      <c r="BJ111" s="37">
        <f>H.Son!I111</f>
        <v>1</v>
      </c>
      <c r="BK111" s="23"/>
      <c r="BL111" s="23"/>
      <c r="BM111" s="68"/>
      <c r="BN111" s="29">
        <f>if($F111=$G111,if(and($F111=$G111,I111&lt;&gt;J111),'Thể lệ'!$E$10,if($F111=I111,0,0.5*'Thể lệ'!$E$10)),if(and($F111=I111,$G111=J111),"0",if(($F111-$G111)*(I111-J111)&gt;0,0.5*'Thể lệ'!$E$10,'Thể lệ'!$E$10)))</f>
        <v>0</v>
      </c>
      <c r="BO111" s="29"/>
      <c r="BP111" s="29">
        <f>if($F111=$G111,if(and($F111=$G111,K111&lt;&gt;L111),'Thể lệ'!$E$10,if($F111=K111,0,0.5*'Thể lệ'!$E$10)),if(and($F111=K111,$G111=L111),"0",if(($F111-$G111)*(K111-L111)&gt;0,0.5*'Thể lệ'!$E$10,'Thể lệ'!$E$10)))</f>
        <v>0</v>
      </c>
      <c r="BQ111" s="29"/>
      <c r="BR111" s="29">
        <f>if($F111=$G111,if(and($F111=$G111,M111&lt;&gt;N111),'Thể lệ'!$E$10,if($F111=M111,0,0.5*'Thể lệ'!$E$10)),if(and($F111=M111,$G111=N111),"0",if(($F111-$G111)*(M111-N111)&gt;0,0.5*'Thể lệ'!$E$10,'Thể lệ'!$E$10)))</f>
        <v>0</v>
      </c>
      <c r="BS111" s="29"/>
      <c r="BT111" s="29">
        <f>if($F111=$G111,if(and($F111=$G111,O111&lt;&gt;P111),'Thể lệ'!$E$10,if($F111=O111,0,0.5*'Thể lệ'!$E$10)),if(and($F111=O111,$G111=P111),"0",if(($F111-$G111)*(O111-P111)&gt;0,0.5*'Thể lệ'!$E$10,'Thể lệ'!$E$10)))</f>
        <v>0</v>
      </c>
      <c r="BU111" s="29"/>
      <c r="BV111" s="29">
        <f>if($F111=$G111,if(and($F111=$G111,Q111&lt;&gt;R111),'Thể lệ'!$E$10,if($F111=Q111,0,0.5*'Thể lệ'!$E$10)),if(and($F111=Q111,$G111=R111),"0",if(($F111-$G111)*(Q111-R111)&gt;0,0.5*'Thể lệ'!$E$10,'Thể lệ'!$E$10)))</f>
        <v>0</v>
      </c>
      <c r="BW111" s="29"/>
      <c r="BX111" s="29">
        <f>if($F111=$G111,if(and($F111=$G111,S111&lt;&gt;T111),'Thể lệ'!$E$10,if($F111=S111,0,0.5*'Thể lệ'!$E$10)),if(and($F111=S111,$G111=T111),"0",if(($F111-$G111)*(S111-T111)&gt;0,0.5*'Thể lệ'!$E$10,'Thể lệ'!$E$10)))</f>
        <v>0</v>
      </c>
      <c r="BY111" s="29"/>
      <c r="BZ111" s="29">
        <f>if($F111=$G111,if(and($F111=$G111,U111&lt;&gt;V111),'Thể lệ'!$E$10,if($F111=U111,0,0.5*'Thể lệ'!$E$10)),if(and($F111=U111,$G111=V111),"0",if(($F111-$G111)*(U111-V111)&gt;0,0.5*'Thể lệ'!$E$10,'Thể lệ'!$E$10)))</f>
        <v>0</v>
      </c>
      <c r="CA111" s="29"/>
      <c r="CB111" s="29">
        <f>if($F111=$G111,if(and($F111=$G111,W111&lt;&gt;X111),'Thể lệ'!$E$10,if($F111=W111,0,0.5*'Thể lệ'!$E$10)),if(and($F111=W111,$G111=X111),"0",if(($F111-$G111)*(W111-X111)&gt;0,0.5*'Thể lệ'!$E$10,'Thể lệ'!$E$10)))</f>
        <v>0</v>
      </c>
      <c r="CC111" s="29"/>
      <c r="CD111" s="29">
        <f>if($F111=$G111,if(and($F111=$G111,Y111&lt;&gt;Z111),'Thể lệ'!$E$10,if($F111=Y111,0,0.5*'Thể lệ'!$E$10)),if(and($F111=Y111,$G111=Z111),"0",if(($F111-$G111)*(Y111-Z111)&gt;0,0.5*'Thể lệ'!$E$10,'Thể lệ'!$E$10)))</f>
        <v>0</v>
      </c>
      <c r="CE111" s="29"/>
      <c r="CF111" s="29">
        <f>if($F111=$G111,if(and($F111=$G111,AA111&lt;&gt;AB111),'Thể lệ'!$E$10,if($F111=AA111,0,0.5*'Thể lệ'!$E$10)),if(and($F111=AA111,$G111=AB111),"0",if(($F111-$G111)*(AA111-AB111)&gt;0,0.5*'Thể lệ'!$E$10,'Thể lệ'!$E$10)))</f>
        <v>0</v>
      </c>
      <c r="CG111" s="29"/>
      <c r="CH111" s="29">
        <f>if($F111=$G111,if(and($F111=$G111,AC111&lt;&gt;AD111),'Thể lệ'!$E$10,if($F111=AC111,0,0.5*'Thể lệ'!$E$10)),if(and($F111=AC111,$G111=AD111),"0",if(($F111-$G111)*(AC111-AD111)&gt;0,0.5*'Thể lệ'!$E$10,'Thể lệ'!$E$10)))</f>
        <v>0</v>
      </c>
      <c r="CI111" s="29"/>
      <c r="CJ111" s="29">
        <f>if($F111=$G111,if(and($F111=$G111,AE111&lt;&gt;AF111),'Thể lệ'!$E$10,if($F111=AE111,0,0.5*'Thể lệ'!$E$10)),if(and($F111=AE111,$G111=AF111),"0",if(($F111-$G111)*(AE111-AF111)&gt;0,0.5*'Thể lệ'!$E$10,'Thể lệ'!$E$10)))</f>
        <v>0</v>
      </c>
      <c r="CK111" s="29"/>
      <c r="CL111" s="29">
        <f>if($F111=$G111,if(and($F111=$G111,AG111&lt;&gt;AH111),'Thể lệ'!$E$10,if($F111=AG111,0,0.5*'Thể lệ'!$E$10)),if(and($F111=AG111,$G111=AH111),"0",if(($F111-$G111)*(AG111-AH111)&gt;0,0.5*'Thể lệ'!$E$10,'Thể lệ'!$E$10)))</f>
        <v>0</v>
      </c>
      <c r="CM111" s="29"/>
      <c r="CN111" s="29">
        <f>if($F111=$G111,if(and($F111=$G111,AI111&lt;&gt;AJ111),'Thể lệ'!$E$10,if($F111=AI111,0,0.5*'Thể lệ'!$E$10)),if(and($F111=AI111,$G111=AJ111),"0",if(($F111-$G111)*(AI111-AJ111)&gt;0,0.5*'Thể lệ'!$E$10,'Thể lệ'!$E$10)))</f>
        <v>0</v>
      </c>
      <c r="CO111" s="29"/>
      <c r="CP111" s="29">
        <f>if($F111=$G111,if(and($F111=$G111,AK111&lt;&gt;AL111),'Thể lệ'!$E$10,if($F111=AK111,0,0.5*'Thể lệ'!$E$10)),if(and($F111=AK111,$G111=AL111),"0",if(($F111-$G111)*(AK111-AL111)&gt;0,0.5*'Thể lệ'!$E$10,'Thể lệ'!$E$10)))</f>
        <v>0</v>
      </c>
      <c r="CQ111" s="29"/>
      <c r="CR111" s="29">
        <f>if($F111=$G111,if(and($F111=$G111,AM111&lt;&gt;AN111),'Thể lệ'!$E$10,if($F111=AM111,0,0.5*'Thể lệ'!$E$10)),if(and($F111=AM111,$G111=AN111),"0",if(($F111-$G111)*(AM111-AN111)&gt;0,0.5*'Thể lệ'!$E$10,'Thể lệ'!$E$10)))</f>
        <v>0</v>
      </c>
      <c r="CS111" s="29"/>
      <c r="CT111" s="29">
        <f>if($F111=$G111,if(and($F111=$G111,AO111&lt;&gt;AP111),'Thể lệ'!$E$10,if($F111=AO111,0,0.5*'Thể lệ'!$E$10)),if(and($F111=AO111,$G111=AP111),"0",if(($F111-$G111)*(AO111-AP111)&gt;0,0.5*'Thể lệ'!$E$10,'Thể lệ'!$E$10)))</f>
        <v>0</v>
      </c>
      <c r="CU111" s="29"/>
      <c r="CV111" s="29">
        <f>if($F111=$G111,if(and($F111=$G111,AQ111&lt;&gt;AR111),'Thể lệ'!$E$10,if($F111=AQ111,0,0.5*'Thể lệ'!$E$10)),if(and($F111=AQ111,$G111=AR111),"0",if(($F111-$G111)*(AQ111-AR111)&gt;0,0.5*'Thể lệ'!$E$10,'Thể lệ'!$E$10)))</f>
        <v>0</v>
      </c>
      <c r="CW111" s="29"/>
      <c r="CX111" s="29">
        <f>if($F111=$G111,if(and($F111=$G111,AS111&lt;&gt;AT111),'Thể lệ'!$E$10,if($F111=AS111,0,0.5*'Thể lệ'!$E$10)),if(and($F111=AS111,$G111=AT111),"0",if(($F111-$G111)*(AS111-AT111)&gt;0,0.5*'Thể lệ'!$E$10,'Thể lệ'!$E$10)))</f>
        <v>0</v>
      </c>
      <c r="CY111" s="29"/>
      <c r="CZ111" s="29">
        <f>if($F111=$G111,if(and($F111=$G111,AU111&lt;&gt;AV111),'Thể lệ'!$E$10,if($F111=AU111,0,0.5*'Thể lệ'!$E$10)),if(and($F111=AU111,$G111=AV111),"0",if(($F111-$G111)*(AU111-AV111)&gt;0,0.5*'Thể lệ'!$E$10,'Thể lệ'!$E$10)))</f>
        <v>0</v>
      </c>
      <c r="DA111" s="29"/>
      <c r="DB111" s="29">
        <f>if($F111=$G111,if(and($F111=$G111,AW111&lt;&gt;AX111),'Thể lệ'!$E$10,if($F111=AW111,0,0.5*'Thể lệ'!$E$10)),if(and($F111=AW111,$G111=AX111),"0",if(($F111-$G111)*(AW111-AX111)&gt;0,0.5*'Thể lệ'!$E$10,'Thể lệ'!$E$10)))</f>
        <v>0</v>
      </c>
      <c r="DC111" s="69"/>
      <c r="DD111" s="29">
        <f>if($F111=$G111,if(and($F111=$G111,AY111&lt;&gt;AZ111),'Thể lệ'!$E$10,if($F111=AY111,0,0.5*'Thể lệ'!$E$10)),if(and($F111=AY111,$G111=AZ111),"0",if(($F111-$G111)*(AY111-AZ111)&gt;0,0.5*'Thể lệ'!$E$10,'Thể lệ'!$E$10)))</f>
        <v>0</v>
      </c>
      <c r="DE111" s="69"/>
      <c r="DF111" s="29">
        <f>if($F111=$G111,if(and($F111=$G111,BA111&lt;&gt;BB111),'Thể lệ'!$E$10,if($F111=BA111,0,0.5*'Thể lệ'!$E$10)),if(and($F111=BA111,$G111=BB111),"0",if(($F111-$G111)*(BA111-BB111)&gt;0,0.5*'Thể lệ'!$E$10,'Thể lệ'!$E$10)))</f>
        <v>0</v>
      </c>
      <c r="DG111" s="69"/>
      <c r="DH111" s="29">
        <f>if($F111=$G111,if(and($F111=$G111,BC111&lt;&gt;BD111),'Thể lệ'!$E$10,if($F111=BC111,0,0.5*'Thể lệ'!$E$10)),if(and($F111=BC111,$G111=BD111),"0",if(($F111-$G111)*(BC111-BD111)&gt;0,0.5*'Thể lệ'!$E$10,'Thể lệ'!$E$10)))</f>
        <v>0</v>
      </c>
      <c r="DI111" s="69"/>
      <c r="DJ111" s="29">
        <f>if($F111=$G111,if(and($F111=$G111,BE111&lt;&gt;BF111),'Thể lệ'!$E$10,if($F111=BE111,0,0.5*'Thể lệ'!$E$10)),if(and($F111=BE111,$G111=BF111),"0",if(($F111-$G111)*(BE111-BF111)&gt;0,0.5*'Thể lệ'!$E$10,'Thể lệ'!$E$10)))</f>
        <v>0</v>
      </c>
      <c r="DK111" s="69"/>
      <c r="DL111" s="29">
        <f>if($F111=$G111,if(and($F111=$G111,BG111&lt;&gt;BH111),'Thể lệ'!$E$10,if($F111=BG111,0,0.5*'Thể lệ'!$E$10)),if(and($F111=BG111,$G111=BH111),"0",if(($F111-$G111)*(BG111-BH111)&gt;0,0.5*'Thể lệ'!$E$10,'Thể lệ'!$E$10)))</f>
        <v>0</v>
      </c>
      <c r="DM111" s="69"/>
      <c r="DN111" s="72">
        <f>if($F111=$G111,if(and($F111=$G111,BI111&lt;&gt;BJ111),'Thể lệ'!$E$10,if($F111=BI111,0,0.5*'Thể lệ'!$E$10)),if(and($F111=BI111,$G111=BJ111),"0",if(($F111-$G111)*(BI111-BJ111)&gt;0,0.5*'Thể lệ'!$E$10,'Thể lệ'!$E$10)))</f>
        <v>15000</v>
      </c>
      <c r="DO111" s="69"/>
      <c r="DP111" s="69"/>
    </row>
    <row r="112">
      <c r="A112" s="63"/>
      <c r="B112" s="71">
        <v>102.0</v>
      </c>
      <c r="C112" s="64">
        <v>46219.08333333333</v>
      </c>
      <c r="D112" s="65">
        <v>46219.08333333333</v>
      </c>
      <c r="E112" s="55" t="s">
        <v>81</v>
      </c>
      <c r="F112" s="23"/>
      <c r="G112" s="23"/>
      <c r="H112" s="55" t="s">
        <v>81</v>
      </c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67"/>
      <c r="BF112" s="23"/>
      <c r="BG112" s="23"/>
      <c r="BH112" s="23"/>
      <c r="BI112" s="37">
        <f>H.Son!H112</f>
        <v>1</v>
      </c>
      <c r="BJ112" s="37">
        <f>H.Son!I112</f>
        <v>1</v>
      </c>
      <c r="BK112" s="23"/>
      <c r="BL112" s="23"/>
      <c r="BM112" s="68"/>
      <c r="BN112" s="29">
        <f>if($F112=$G112,if(and($F112=$G112,I112&lt;&gt;J112),'Thể lệ'!$E$10,if($F112=I112,0,0.5*'Thể lệ'!$E$10)),if(and($F112=I112,$G112=J112),"0",if(($F112-$G112)*(I112-J112)&gt;0,0.5*'Thể lệ'!$E$10,'Thể lệ'!$E$10)))</f>
        <v>0</v>
      </c>
      <c r="BO112" s="29"/>
      <c r="BP112" s="29">
        <f>if($F112=$G112,if(and($F112=$G112,K112&lt;&gt;L112),'Thể lệ'!$E$10,if($F112=K112,0,0.5*'Thể lệ'!$E$10)),if(and($F112=K112,$G112=L112),"0",if(($F112-$G112)*(K112-L112)&gt;0,0.5*'Thể lệ'!$E$10,'Thể lệ'!$E$10)))</f>
        <v>0</v>
      </c>
      <c r="BQ112" s="29"/>
      <c r="BR112" s="29">
        <f>if($F112=$G112,if(and($F112=$G112,M112&lt;&gt;N112),'Thể lệ'!$E$10,if($F112=M112,0,0.5*'Thể lệ'!$E$10)),if(and($F112=M112,$G112=N112),"0",if(($F112-$G112)*(M112-N112)&gt;0,0.5*'Thể lệ'!$E$10,'Thể lệ'!$E$10)))</f>
        <v>0</v>
      </c>
      <c r="BS112" s="29"/>
      <c r="BT112" s="29">
        <f>if($F112=$G112,if(and($F112=$G112,O112&lt;&gt;P112),'Thể lệ'!$E$10,if($F112=O112,0,0.5*'Thể lệ'!$E$10)),if(and($F112=O112,$G112=P112),"0",if(($F112-$G112)*(O112-P112)&gt;0,0.5*'Thể lệ'!$E$10,'Thể lệ'!$E$10)))</f>
        <v>0</v>
      </c>
      <c r="BU112" s="29"/>
      <c r="BV112" s="29">
        <f>if($F112=$G112,if(and($F112=$G112,Q112&lt;&gt;R112),'Thể lệ'!$E$10,if($F112=Q112,0,0.5*'Thể lệ'!$E$10)),if(and($F112=Q112,$G112=R112),"0",if(($F112-$G112)*(Q112-R112)&gt;0,0.5*'Thể lệ'!$E$10,'Thể lệ'!$E$10)))</f>
        <v>0</v>
      </c>
      <c r="BW112" s="29"/>
      <c r="BX112" s="29">
        <f>if($F112=$G112,if(and($F112=$G112,S112&lt;&gt;T112),'Thể lệ'!$E$10,if($F112=S112,0,0.5*'Thể lệ'!$E$10)),if(and($F112=S112,$G112=T112),"0",if(($F112-$G112)*(S112-T112)&gt;0,0.5*'Thể lệ'!$E$10,'Thể lệ'!$E$10)))</f>
        <v>0</v>
      </c>
      <c r="BY112" s="29"/>
      <c r="BZ112" s="29">
        <f>if($F112=$G112,if(and($F112=$G112,U112&lt;&gt;V112),'Thể lệ'!$E$10,if($F112=U112,0,0.5*'Thể lệ'!$E$10)),if(and($F112=U112,$G112=V112),"0",if(($F112-$G112)*(U112-V112)&gt;0,0.5*'Thể lệ'!$E$10,'Thể lệ'!$E$10)))</f>
        <v>0</v>
      </c>
      <c r="CA112" s="29"/>
      <c r="CB112" s="29">
        <f>if($F112=$G112,if(and($F112=$G112,W112&lt;&gt;X112),'Thể lệ'!$E$10,if($F112=W112,0,0.5*'Thể lệ'!$E$10)),if(and($F112=W112,$G112=X112),"0",if(($F112-$G112)*(W112-X112)&gt;0,0.5*'Thể lệ'!$E$10,'Thể lệ'!$E$10)))</f>
        <v>0</v>
      </c>
      <c r="CC112" s="29"/>
      <c r="CD112" s="29">
        <f>if($F112=$G112,if(and($F112=$G112,Y112&lt;&gt;Z112),'Thể lệ'!$E$10,if($F112=Y112,0,0.5*'Thể lệ'!$E$10)),if(and($F112=Y112,$G112=Z112),"0",if(($F112-$G112)*(Y112-Z112)&gt;0,0.5*'Thể lệ'!$E$10,'Thể lệ'!$E$10)))</f>
        <v>0</v>
      </c>
      <c r="CE112" s="29"/>
      <c r="CF112" s="29">
        <f>if($F112=$G112,if(and($F112=$G112,AA112&lt;&gt;AB112),'Thể lệ'!$E$10,if($F112=AA112,0,0.5*'Thể lệ'!$E$10)),if(and($F112=AA112,$G112=AB112),"0",if(($F112-$G112)*(AA112-AB112)&gt;0,0.5*'Thể lệ'!$E$10,'Thể lệ'!$E$10)))</f>
        <v>0</v>
      </c>
      <c r="CG112" s="29"/>
      <c r="CH112" s="29">
        <f>if($F112=$G112,if(and($F112=$G112,AC112&lt;&gt;AD112),'Thể lệ'!$E$10,if($F112=AC112,0,0.5*'Thể lệ'!$E$10)),if(and($F112=AC112,$G112=AD112),"0",if(($F112-$G112)*(AC112-AD112)&gt;0,0.5*'Thể lệ'!$E$10,'Thể lệ'!$E$10)))</f>
        <v>0</v>
      </c>
      <c r="CI112" s="29"/>
      <c r="CJ112" s="29">
        <f>if($F112=$G112,if(and($F112=$G112,AE112&lt;&gt;AF112),'Thể lệ'!$E$10,if($F112=AE112,0,0.5*'Thể lệ'!$E$10)),if(and($F112=AE112,$G112=AF112),"0",if(($F112-$G112)*(AE112-AF112)&gt;0,0.5*'Thể lệ'!$E$10,'Thể lệ'!$E$10)))</f>
        <v>0</v>
      </c>
      <c r="CK112" s="29"/>
      <c r="CL112" s="29">
        <f>if($F112=$G112,if(and($F112=$G112,AG112&lt;&gt;AH112),'Thể lệ'!$E$10,if($F112=AG112,0,0.5*'Thể lệ'!$E$10)),if(and($F112=AG112,$G112=AH112),"0",if(($F112-$G112)*(AG112-AH112)&gt;0,0.5*'Thể lệ'!$E$10,'Thể lệ'!$E$10)))</f>
        <v>0</v>
      </c>
      <c r="CM112" s="29"/>
      <c r="CN112" s="29">
        <f>if($F112=$G112,if(and($F112=$G112,AI112&lt;&gt;AJ112),'Thể lệ'!$E$10,if($F112=AI112,0,0.5*'Thể lệ'!$E$10)),if(and($F112=AI112,$G112=AJ112),"0",if(($F112-$G112)*(AI112-AJ112)&gt;0,0.5*'Thể lệ'!$E$10,'Thể lệ'!$E$10)))</f>
        <v>0</v>
      </c>
      <c r="CO112" s="29"/>
      <c r="CP112" s="29">
        <f>if($F112=$G112,if(and($F112=$G112,AK112&lt;&gt;AL112),'Thể lệ'!$E$10,if($F112=AK112,0,0.5*'Thể lệ'!$E$10)),if(and($F112=AK112,$G112=AL112),"0",if(($F112-$G112)*(AK112-AL112)&gt;0,0.5*'Thể lệ'!$E$10,'Thể lệ'!$E$10)))</f>
        <v>0</v>
      </c>
      <c r="CQ112" s="29"/>
      <c r="CR112" s="29">
        <f>if($F112=$G112,if(and($F112=$G112,AM112&lt;&gt;AN112),'Thể lệ'!$E$10,if($F112=AM112,0,0.5*'Thể lệ'!$E$10)),if(and($F112=AM112,$G112=AN112),"0",if(($F112-$G112)*(AM112-AN112)&gt;0,0.5*'Thể lệ'!$E$10,'Thể lệ'!$E$10)))</f>
        <v>0</v>
      </c>
      <c r="CS112" s="29"/>
      <c r="CT112" s="29">
        <f>if($F112=$G112,if(and($F112=$G112,AO112&lt;&gt;AP112),'Thể lệ'!$E$10,if($F112=AO112,0,0.5*'Thể lệ'!$E$10)),if(and($F112=AO112,$G112=AP112),"0",if(($F112-$G112)*(AO112-AP112)&gt;0,0.5*'Thể lệ'!$E$10,'Thể lệ'!$E$10)))</f>
        <v>0</v>
      </c>
      <c r="CU112" s="29"/>
      <c r="CV112" s="29">
        <f>if($F112=$G112,if(and($F112=$G112,AQ112&lt;&gt;AR112),'Thể lệ'!$E$10,if($F112=AQ112,0,0.5*'Thể lệ'!$E$10)),if(and($F112=AQ112,$G112=AR112),"0",if(($F112-$G112)*(AQ112-AR112)&gt;0,0.5*'Thể lệ'!$E$10,'Thể lệ'!$E$10)))</f>
        <v>0</v>
      </c>
      <c r="CW112" s="29"/>
      <c r="CX112" s="29">
        <f>if($F112=$G112,if(and($F112=$G112,AS112&lt;&gt;AT112),'Thể lệ'!$E$10,if($F112=AS112,0,0.5*'Thể lệ'!$E$10)),if(and($F112=AS112,$G112=AT112),"0",if(($F112-$G112)*(AS112-AT112)&gt;0,0.5*'Thể lệ'!$E$10,'Thể lệ'!$E$10)))</f>
        <v>0</v>
      </c>
      <c r="CY112" s="29"/>
      <c r="CZ112" s="29">
        <f>if($F112=$G112,if(and($F112=$G112,AU112&lt;&gt;AV112),'Thể lệ'!$E$10,if($F112=AU112,0,0.5*'Thể lệ'!$E$10)),if(and($F112=AU112,$G112=AV112),"0",if(($F112-$G112)*(AU112-AV112)&gt;0,0.5*'Thể lệ'!$E$10,'Thể lệ'!$E$10)))</f>
        <v>0</v>
      </c>
      <c r="DA112" s="29"/>
      <c r="DB112" s="29">
        <f>if($F112=$G112,if(and($F112=$G112,AW112&lt;&gt;AX112),'Thể lệ'!$E$10,if($F112=AW112,0,0.5*'Thể lệ'!$E$10)),if(and($F112=AW112,$G112=AX112),"0",if(($F112-$G112)*(AW112-AX112)&gt;0,0.5*'Thể lệ'!$E$10,'Thể lệ'!$E$10)))</f>
        <v>0</v>
      </c>
      <c r="DC112" s="69"/>
      <c r="DD112" s="29">
        <f>if($F112=$G112,if(and($F112=$G112,AY112&lt;&gt;AZ112),'Thể lệ'!$E$10,if($F112=AY112,0,0.5*'Thể lệ'!$E$10)),if(and($F112=AY112,$G112=AZ112),"0",if(($F112-$G112)*(AY112-AZ112)&gt;0,0.5*'Thể lệ'!$E$10,'Thể lệ'!$E$10)))</f>
        <v>0</v>
      </c>
      <c r="DE112" s="69"/>
      <c r="DF112" s="29">
        <f>if($F112=$G112,if(and($F112=$G112,BA112&lt;&gt;BB112),'Thể lệ'!$E$10,if($F112=BA112,0,0.5*'Thể lệ'!$E$10)),if(and($F112=BA112,$G112=BB112),"0",if(($F112-$G112)*(BA112-BB112)&gt;0,0.5*'Thể lệ'!$E$10,'Thể lệ'!$E$10)))</f>
        <v>0</v>
      </c>
      <c r="DG112" s="69"/>
      <c r="DH112" s="29">
        <f>if($F112=$G112,if(and($F112=$G112,BC112&lt;&gt;BD112),'Thể lệ'!$E$10,if($F112=BC112,0,0.5*'Thể lệ'!$E$10)),if(and($F112=BC112,$G112=BD112),"0",if(($F112-$G112)*(BC112-BD112)&gt;0,0.5*'Thể lệ'!$E$10,'Thể lệ'!$E$10)))</f>
        <v>0</v>
      </c>
      <c r="DI112" s="69"/>
      <c r="DJ112" s="29">
        <f>if($F112=$G112,if(and($F112=$G112,BE112&lt;&gt;BF112),'Thể lệ'!$E$10,if($F112=BE112,0,0.5*'Thể lệ'!$E$10)),if(and($F112=BE112,$G112=BF112),"0",if(($F112-$G112)*(BE112-BF112)&gt;0,0.5*'Thể lệ'!$E$10,'Thể lệ'!$E$10)))</f>
        <v>0</v>
      </c>
      <c r="DK112" s="69"/>
      <c r="DL112" s="29">
        <f>if($F112=$G112,if(and($F112=$G112,BG112&lt;&gt;BH112),'Thể lệ'!$E$10,if($F112=BG112,0,0.5*'Thể lệ'!$E$10)),if(and($F112=BG112,$G112=BH112),"0",if(($F112-$G112)*(BG112-BH112)&gt;0,0.5*'Thể lệ'!$E$10,'Thể lệ'!$E$10)))</f>
        <v>0</v>
      </c>
      <c r="DM112" s="69"/>
      <c r="DN112" s="72">
        <f>if($F112=$G112,if(and($F112=$G112,BI112&lt;&gt;BJ112),'Thể lệ'!$E$10,if($F112=BI112,0,0.5*'Thể lệ'!$E$10)),if(and($F112=BI112,$G112=BJ112),"0",if(($F112-$G112)*(BI112-BJ112)&gt;0,0.5*'Thể lệ'!$E$10,'Thể lệ'!$E$10)))</f>
        <v>15000</v>
      </c>
      <c r="DO112" s="69"/>
      <c r="DP112" s="69"/>
    </row>
    <row r="113">
      <c r="A113" s="63"/>
      <c r="B113" s="22"/>
      <c r="C113" s="70" t="s">
        <v>85</v>
      </c>
      <c r="D113" s="65"/>
      <c r="E113" s="55"/>
      <c r="F113" s="23"/>
      <c r="G113" s="23"/>
      <c r="H113" s="55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67"/>
      <c r="BF113" s="23"/>
      <c r="BG113" s="23"/>
      <c r="BH113" s="23"/>
      <c r="BI113" s="37">
        <f>H.Son!H113</f>
        <v>1</v>
      </c>
      <c r="BJ113" s="37">
        <f>H.Son!I113</f>
        <v>1</v>
      </c>
      <c r="BK113" s="23"/>
      <c r="BL113" s="23"/>
      <c r="BM113" s="68"/>
      <c r="BN113" s="29">
        <f>if($F113=$G113,if(and($F113=$G113,I113&lt;&gt;J113),'Thể lệ'!$E$11,if($F113=I113,0,0.5*'Thể lệ'!$E$11)),if(and($F113=I113,$G113=J113),"0",if(($F113-$G113)*(I113-J113)&gt;0,0.5*'Thể lệ'!$E$11,'Thể lệ'!$E$11)))</f>
        <v>0</v>
      </c>
      <c r="BO113" s="29"/>
      <c r="BP113" s="29">
        <f>if($F113=$G113,if(and($F113=$G113,K113&lt;&gt;L113),'Thể lệ'!$E$11,if($F113=K113,0,0.5*'Thể lệ'!$E$11)),if(and($F113=K113,$G113=L113),"0",if(($F113-$G113)*(K113-L113)&gt;0,0.5*'Thể lệ'!$E$11,'Thể lệ'!$E$11)))</f>
        <v>0</v>
      </c>
      <c r="BQ113" s="29"/>
      <c r="BR113" s="29">
        <f>if($F113=$G113,if(and($F113=$G113,M113&lt;&gt;N113),'Thể lệ'!$E$11,if($F113=M113,0,0.5*'Thể lệ'!$E$11)),if(and($F113=M113,$G113=N113),"0",if(($F113-$G113)*(M113-N113)&gt;0,0.5*'Thể lệ'!$E$11,'Thể lệ'!$E$11)))</f>
        <v>0</v>
      </c>
      <c r="BS113" s="29"/>
      <c r="BT113" s="29">
        <f>if($F113=$G113,if(and($F113=$G113,O113&lt;&gt;P113),'Thể lệ'!$E$11,if($F113=O113,0,0.5*'Thể lệ'!$E$11)),if(and($F113=O113,$G113=P113),"0",if(($F113-$G113)*(O113-P113)&gt;0,0.5*'Thể lệ'!$E$11,'Thể lệ'!$E$11)))</f>
        <v>0</v>
      </c>
      <c r="BU113" s="29"/>
      <c r="BV113" s="29">
        <f>if($F113=$G113,if(and($F113=$G113,Q113&lt;&gt;R113),'Thể lệ'!$E$11,if($F113=Q113,0,0.5*'Thể lệ'!$E$11)),if(and($F113=Q113,$G113=R113),"0",if(($F113-$G113)*(Q113-R113)&gt;0,0.5*'Thể lệ'!$E$11,'Thể lệ'!$E$11)))</f>
        <v>0</v>
      </c>
      <c r="BW113" s="29"/>
      <c r="BX113" s="29">
        <f>if($F113=$G113,if(and($F113=$G113,S113&lt;&gt;T113),'Thể lệ'!$E$11,if($F113=S113,0,0.5*'Thể lệ'!$E$11)),if(and($F113=S113,$G113=T113),"0",if(($F113-$G113)*(S113-T113)&gt;0,0.5*'Thể lệ'!$E$11,'Thể lệ'!$E$11)))</f>
        <v>0</v>
      </c>
      <c r="BY113" s="29"/>
      <c r="BZ113" s="29">
        <f>if($F113=$G113,if(and($F113=$G113,U113&lt;&gt;V113),'Thể lệ'!$E$11,if($F113=U113,0,0.5*'Thể lệ'!$E$11)),if(and($F113=U113,$G113=V113),"0",if(($F113-$G113)*(U113-V113)&gt;0,0.5*'Thể lệ'!$E$11,'Thể lệ'!$E$11)))</f>
        <v>0</v>
      </c>
      <c r="CA113" s="29"/>
      <c r="CB113" s="29">
        <f>if($F113=$G113,if(and($F113=$G113,W113&lt;&gt;X113),'Thể lệ'!$E$11,if($F113=W113,0,0.5*'Thể lệ'!$E$11)),if(and($F113=W113,$G113=X113),"0",if(($F113-$G113)*(W113-X113)&gt;0,0.5*'Thể lệ'!$E$11,'Thể lệ'!$E$11)))</f>
        <v>0</v>
      </c>
      <c r="CC113" s="29"/>
      <c r="CD113" s="29">
        <f>if($F113=$G113,if(and($F113=$G113,Y113&lt;&gt;Z113),'Thể lệ'!$E$11,if($F113=Y113,0,0.5*'Thể lệ'!$E$11)),if(and($F113=Y113,$G113=Z113),"0",if(($F113-$G113)*(Y113-Z113)&gt;0,0.5*'Thể lệ'!$E$11,'Thể lệ'!$E$11)))</f>
        <v>0</v>
      </c>
      <c r="CE113" s="29"/>
      <c r="CF113" s="29">
        <f>if($F113=$G113,if(and($F113=$G113,AA113&lt;&gt;AB113),'Thể lệ'!$E$11,if($F113=AA113,0,0.5*'Thể lệ'!$E$11)),if(and($F113=AA113,$G113=AB113),"0",if(($F113-$G113)*(AA113-AB113)&gt;0,0.5*'Thể lệ'!$E$11,'Thể lệ'!$E$11)))</f>
        <v>0</v>
      </c>
      <c r="CG113" s="29"/>
      <c r="CH113" s="29">
        <f>if($F113=$G113,if(and($F113=$G113,AC113&lt;&gt;AD113),'Thể lệ'!$E$11,if($F113=AC113,0,0.5*'Thể lệ'!$E$11)),if(and($F113=AC113,$G113=AD113),"0",if(($F113-$G113)*(AC113-AD113)&gt;0,0.5*'Thể lệ'!$E$11,'Thể lệ'!$E$11)))</f>
        <v>0</v>
      </c>
      <c r="CI113" s="29"/>
      <c r="CJ113" s="29">
        <f>if($F113=$G113,if(and($F113=$G113,AE113&lt;&gt;AF113),'Thể lệ'!$E$11,if($F113=AE113,0,0.5*'Thể lệ'!$E$11)),if(and($F113=AE113,$G113=AF113),"0",if(($F113-$G113)*(AE113-AF113)&gt;0,0.5*'Thể lệ'!$E$11,'Thể lệ'!$E$11)))</f>
        <v>0</v>
      </c>
      <c r="CK113" s="29"/>
      <c r="CL113" s="29">
        <f>if($F113=$G113,if(and($F113=$G113,AG113&lt;&gt;AH113),'Thể lệ'!$E$11,if($F113=AG113,0,0.5*'Thể lệ'!$E$11)),if(and($F113=AG113,$G113=AH113),"0",if(($F113-$G113)*(AG113-AH113)&gt;0,0.5*'Thể lệ'!$E$11,'Thể lệ'!$E$11)))</f>
        <v>0</v>
      </c>
      <c r="CM113" s="29"/>
      <c r="CN113" s="29">
        <f>if($F113=$G113,if(and($F113=$G113,AI113&lt;&gt;AJ113),'Thể lệ'!$E$11,if($F113=AI113,0,0.5*'Thể lệ'!$E$11)),if(and($F113=AI113,$G113=AJ113),"0",if(($F113-$G113)*(AI113-AJ113)&gt;0,0.5*'Thể lệ'!$E$11,'Thể lệ'!$E$11)))</f>
        <v>0</v>
      </c>
      <c r="CO113" s="29"/>
      <c r="CP113" s="29">
        <f>if($F113=$G113,if(and($F113=$G113,AK113&lt;&gt;AL113),'Thể lệ'!$E$11,if($F113=AK113,0,0.5*'Thể lệ'!$E$11)),if(and($F113=AK113,$G113=AL113),"0",if(($F113-$G113)*(AK113-AL113)&gt;0,0.5*'Thể lệ'!$E$11,'Thể lệ'!$E$11)))</f>
        <v>0</v>
      </c>
      <c r="CQ113" s="29"/>
      <c r="CR113" s="29">
        <f>if($F113=$G113,if(and($F113=$G113,AM113&lt;&gt;AN113),'Thể lệ'!$E$11,if($F113=AM113,0,0.5*'Thể lệ'!$E$11)),if(and($F113=AM113,$G113=AN113),"0",if(($F113-$G113)*(AM113-AN113)&gt;0,0.5*'Thể lệ'!$E$11,'Thể lệ'!$E$11)))</f>
        <v>0</v>
      </c>
      <c r="CS113" s="29"/>
      <c r="CT113" s="29">
        <f>if($F113=$G113,if(and($F113=$G113,AO113&lt;&gt;AP113),'Thể lệ'!$E$11,if($F113=AO113,0,0.5*'Thể lệ'!$E$11)),if(and($F113=AO113,$G113=AP113),"0",if(($F113-$G113)*(AO113-AP113)&gt;0,0.5*'Thể lệ'!$E$11,'Thể lệ'!$E$11)))</f>
        <v>0</v>
      </c>
      <c r="CU113" s="29"/>
      <c r="CV113" s="29">
        <f>if($F113=$G113,if(and($F113=$G113,AQ113&lt;&gt;AR113),'Thể lệ'!$E$11,if($F113=AQ113,0,0.5*'Thể lệ'!$E$11)),if(and($F113=AQ113,$G113=AR113),"0",if(($F113-$G113)*(AQ113-AR113)&gt;0,0.5*'Thể lệ'!$E$11,'Thể lệ'!$E$11)))</f>
        <v>0</v>
      </c>
      <c r="CW113" s="29"/>
      <c r="CX113" s="29">
        <f>if($F113=$G113,if(and($F113=$G113,AS113&lt;&gt;AT113),'Thể lệ'!$E$11,if($F113=AS113,0,0.5*'Thể lệ'!$E$11)),if(and($F113=AS113,$G113=AT113),"0",if(($F113-$G113)*(AS113-AT113)&gt;0,0.5*'Thể lệ'!$E$11,'Thể lệ'!$E$11)))</f>
        <v>0</v>
      </c>
      <c r="CY113" s="29"/>
      <c r="CZ113" s="29">
        <f>if($F113=$G113,if(and($F113=$G113,AU113&lt;&gt;AV113),'Thể lệ'!$E$11,if($F113=AU113,0,0.5*'Thể lệ'!$E$11)),if(and($F113=AU113,$G113=AV113),"0",if(($F113-$G113)*(AU113-AV113)&gt;0,0.5*'Thể lệ'!$E$11,'Thể lệ'!$E$11)))</f>
        <v>0</v>
      </c>
      <c r="DA113" s="29"/>
      <c r="DB113" s="29">
        <f>if($F113=$G113,if(and($F113=$G113,AW113&lt;&gt;AX113),'Thể lệ'!$E$11,if($F113=AW113,0,0.5*'Thể lệ'!$E$11)),if(and($F113=AW113,$G113=AX113),"0",if(($F113-$G113)*(AW113-AX113)&gt;0,0.5*'Thể lệ'!$E$11,'Thể lệ'!$E$11)))</f>
        <v>0</v>
      </c>
      <c r="DC113" s="69"/>
      <c r="DD113" s="29">
        <f>if($F113=$G113,if(and($F113=$G113,AY113&lt;&gt;AZ113),'Thể lệ'!$E$11,if($F113=AY113,0,0.5*'Thể lệ'!$E$11)),if(and($F113=AY113,$G113=AZ113),"0",if(($F113-$G113)*(AY113-AZ113)&gt;0,0.5*'Thể lệ'!$E$11,'Thể lệ'!$E$11)))</f>
        <v>0</v>
      </c>
      <c r="DE113" s="69"/>
      <c r="DF113" s="29">
        <f>if($F113=$G113,if(and($F113=$G113,BA113&lt;&gt;BB113),'Thể lệ'!$E$11,if($F113=BA113,0,0.5*'Thể lệ'!$E$11)),if(and($F113=BA113,$G113=BB113),"0",if(($F113-$G113)*(BA113-BB113)&gt;0,0.5*'Thể lệ'!$E$11,'Thể lệ'!$E$11)))</f>
        <v>0</v>
      </c>
      <c r="DG113" s="69"/>
      <c r="DH113" s="29">
        <f>if($F113=$G113,if(and($F113=$G113,BC113&lt;&gt;BD113),'Thể lệ'!$E$11,if($F113=BC113,0,0.5*'Thể lệ'!$E$11)),if(and($F113=BC113,$G113=BD113),"0",if(($F113-$G113)*(BC113-BD113)&gt;0,0.5*'Thể lệ'!$E$11,'Thể lệ'!$E$11)))</f>
        <v>0</v>
      </c>
      <c r="DI113" s="69"/>
      <c r="DJ113" s="29">
        <f>if($F113=$G113,if(and($F113=$G113,BE113&lt;&gt;BF113),'Thể lệ'!$E$11,if($F113=BE113,0,0.5*'Thể lệ'!$E$11)),if(and($F113=BE113,$G113=BF113),"0",if(($F113-$G113)*(BE113-BF113)&gt;0,0.5*'Thể lệ'!$E$11,'Thể lệ'!$E$11)))</f>
        <v>0</v>
      </c>
      <c r="DK113" s="69"/>
      <c r="DL113" s="29">
        <f>if($F113=$G113,if(and($F113=$G113,BG113&lt;&gt;BH113),'Thể lệ'!$E$11,if($F113=BG113,0,0.5*'Thể lệ'!$E$11)),if(and($F113=BG113,$G113=BH113),"0",if(($F113-$G113)*(BG113-BH113)&gt;0,0.5*'Thể lệ'!$E$11,'Thể lệ'!$E$11)))</f>
        <v>0</v>
      </c>
      <c r="DM113" s="69"/>
      <c r="DN113" s="72">
        <f>if($F113=$G113,if(and($F113=$G113,BI113&lt;&gt;BJ113),'Thể lệ'!$E$11,if($F113=BI113,0,0.5*'Thể lệ'!$E$11)),if(and($F113=BI113,$G113=BJ113),"0",if(($F113-$G113)*(BI113-BJ113)&gt;0,0.5*'Thể lệ'!$E$11,'Thể lệ'!$E$11)))</f>
        <v>25000</v>
      </c>
      <c r="DO113" s="69"/>
      <c r="DP113" s="69"/>
    </row>
    <row r="114">
      <c r="A114" s="78"/>
      <c r="B114" s="71">
        <v>103.0</v>
      </c>
      <c r="C114" s="79">
        <v>46222.166666666664</v>
      </c>
      <c r="D114" s="80">
        <v>46222.166666666664</v>
      </c>
      <c r="E114" s="81" t="s">
        <v>81</v>
      </c>
      <c r="F114" s="23"/>
      <c r="G114" s="82"/>
      <c r="H114" s="81" t="s">
        <v>81</v>
      </c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83"/>
      <c r="AY114" s="83"/>
      <c r="AZ114" s="83"/>
      <c r="BA114" s="83"/>
      <c r="BB114" s="83"/>
      <c r="BC114" s="83"/>
      <c r="BD114" s="83"/>
      <c r="BE114" s="84"/>
      <c r="BF114" s="83"/>
      <c r="BG114" s="83"/>
      <c r="BH114" s="83"/>
      <c r="BI114" s="37">
        <f>H.Son!H114</f>
        <v>1</v>
      </c>
      <c r="BJ114" s="37">
        <f>H.Son!I114</f>
        <v>1</v>
      </c>
      <c r="BK114" s="83"/>
      <c r="BL114" s="83"/>
      <c r="BM114" s="15"/>
      <c r="BN114" s="29">
        <f>if($F114=$G114,if(and($F114=$G114,I114&lt;&gt;J114),'Thể lệ'!$E$11,if($F114=I114,0,0.5*'Thể lệ'!$E$11)),if(and($F114=I114,$G114=J114),"0",if(($F114-$G114)*(I114-J114)&gt;0,0.5*'Thể lệ'!$E$11,'Thể lệ'!$E$11)))</f>
        <v>0</v>
      </c>
      <c r="BO114" s="29"/>
      <c r="BP114" s="29">
        <f>if($F114=$G114,if(and($F114=$G114,K114&lt;&gt;L114),'Thể lệ'!$E$11,if($F114=K114,0,0.5*'Thể lệ'!$E$11)),if(and($F114=K114,$G114=L114),"0",if(($F114-$G114)*(K114-L114)&gt;0,0.5*'Thể lệ'!$E$11,'Thể lệ'!$E$11)))</f>
        <v>0</v>
      </c>
      <c r="BQ114" s="29"/>
      <c r="BR114" s="29">
        <f>if($F114=$G114,if(and($F114=$G114,M114&lt;&gt;N114),'Thể lệ'!$E$11,if($F114=M114,0,0.5*'Thể lệ'!$E$11)),if(and($F114=M114,$G114=N114),"0",if(($F114-$G114)*(M114-N114)&gt;0,0.5*'Thể lệ'!$E$11,'Thể lệ'!$E$11)))</f>
        <v>0</v>
      </c>
      <c r="BS114" s="29"/>
      <c r="BT114" s="29">
        <f>if($F114=$G114,if(and($F114=$G114,O114&lt;&gt;P114),'Thể lệ'!$E$11,if($F114=O114,0,0.5*'Thể lệ'!$E$11)),if(and($F114=O114,$G114=P114),"0",if(($F114-$G114)*(O114-P114)&gt;0,0.5*'Thể lệ'!$E$11,'Thể lệ'!$E$11)))</f>
        <v>0</v>
      </c>
      <c r="BU114" s="29"/>
      <c r="BV114" s="29">
        <f>if($F114=$G114,if(and($F114=$G114,Q114&lt;&gt;R114),'Thể lệ'!$E$11,if($F114=Q114,0,0.5*'Thể lệ'!$E$11)),if(and($F114=Q114,$G114=R114),"0",if(($F114-$G114)*(Q114-R114)&gt;0,0.5*'Thể lệ'!$E$11,'Thể lệ'!$E$11)))</f>
        <v>0</v>
      </c>
      <c r="BW114" s="29"/>
      <c r="BX114" s="29">
        <f>if($F114=$G114,if(and($F114=$G114,S114&lt;&gt;T114),'Thể lệ'!$E$11,if($F114=S114,0,0.5*'Thể lệ'!$E$11)),if(and($F114=S114,$G114=T114),"0",if(($F114-$G114)*(S114-T114)&gt;0,0.5*'Thể lệ'!$E$11,'Thể lệ'!$E$11)))</f>
        <v>0</v>
      </c>
      <c r="BY114" s="29"/>
      <c r="BZ114" s="29">
        <f>if($F114=$G114,if(and($F114=$G114,U114&lt;&gt;V114),'Thể lệ'!$E$11,if($F114=U114,0,0.5*'Thể lệ'!$E$11)),if(and($F114=U114,$G114=V114),"0",if(($F114-$G114)*(U114-V114)&gt;0,0.5*'Thể lệ'!$E$11,'Thể lệ'!$E$11)))</f>
        <v>0</v>
      </c>
      <c r="CA114" s="29"/>
      <c r="CB114" s="29">
        <f>if($F114=$G114,if(and($F114=$G114,W114&lt;&gt;X114),'Thể lệ'!$E$11,if($F114=W114,0,0.5*'Thể lệ'!$E$11)),if(and($F114=W114,$G114=X114),"0",if(($F114-$G114)*(W114-X114)&gt;0,0.5*'Thể lệ'!$E$11,'Thể lệ'!$E$11)))</f>
        <v>0</v>
      </c>
      <c r="CC114" s="29"/>
      <c r="CD114" s="29">
        <f>if($F114=$G114,if(and($F114=$G114,Y114&lt;&gt;Z114),'Thể lệ'!$E$11,if($F114=Y114,0,0.5*'Thể lệ'!$E$11)),if(and($F114=Y114,$G114=Z114),"0",if(($F114-$G114)*(Y114-Z114)&gt;0,0.5*'Thể lệ'!$E$11,'Thể lệ'!$E$11)))</f>
        <v>0</v>
      </c>
      <c r="CE114" s="29"/>
      <c r="CF114" s="29">
        <f>if($F114=$G114,if(and($F114=$G114,AA114&lt;&gt;AB114),'Thể lệ'!$E$11,if($F114=AA114,0,0.5*'Thể lệ'!$E$11)),if(and($F114=AA114,$G114=AB114),"0",if(($F114-$G114)*(AA114-AB114)&gt;0,0.5*'Thể lệ'!$E$11,'Thể lệ'!$E$11)))</f>
        <v>0</v>
      </c>
      <c r="CG114" s="29"/>
      <c r="CH114" s="29">
        <f>if($F114=$G114,if(and($F114=$G114,AC114&lt;&gt;AD114),'Thể lệ'!$E$11,if($F114=AC114,0,0.5*'Thể lệ'!$E$11)),if(and($F114=AC114,$G114=AD114),"0",if(($F114-$G114)*(AC114-AD114)&gt;0,0.5*'Thể lệ'!$E$11,'Thể lệ'!$E$11)))</f>
        <v>0</v>
      </c>
      <c r="CI114" s="29"/>
      <c r="CJ114" s="29">
        <f>if($F114=$G114,if(and($F114=$G114,AE114&lt;&gt;AF114),'Thể lệ'!$E$11,if($F114=AE114,0,0.5*'Thể lệ'!$E$11)),if(and($F114=AE114,$G114=AF114),"0",if(($F114-$G114)*(AE114-AF114)&gt;0,0.5*'Thể lệ'!$E$11,'Thể lệ'!$E$11)))</f>
        <v>0</v>
      </c>
      <c r="CK114" s="29"/>
      <c r="CL114" s="29">
        <f>if($F114=$G114,if(and($F114=$G114,AG114&lt;&gt;AH114),'Thể lệ'!$E$11,if($F114=AG114,0,0.5*'Thể lệ'!$E$11)),if(and($F114=AG114,$G114=AH114),"0",if(($F114-$G114)*(AG114-AH114)&gt;0,0.5*'Thể lệ'!$E$11,'Thể lệ'!$E$11)))</f>
        <v>0</v>
      </c>
      <c r="CM114" s="29"/>
      <c r="CN114" s="29">
        <f>if($F114=$G114,if(and($F114=$G114,AI114&lt;&gt;AJ114),'Thể lệ'!$E$11,if($F114=AI114,0,0.5*'Thể lệ'!$E$11)),if(and($F114=AI114,$G114=AJ114),"0",if(($F114-$G114)*(AI114-AJ114)&gt;0,0.5*'Thể lệ'!$E$11,'Thể lệ'!$E$11)))</f>
        <v>0</v>
      </c>
      <c r="CO114" s="29"/>
      <c r="CP114" s="29">
        <f>if($F114=$G114,if(and($F114=$G114,AK114&lt;&gt;AL114),'Thể lệ'!$E$11,if($F114=AK114,0,0.5*'Thể lệ'!$E$11)),if(and($F114=AK114,$G114=AL114),"0",if(($F114-$G114)*(AK114-AL114)&gt;0,0.5*'Thể lệ'!$E$11,'Thể lệ'!$E$11)))</f>
        <v>0</v>
      </c>
      <c r="CQ114" s="29"/>
      <c r="CR114" s="29">
        <f>if($F114=$G114,if(and($F114=$G114,AM114&lt;&gt;AN114),'Thể lệ'!$E$11,if($F114=AM114,0,0.5*'Thể lệ'!$E$11)),if(and($F114=AM114,$G114=AN114),"0",if(($F114-$G114)*(AM114-AN114)&gt;0,0.5*'Thể lệ'!$E$11,'Thể lệ'!$E$11)))</f>
        <v>0</v>
      </c>
      <c r="CS114" s="29"/>
      <c r="CT114" s="29">
        <f>if($F114=$G114,if(and($F114=$G114,AO114&lt;&gt;AP114),'Thể lệ'!$E$11,if($F114=AO114,0,0.5*'Thể lệ'!$E$11)),if(and($F114=AO114,$G114=AP114),"0",if(($F114-$G114)*(AO114-AP114)&gt;0,0.5*'Thể lệ'!$E$11,'Thể lệ'!$E$11)))</f>
        <v>0</v>
      </c>
      <c r="CU114" s="29"/>
      <c r="CV114" s="29">
        <f>if($F114=$G114,if(and($F114=$G114,AQ114&lt;&gt;AR114),'Thể lệ'!$E$11,if($F114=AQ114,0,0.5*'Thể lệ'!$E$11)),if(and($F114=AQ114,$G114=AR114),"0",if(($F114-$G114)*(AQ114-AR114)&gt;0,0.5*'Thể lệ'!$E$11,'Thể lệ'!$E$11)))</f>
        <v>0</v>
      </c>
      <c r="CW114" s="29"/>
      <c r="CX114" s="29">
        <f>if($F114=$G114,if(and($F114=$G114,AS114&lt;&gt;AT114),'Thể lệ'!$E$11,if($F114=AS114,0,0.5*'Thể lệ'!$E$11)),if(and($F114=AS114,$G114=AT114),"0",if(($F114-$G114)*(AS114-AT114)&gt;0,0.5*'Thể lệ'!$E$11,'Thể lệ'!$E$11)))</f>
        <v>0</v>
      </c>
      <c r="CY114" s="29"/>
      <c r="CZ114" s="29">
        <f>if($F114=$G114,if(and($F114=$G114,AU114&lt;&gt;AV114),'Thể lệ'!$E$11,if($F114=AU114,0,0.5*'Thể lệ'!$E$11)),if(and($F114=AU114,$G114=AV114),"0",if(($F114-$G114)*(AU114-AV114)&gt;0,0.5*'Thể lệ'!$E$11,'Thể lệ'!$E$11)))</f>
        <v>0</v>
      </c>
      <c r="DA114" s="29"/>
      <c r="DB114" s="29">
        <f>if($F114=$G114,if(and($F114=$G114,AW114&lt;&gt;AX114),'Thể lệ'!$E$11,if($F114=AW114,0,0.5*'Thể lệ'!$E$11)),if(and($F114=AW114,$G114=AX114),"0",if(($F114-$G114)*(AW114-AX114)&gt;0,0.5*'Thể lệ'!$E$11,'Thể lệ'!$E$11)))</f>
        <v>0</v>
      </c>
      <c r="DC114" s="69"/>
      <c r="DD114" s="29">
        <f>if($F114=$G114,if(and($F114=$G114,AY114&lt;&gt;AZ114),'Thể lệ'!$E$11,if($F114=AY114,0,0.5*'Thể lệ'!$E$11)),if(and($F114=AY114,$G114=AZ114),"0",if(($F114-$G114)*(AY114-AZ114)&gt;0,0.5*'Thể lệ'!$E$11,'Thể lệ'!$E$11)))</f>
        <v>0</v>
      </c>
      <c r="DE114" s="85"/>
      <c r="DF114" s="29">
        <f>if($F114=$G114,if(and($F114=$G114,BA114&lt;&gt;BB114),'Thể lệ'!$E$11,if($F114=BA114,0,0.5*'Thể lệ'!$E$11)),if(and($F114=BA114,$G114=BB114),"0",if(($F114-$G114)*(BA114-BB114)&gt;0,0.5*'Thể lệ'!$E$11,'Thể lệ'!$E$11)))</f>
        <v>0</v>
      </c>
      <c r="DG114" s="85"/>
      <c r="DH114" s="29">
        <f>if($F114=$G114,if(and($F114=$G114,BC114&lt;&gt;BD114),'Thể lệ'!$E$11,if($F114=BC114,0,0.5*'Thể lệ'!$E$11)),if(and($F114=BC114,$G114=BD114),"0",if(($F114-$G114)*(BC114-BD114)&gt;0,0.5*'Thể lệ'!$E$11,'Thể lệ'!$E$11)))</f>
        <v>0</v>
      </c>
      <c r="DI114" s="85"/>
      <c r="DJ114" s="29">
        <f>if($F114=$G114,if(and($F114=$G114,BE114&lt;&gt;BF114),'Thể lệ'!$E$11,if($F114=BE114,0,0.5*'Thể lệ'!$E$11)),if(and($F114=BE114,$G114=BF114),"0",if(($F114-$G114)*(BE114-BF114)&gt;0,0.5*'Thể lệ'!$E$11,'Thể lệ'!$E$11)))</f>
        <v>0</v>
      </c>
      <c r="DK114" s="85"/>
      <c r="DL114" s="29">
        <f>if($F114=$G114,if(and($F114=$G114,BG114&lt;&gt;BH114),'Thể lệ'!$E$11,if($F114=BG114,0,0.5*'Thể lệ'!$E$11)),if(and($F114=BG114,$G114=BH114),"0",if(($F114-$G114)*(BG114-BH114)&gt;0,0.5*'Thể lệ'!$E$11,'Thể lệ'!$E$11)))</f>
        <v>0</v>
      </c>
      <c r="DM114" s="85"/>
      <c r="DN114" s="72">
        <f>if($F114=$G114,if(and($F114=$G114,BI114&lt;&gt;BJ114),'Thể lệ'!$E$11,if($F114=BI114,0,0.5*'Thể lệ'!$E$11)),if(and($F114=BI114,$G114=BJ114),"0",if(($F114-$G114)*(BI114-BJ114)&gt;0,0.5*'Thể lệ'!$E$11,'Thể lệ'!$E$11)))</f>
        <v>25000</v>
      </c>
      <c r="DO114" s="85"/>
      <c r="DP114" s="85"/>
    </row>
    <row r="115">
      <c r="A115" s="78"/>
      <c r="B115" s="71"/>
      <c r="C115" s="83" t="s">
        <v>86</v>
      </c>
      <c r="D115" s="80"/>
      <c r="E115" s="86"/>
      <c r="F115" s="23"/>
      <c r="G115" s="87"/>
      <c r="H115" s="88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83"/>
      <c r="AY115" s="83"/>
      <c r="AZ115" s="83"/>
      <c r="BA115" s="83"/>
      <c r="BB115" s="83"/>
      <c r="BC115" s="83"/>
      <c r="BD115" s="83"/>
      <c r="BE115" s="84"/>
      <c r="BF115" s="83"/>
      <c r="BG115" s="83"/>
      <c r="BH115" s="83"/>
      <c r="BI115" s="37">
        <f>H.Son!H115</f>
        <v>1</v>
      </c>
      <c r="BJ115" s="37">
        <f>H.Son!I115</f>
        <v>1</v>
      </c>
      <c r="BK115" s="83"/>
      <c r="BL115" s="83"/>
      <c r="BM115" s="15"/>
      <c r="BN115" s="29">
        <f>if($F115=$G115,if(and($F115=$G115,I115&lt;&gt;J115),'Thể lệ'!$E$11,if($F115=I115,0,0.5*'Thể lệ'!$E$11)),if(and($F115=I115,$G115=J115),"0",if(($F115-$G115)*(I115-J115)&gt;0,0.5*'Thể lệ'!$E$11,'Thể lệ'!$E$11)))</f>
        <v>0</v>
      </c>
      <c r="BO115" s="29"/>
      <c r="BP115" s="29">
        <f>if($F115=$G115,if(and($F115=$G115,K115&lt;&gt;L115),'Thể lệ'!$E$11,if($F115=K115,0,0.5*'Thể lệ'!$E$11)),if(and($F115=K115,$G115=L115),"0",if(($F115-$G115)*(K115-L115)&gt;0,0.5*'Thể lệ'!$E$11,'Thể lệ'!$E$11)))</f>
        <v>0</v>
      </c>
      <c r="BQ115" s="29"/>
      <c r="BR115" s="29">
        <f>if($F115=$G115,if(and($F115=$G115,M115&lt;&gt;N115),'Thể lệ'!$E$11,if($F115=M115,0,0.5*'Thể lệ'!$E$11)),if(and($F115=M115,$G115=N115),"0",if(($F115-$G115)*(M115-N115)&gt;0,0.5*'Thể lệ'!$E$11,'Thể lệ'!$E$11)))</f>
        <v>0</v>
      </c>
      <c r="BS115" s="29"/>
      <c r="BT115" s="29">
        <f>if($F115=$G115,if(and($F115=$G115,O115&lt;&gt;P115),'Thể lệ'!$E$11,if($F115=O115,0,0.5*'Thể lệ'!$E$11)),if(and($F115=O115,$G115=P115),"0",if(($F115-$G115)*(O115-P115)&gt;0,0.5*'Thể lệ'!$E$11,'Thể lệ'!$E$11)))</f>
        <v>0</v>
      </c>
      <c r="BU115" s="29"/>
      <c r="BV115" s="29">
        <f>if($F115=$G115,if(and($F115=$G115,Q115&lt;&gt;R115),'Thể lệ'!$E$11,if($F115=Q115,0,0.5*'Thể lệ'!$E$11)),if(and($F115=Q115,$G115=R115),"0",if(($F115-$G115)*(Q115-R115)&gt;0,0.5*'Thể lệ'!$E$11,'Thể lệ'!$E$11)))</f>
        <v>0</v>
      </c>
      <c r="BW115" s="29"/>
      <c r="BX115" s="29">
        <f>if($F115=$G115,if(and($F115=$G115,S115&lt;&gt;T115),'Thể lệ'!$E$11,if($F115=S115,0,0.5*'Thể lệ'!$E$11)),if(and($F115=S115,$G115=T115),"0",if(($F115-$G115)*(S115-T115)&gt;0,0.5*'Thể lệ'!$E$11,'Thể lệ'!$E$11)))</f>
        <v>0</v>
      </c>
      <c r="BY115" s="29"/>
      <c r="BZ115" s="29">
        <f>if($F115=$G115,if(and($F115=$G115,U115&lt;&gt;V115),'Thể lệ'!$E$11,if($F115=U115,0,0.5*'Thể lệ'!$E$11)),if(and($F115=U115,$G115=V115),"0",if(($F115-$G115)*(U115-V115)&gt;0,0.5*'Thể lệ'!$E$11,'Thể lệ'!$E$11)))</f>
        <v>0</v>
      </c>
      <c r="CA115" s="29"/>
      <c r="CB115" s="29">
        <f>if($F115=$G115,if(and($F115=$G115,W115&lt;&gt;X115),'Thể lệ'!$E$11,if($F115=W115,0,0.5*'Thể lệ'!$E$11)),if(and($F115=W115,$G115=X115),"0",if(($F115-$G115)*(W115-X115)&gt;0,0.5*'Thể lệ'!$E$11,'Thể lệ'!$E$11)))</f>
        <v>0</v>
      </c>
      <c r="CC115" s="29"/>
      <c r="CD115" s="29">
        <f>if($F115=$G115,if(and($F115=$G115,Y115&lt;&gt;Z115),'Thể lệ'!$E$11,if($F115=Y115,0,0.5*'Thể lệ'!$E$11)),if(and($F115=Y115,$G115=Z115),"0",if(($F115-$G115)*(Y115-Z115)&gt;0,0.5*'Thể lệ'!$E$11,'Thể lệ'!$E$11)))</f>
        <v>0</v>
      </c>
      <c r="CE115" s="29"/>
      <c r="CF115" s="29">
        <f>if($F115=$G115,if(and($F115=$G115,AA115&lt;&gt;AB115),'Thể lệ'!$E$11,if($F115=AA115,0,0.5*'Thể lệ'!$E$11)),if(and($F115=AA115,$G115=AB115),"0",if(($F115-$G115)*(AA115-AB115)&gt;0,0.5*'Thể lệ'!$E$11,'Thể lệ'!$E$11)))</f>
        <v>0</v>
      </c>
      <c r="CG115" s="29"/>
      <c r="CH115" s="29">
        <f>if($F115=$G115,if(and($F115=$G115,AC115&lt;&gt;AD115),'Thể lệ'!$E$11,if($F115=AC115,0,0.5*'Thể lệ'!$E$11)),if(and($F115=AC115,$G115=AD115),"0",if(($F115-$G115)*(AC115-AD115)&gt;0,0.5*'Thể lệ'!$E$11,'Thể lệ'!$E$11)))</f>
        <v>0</v>
      </c>
      <c r="CI115" s="29"/>
      <c r="CJ115" s="29">
        <f>if($F115=$G115,if(and($F115=$G115,AE115&lt;&gt;AF115),'Thể lệ'!$E$11,if($F115=AE115,0,0.5*'Thể lệ'!$E$11)),if(and($F115=AE115,$G115=AF115),"0",if(($F115-$G115)*(AE115-AF115)&gt;0,0.5*'Thể lệ'!$E$11,'Thể lệ'!$E$11)))</f>
        <v>0</v>
      </c>
      <c r="CK115" s="29"/>
      <c r="CL115" s="29">
        <f>if($F115=$G115,if(and($F115=$G115,AG115&lt;&gt;AH115),'Thể lệ'!$E$11,if($F115=AG115,0,0.5*'Thể lệ'!$E$11)),if(and($F115=AG115,$G115=AH115),"0",if(($F115-$G115)*(AG115-AH115)&gt;0,0.5*'Thể lệ'!$E$11,'Thể lệ'!$E$11)))</f>
        <v>0</v>
      </c>
      <c r="CM115" s="29"/>
      <c r="CN115" s="29">
        <f>if($F115=$G115,if(and($F115=$G115,AI115&lt;&gt;AJ115),'Thể lệ'!$E$11,if($F115=AI115,0,0.5*'Thể lệ'!$E$11)),if(and($F115=AI115,$G115=AJ115),"0",if(($F115-$G115)*(AI115-AJ115)&gt;0,0.5*'Thể lệ'!$E$11,'Thể lệ'!$E$11)))</f>
        <v>0</v>
      </c>
      <c r="CO115" s="29"/>
      <c r="CP115" s="29">
        <f>if($F115=$G115,if(and($F115=$G115,AK115&lt;&gt;AL115),'Thể lệ'!$E$11,if($F115=AK115,0,0.5*'Thể lệ'!$E$11)),if(and($F115=AK115,$G115=AL115),"0",if(($F115-$G115)*(AK115-AL115)&gt;0,0.5*'Thể lệ'!$E$11,'Thể lệ'!$E$11)))</f>
        <v>0</v>
      </c>
      <c r="CQ115" s="29"/>
      <c r="CR115" s="29">
        <f>if($F115=$G115,if(and($F115=$G115,AM115&lt;&gt;AN115),'Thể lệ'!$E$11,if($F115=AM115,0,0.5*'Thể lệ'!$E$11)),if(and($F115=AM115,$G115=AN115),"0",if(($F115-$G115)*(AM115-AN115)&gt;0,0.5*'Thể lệ'!$E$11,'Thể lệ'!$E$11)))</f>
        <v>0</v>
      </c>
      <c r="CS115" s="29"/>
      <c r="CT115" s="29">
        <f>if($F115=$G115,if(and($F115=$G115,AO115&lt;&gt;AP115),'Thể lệ'!$E$11,if($F115=AO115,0,0.5*'Thể lệ'!$E$11)),if(and($F115=AO115,$G115=AP115),"0",if(($F115-$G115)*(AO115-AP115)&gt;0,0.5*'Thể lệ'!$E$11,'Thể lệ'!$E$11)))</f>
        <v>0</v>
      </c>
      <c r="CU115" s="29"/>
      <c r="CV115" s="29">
        <f>if($F115=$G115,if(and($F115=$G115,AQ115&lt;&gt;AR115),'Thể lệ'!$E$11,if($F115=AQ115,0,0.5*'Thể lệ'!$E$11)),if(and($F115=AQ115,$G115=AR115),"0",if(($F115-$G115)*(AQ115-AR115)&gt;0,0.5*'Thể lệ'!$E$11,'Thể lệ'!$E$11)))</f>
        <v>0</v>
      </c>
      <c r="CW115" s="29"/>
      <c r="CX115" s="29">
        <f>if($F115=$G115,if(and($F115=$G115,AS115&lt;&gt;AT115),'Thể lệ'!$E$11,if($F115=AS115,0,0.5*'Thể lệ'!$E$11)),if(and($F115=AS115,$G115=AT115),"0",if(($F115-$G115)*(AS115-AT115)&gt;0,0.5*'Thể lệ'!$E$11,'Thể lệ'!$E$11)))</f>
        <v>0</v>
      </c>
      <c r="CY115" s="29"/>
      <c r="CZ115" s="29">
        <f>if($F115=$G115,if(and($F115=$G115,AU115&lt;&gt;AV115),'Thể lệ'!$E$11,if($F115=AU115,0,0.5*'Thể lệ'!$E$11)),if(and($F115=AU115,$G115=AV115),"0",if(($F115-$G115)*(AU115-AV115)&gt;0,0.5*'Thể lệ'!$E$11,'Thể lệ'!$E$11)))</f>
        <v>0</v>
      </c>
      <c r="DA115" s="29"/>
      <c r="DB115" s="29">
        <f>if($F115=$G115,if(and($F115=$G115,AW115&lt;&gt;AX115),'Thể lệ'!$E$11,if($F115=AW115,0,0.5*'Thể lệ'!$E$11)),if(and($F115=AW115,$G115=AX115),"0",if(($F115-$G115)*(AW115-AX115)&gt;0,0.5*'Thể lệ'!$E$11,'Thể lệ'!$E$11)))</f>
        <v>0</v>
      </c>
      <c r="DC115" s="69"/>
      <c r="DD115" s="29">
        <f>if($F115=$G115,if(and($F115=$G115,AY115&lt;&gt;AZ115),'Thể lệ'!$E$11,if($F115=AY115,0,0.5*'Thể lệ'!$E$11)),if(and($F115=AY115,$G115=AZ115),"0",if(($F115-$G115)*(AY115-AZ115)&gt;0,0.5*'Thể lệ'!$E$11,'Thể lệ'!$E$11)))</f>
        <v>0</v>
      </c>
      <c r="DE115" s="85"/>
      <c r="DF115" s="29">
        <f>if($F115=$G115,if(and($F115=$G115,BA115&lt;&gt;BB115),'Thể lệ'!$E$11,if($F115=BA115,0,0.5*'Thể lệ'!$E$11)),if(and($F115=BA115,$G115=BB115),"0",if(($F115-$G115)*(BA115-BB115)&gt;0,0.5*'Thể lệ'!$E$11,'Thể lệ'!$E$11)))</f>
        <v>0</v>
      </c>
      <c r="DG115" s="85"/>
      <c r="DH115" s="29">
        <f>if($F115=$G115,if(and($F115=$G115,BC115&lt;&gt;BD115),'Thể lệ'!$E$11,if($F115=BC115,0,0.5*'Thể lệ'!$E$11)),if(and($F115=BC115,$G115=BD115),"0",if(($F115-$G115)*(BC115-BD115)&gt;0,0.5*'Thể lệ'!$E$11,'Thể lệ'!$E$11)))</f>
        <v>0</v>
      </c>
      <c r="DI115" s="85"/>
      <c r="DJ115" s="29">
        <f>if($F115=$G115,if(and($F115=$G115,BE115&lt;&gt;BF115),'Thể lệ'!$E$11,if($F115=BE115,0,0.5*'Thể lệ'!$E$11)),if(and($F115=BE115,$G115=BF115),"0",if(($F115-$G115)*(BE115-BF115)&gt;0,0.5*'Thể lệ'!$E$11,'Thể lệ'!$E$11)))</f>
        <v>0</v>
      </c>
      <c r="DK115" s="85"/>
      <c r="DL115" s="29">
        <f>if($F115=$G115,if(and($F115=$G115,BG115&lt;&gt;BH115),'Thể lệ'!$E$11,if($F115=BG115,0,0.5*'Thể lệ'!$E$11)),if(and($F115=BG115,$G115=BH115),"0",if(($F115-$G115)*(BG115-BH115)&gt;0,0.5*'Thể lệ'!$E$11,'Thể lệ'!$E$11)))</f>
        <v>0</v>
      </c>
      <c r="DM115" s="85"/>
      <c r="DN115" s="72">
        <f>if($F115=$G115,if(and($F115=$G115,BI115&lt;&gt;BJ115),'Thể lệ'!$E$11,if($F115=BI115,0,0.5*'Thể lệ'!$E$11)),if(and($F115=BI115,$G115=BJ115),"0",if(($F115-$G115)*(BI115-BJ115)&gt;0,0.5*'Thể lệ'!$E$11,'Thể lệ'!$E$11)))</f>
        <v>25000</v>
      </c>
      <c r="DO115" s="85"/>
      <c r="DP115" s="85"/>
    </row>
    <row r="116">
      <c r="A116" s="89"/>
      <c r="B116" s="90">
        <v>104.0</v>
      </c>
      <c r="C116" s="79">
        <v>46223.08333333333</v>
      </c>
      <c r="D116" s="80">
        <v>46223.08333333333</v>
      </c>
      <c r="E116" s="86" t="s">
        <v>81</v>
      </c>
      <c r="F116" s="23"/>
      <c r="G116" s="59"/>
      <c r="H116" s="88" t="s">
        <v>81</v>
      </c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83"/>
      <c r="AY116" s="83"/>
      <c r="AZ116" s="83"/>
      <c r="BA116" s="83"/>
      <c r="BB116" s="83"/>
      <c r="BC116" s="83"/>
      <c r="BD116" s="83"/>
      <c r="BE116" s="84"/>
      <c r="BF116" s="83"/>
      <c r="BG116" s="83"/>
      <c r="BH116" s="83"/>
      <c r="BI116" s="37">
        <f>H.Son!H116</f>
        <v>1</v>
      </c>
      <c r="BJ116" s="37">
        <f>H.Son!I116</f>
        <v>1</v>
      </c>
      <c r="BK116" s="83"/>
      <c r="BL116" s="83"/>
      <c r="BM116" s="15"/>
      <c r="BN116" s="29">
        <f>if($F116=$G116,if(and($F116=$G116,I116&lt;&gt;J116),'Thể lệ'!$E$11,if($F116=I116,0,0.5*'Thể lệ'!$E$11)),if(and($F116=I116,$G116=J116),"0",if(($F116-$G116)*(I116-J116)&gt;0,0.5*'Thể lệ'!$E$11,'Thể lệ'!$E$11)))</f>
        <v>0</v>
      </c>
      <c r="BO116" s="29"/>
      <c r="BP116" s="29">
        <f>if($F116=$G116,if(and($F116=$G116,K116&lt;&gt;L116),'Thể lệ'!$E$11,if($F116=K116,0,0.5*'Thể lệ'!$E$11)),if(and($F116=K116,$G116=L116),"0",if(($F116-$G116)*(K116-L116)&gt;0,0.5*'Thể lệ'!$E$11,'Thể lệ'!$E$11)))</f>
        <v>0</v>
      </c>
      <c r="BQ116" s="29"/>
      <c r="BR116" s="29">
        <f>if($F116=$G116,if(and($F116=$G116,M116&lt;&gt;N116),'Thể lệ'!$E$11,if($F116=M116,0,0.5*'Thể lệ'!$E$11)),if(and($F116=M116,$G116=N116),"0",if(($F116-$G116)*(M116-N116)&gt;0,0.5*'Thể lệ'!$E$11,'Thể lệ'!$E$11)))</f>
        <v>0</v>
      </c>
      <c r="BS116" s="29"/>
      <c r="BT116" s="29">
        <f>if($F116=$G116,if(and($F116=$G116,O116&lt;&gt;P116),'Thể lệ'!$E$11,if($F116=O116,0,0.5*'Thể lệ'!$E$11)),if(and($F116=O116,$G116=P116),"0",if(($F116-$G116)*(O116-P116)&gt;0,0.5*'Thể lệ'!$E$11,'Thể lệ'!$E$11)))</f>
        <v>0</v>
      </c>
      <c r="BU116" s="29"/>
      <c r="BV116" s="29">
        <f>if($F116=$G116,if(and($F116=$G116,Q116&lt;&gt;R116),'Thể lệ'!$E$11,if($F116=Q116,0,0.5*'Thể lệ'!$E$11)),if(and($F116=Q116,$G116=R116),"0",if(($F116-$G116)*(Q116-R116)&gt;0,0.5*'Thể lệ'!$E$11,'Thể lệ'!$E$11)))</f>
        <v>0</v>
      </c>
      <c r="BW116" s="29"/>
      <c r="BX116" s="29">
        <f>if($F116=$G116,if(and($F116=$G116,S116&lt;&gt;T116),'Thể lệ'!$E$11,if($F116=S116,0,0.5*'Thể lệ'!$E$11)),if(and($F116=S116,$G116=T116),"0",if(($F116-$G116)*(S116-T116)&gt;0,0.5*'Thể lệ'!$E$11,'Thể lệ'!$E$11)))</f>
        <v>0</v>
      </c>
      <c r="BY116" s="29"/>
      <c r="BZ116" s="29">
        <f>if($F116=$G116,if(and($F116=$G116,U116&lt;&gt;V116),'Thể lệ'!$E$11,if($F116=U116,0,0.5*'Thể lệ'!$E$11)),if(and($F116=U116,$G116=V116),"0",if(($F116-$G116)*(U116-V116)&gt;0,0.5*'Thể lệ'!$E$11,'Thể lệ'!$E$11)))</f>
        <v>0</v>
      </c>
      <c r="CA116" s="29"/>
      <c r="CB116" s="29">
        <f>if($F116=$G116,if(and($F116=$G116,W116&lt;&gt;X116),'Thể lệ'!$E$11,if($F116=W116,0,0.5*'Thể lệ'!$E$11)),if(and($F116=W116,$G116=X116),"0",if(($F116-$G116)*(W116-X116)&gt;0,0.5*'Thể lệ'!$E$11,'Thể lệ'!$E$11)))</f>
        <v>0</v>
      </c>
      <c r="CC116" s="29"/>
      <c r="CD116" s="29">
        <f>if($F116=$G116,if(and($F116=$G116,Y116&lt;&gt;Z116),'Thể lệ'!$E$11,if($F116=Y116,0,0.5*'Thể lệ'!$E$11)),if(and($F116=Y116,$G116=Z116),"0",if(($F116-$G116)*(Y116-Z116)&gt;0,0.5*'Thể lệ'!$E$11,'Thể lệ'!$E$11)))</f>
        <v>0</v>
      </c>
      <c r="CE116" s="29"/>
      <c r="CF116" s="29">
        <f>if($F116=$G116,if(and($F116=$G116,AA116&lt;&gt;AB116),'Thể lệ'!$E$11,if($F116=AA116,0,0.5*'Thể lệ'!$E$11)),if(and($F116=AA116,$G116=AB116),"0",if(($F116-$G116)*(AA116-AB116)&gt;0,0.5*'Thể lệ'!$E$11,'Thể lệ'!$E$11)))</f>
        <v>0</v>
      </c>
      <c r="CG116" s="29"/>
      <c r="CH116" s="29">
        <f>if($F116=$G116,if(and($F116=$G116,AC116&lt;&gt;AD116),'Thể lệ'!$E$11,if($F116=AC116,0,0.5*'Thể lệ'!$E$11)),if(and($F116=AC116,$G116=AD116),"0",if(($F116-$G116)*(AC116-AD116)&gt;0,0.5*'Thể lệ'!$E$11,'Thể lệ'!$E$11)))</f>
        <v>0</v>
      </c>
      <c r="CI116" s="29"/>
      <c r="CJ116" s="29">
        <f>if($F116=$G116,if(and($F116=$G116,AE116&lt;&gt;AF116),'Thể lệ'!$E$11,if($F116=AE116,0,0.5*'Thể lệ'!$E$11)),if(and($F116=AE116,$G116=AF116),"0",if(($F116-$G116)*(AE116-AF116)&gt;0,0.5*'Thể lệ'!$E$11,'Thể lệ'!$E$11)))</f>
        <v>0</v>
      </c>
      <c r="CK116" s="29"/>
      <c r="CL116" s="29">
        <f>if($F116=$G116,if(and($F116=$G116,AG116&lt;&gt;AH116),'Thể lệ'!$E$11,if($F116=AG116,0,0.5*'Thể lệ'!$E$11)),if(and($F116=AG116,$G116=AH116),"0",if(($F116-$G116)*(AG116-AH116)&gt;0,0.5*'Thể lệ'!$E$11,'Thể lệ'!$E$11)))</f>
        <v>0</v>
      </c>
      <c r="CM116" s="29"/>
      <c r="CN116" s="29">
        <f>if($F116=$G116,if(and($F116=$G116,AI116&lt;&gt;AJ116),'Thể lệ'!$E$11,if($F116=AI116,0,0.5*'Thể lệ'!$E$11)),if(and($F116=AI116,$G116=AJ116),"0",if(($F116-$G116)*(AI116-AJ116)&gt;0,0.5*'Thể lệ'!$E$11,'Thể lệ'!$E$11)))</f>
        <v>0</v>
      </c>
      <c r="CO116" s="29"/>
      <c r="CP116" s="29">
        <f>if($F116=$G116,if(and($F116=$G116,AK116&lt;&gt;AL116),'Thể lệ'!$E$11,if($F116=AK116,0,0.5*'Thể lệ'!$E$11)),if(and($F116=AK116,$G116=AL116),"0",if(($F116-$G116)*(AK116-AL116)&gt;0,0.5*'Thể lệ'!$E$11,'Thể lệ'!$E$11)))</f>
        <v>0</v>
      </c>
      <c r="CQ116" s="29"/>
      <c r="CR116" s="29">
        <f>if($F116=$G116,if(and($F116=$G116,AM116&lt;&gt;AN116),'Thể lệ'!$E$11,if($F116=AM116,0,0.5*'Thể lệ'!$E$11)),if(and($F116=AM116,$G116=AN116),"0",if(($F116-$G116)*(AM116-AN116)&gt;0,0.5*'Thể lệ'!$E$11,'Thể lệ'!$E$11)))</f>
        <v>0</v>
      </c>
      <c r="CS116" s="29"/>
      <c r="CT116" s="29">
        <f>if($F116=$G116,if(and($F116=$G116,AO116&lt;&gt;AP116),'Thể lệ'!$E$11,if($F116=AO116,0,0.5*'Thể lệ'!$E$11)),if(and($F116=AO116,$G116=AP116),"0",if(($F116-$G116)*(AO116-AP116)&gt;0,0.5*'Thể lệ'!$E$11,'Thể lệ'!$E$11)))</f>
        <v>0</v>
      </c>
      <c r="CU116" s="29"/>
      <c r="CV116" s="29">
        <f>if($F116=$G116,if(and($F116=$G116,AQ116&lt;&gt;AR116),'Thể lệ'!$E$11,if($F116=AQ116,0,0.5*'Thể lệ'!$E$11)),if(and($F116=AQ116,$G116=AR116),"0",if(($F116-$G116)*(AQ116-AR116)&gt;0,0.5*'Thể lệ'!$E$11,'Thể lệ'!$E$11)))</f>
        <v>0</v>
      </c>
      <c r="CW116" s="29"/>
      <c r="CX116" s="29">
        <f>if($F116=$G116,if(and($F116=$G116,AS116&lt;&gt;AT116),'Thể lệ'!$E$11,if($F116=AS116,0,0.5*'Thể lệ'!$E$11)),if(and($F116=AS116,$G116=AT116),"0",if(($F116-$G116)*(AS116-AT116)&gt;0,0.5*'Thể lệ'!$E$11,'Thể lệ'!$E$11)))</f>
        <v>0</v>
      </c>
      <c r="CY116" s="29"/>
      <c r="CZ116" s="29">
        <f>if($F116=$G116,if(and($F116=$G116,AU116&lt;&gt;AV116),'Thể lệ'!$E$11,if($F116=AU116,0,0.5*'Thể lệ'!$E$11)),if(and($F116=AU116,$G116=AV116),"0",if(($F116-$G116)*(AU116-AV116)&gt;0,0.5*'Thể lệ'!$E$11,'Thể lệ'!$E$11)))</f>
        <v>0</v>
      </c>
      <c r="DA116" s="29"/>
      <c r="DB116" s="29">
        <f>if($F116=$G116,if(and($F116=$G116,AW116&lt;&gt;AX116),'Thể lệ'!$E$11,if($F116=AW116,0,0.5*'Thể lệ'!$E$11)),if(and($F116=AW116,$G116=AX116),"0",if(($F116-$G116)*(AW116-AX116)&gt;0,0.5*'Thể lệ'!$E$11,'Thể lệ'!$E$11)))</f>
        <v>0</v>
      </c>
      <c r="DC116" s="69"/>
      <c r="DD116" s="29">
        <f>if($F116=$G116,if(and($F116=$G116,AY116&lt;&gt;AZ116),'Thể lệ'!$E$11,if($F116=AY116,0,0.5*'Thể lệ'!$E$11)),if(and($F116=AY116,$G116=AZ116),"0",if(($F116-$G116)*(AY116-AZ116)&gt;0,0.5*'Thể lệ'!$E$11,'Thể lệ'!$E$11)))</f>
        <v>0</v>
      </c>
      <c r="DE116" s="85"/>
      <c r="DF116" s="29">
        <f>if($F116=$G116,if(and($F116=$G116,BA116&lt;&gt;BB116),'Thể lệ'!$E$11,if($F116=BA116,0,0.5*'Thể lệ'!$E$11)),if(and($F116=BA116,$G116=BB116),"0",if(($F116-$G116)*(BA116-BB116)&gt;0,0.5*'Thể lệ'!$E$11,'Thể lệ'!$E$11)))</f>
        <v>0</v>
      </c>
      <c r="DG116" s="85"/>
      <c r="DH116" s="29">
        <f>if($F116=$G116,if(and($F116=$G116,BC116&lt;&gt;BD116),'Thể lệ'!$E$11,if($F116=BC116,0,0.5*'Thể lệ'!$E$11)),if(and($F116=BC116,$G116=BD116),"0",if(($F116-$G116)*(BC116-BD116)&gt;0,0.5*'Thể lệ'!$E$11,'Thể lệ'!$E$11)))</f>
        <v>0</v>
      </c>
      <c r="DI116" s="85"/>
      <c r="DJ116" s="29">
        <f>if($F116=$G116,if(and($F116=$G116,BE116&lt;&gt;BF116),'Thể lệ'!$E$11,if($F116=BE116,0,0.5*'Thể lệ'!$E$11)),if(and($F116=BE116,$G116=BF116),"0",if(($F116-$G116)*(BE116-BF116)&gt;0,0.5*'Thể lệ'!$E$11,'Thể lệ'!$E$11)))</f>
        <v>0</v>
      </c>
      <c r="DK116" s="85"/>
      <c r="DL116" s="29">
        <f>if($F116=$G116,if(and($F116=$G116,BG116&lt;&gt;BH116),'Thể lệ'!$E$11,if($F116=BG116,0,0.5*'Thể lệ'!$E$11)),if(and($F116=BG116,$G116=BH116),"0",if(($F116-$G116)*(BG116-BH116)&gt;0,0.5*'Thể lệ'!$E$11,'Thể lệ'!$E$11)))</f>
        <v>0</v>
      </c>
      <c r="DM116" s="85"/>
      <c r="DN116" s="72">
        <f>if($F116=$G116,if(and($F116=$G116,BI116&lt;&gt;BJ116),'Thể lệ'!$E$11,if($F116=BI116,0,0.5*'Thể lệ'!$E$11)),if(and($F116=BI116,$G116=BJ116),"0",if(($F116-$G116)*(BI116-BJ116)&gt;0,0.5*'Thể lệ'!$E$11,'Thể lệ'!$E$11)))</f>
        <v>25000</v>
      </c>
      <c r="DO116" s="85"/>
      <c r="DP116" s="85"/>
    </row>
    <row r="117">
      <c r="A117" s="8"/>
      <c r="B117" s="8"/>
      <c r="C117" s="89"/>
      <c r="D117" s="91"/>
      <c r="E117" s="78"/>
      <c r="F117" s="8"/>
      <c r="G117" s="92"/>
      <c r="H117" s="91"/>
      <c r="I117" s="92"/>
      <c r="J117" s="92"/>
      <c r="K117" s="92"/>
      <c r="L117" s="92"/>
      <c r="M117" s="8"/>
      <c r="N117" s="92"/>
      <c r="O117" s="8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92"/>
      <c r="BO117" s="92"/>
      <c r="BP117" s="92"/>
      <c r="BQ117" s="92"/>
      <c r="BR117" s="92"/>
      <c r="BS117" s="92"/>
      <c r="BT117" s="92"/>
      <c r="BU117" s="92"/>
      <c r="BV117" s="92"/>
      <c r="BW117" s="92"/>
      <c r="BX117" s="92"/>
      <c r="BY117" s="92"/>
      <c r="BZ117" s="92"/>
      <c r="CA117" s="92"/>
      <c r="CB117" s="92"/>
      <c r="CC117" s="92"/>
      <c r="CD117" s="92"/>
      <c r="CE117" s="92"/>
      <c r="CF117" s="92"/>
      <c r="CG117" s="92"/>
      <c r="CH117" s="92"/>
      <c r="CI117" s="92"/>
      <c r="CJ117" s="92"/>
      <c r="CK117" s="92"/>
      <c r="CL117" s="92"/>
      <c r="CM117" s="92"/>
      <c r="CN117" s="92"/>
      <c r="CO117" s="92"/>
      <c r="CP117" s="92"/>
      <c r="CQ117" s="92"/>
      <c r="CR117" s="92"/>
      <c r="CS117" s="92"/>
      <c r="CT117" s="92"/>
      <c r="CU117" s="92"/>
      <c r="CV117" s="92"/>
      <c r="CW117" s="92"/>
      <c r="CX117" s="85"/>
      <c r="CY117" s="85"/>
      <c r="CZ117" s="85"/>
      <c r="DA117" s="85"/>
      <c r="DB117" s="85"/>
      <c r="DC117" s="85"/>
      <c r="DD117" s="85"/>
      <c r="DE117" s="85"/>
      <c r="DF117" s="85"/>
      <c r="DG117" s="85"/>
      <c r="DH117" s="85"/>
      <c r="DI117" s="85"/>
      <c r="DJ117" s="85"/>
      <c r="DK117" s="85"/>
      <c r="DL117" s="85"/>
      <c r="DM117" s="85"/>
      <c r="DN117" s="85"/>
      <c r="DO117" s="85"/>
      <c r="DP117" s="85"/>
    </row>
    <row r="118">
      <c r="A118" s="89"/>
      <c r="B118" s="8"/>
      <c r="C118" s="89"/>
      <c r="D118" s="91"/>
      <c r="E118" s="78"/>
      <c r="F118" s="8"/>
      <c r="G118" s="92"/>
      <c r="H118" s="91"/>
      <c r="I118" s="92"/>
      <c r="J118" s="92"/>
      <c r="K118" s="92"/>
      <c r="L118" s="92"/>
      <c r="M118" s="8"/>
      <c r="N118" s="92"/>
      <c r="O118" s="8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92"/>
      <c r="BO118" s="92"/>
      <c r="BP118" s="92"/>
      <c r="BQ118" s="92"/>
      <c r="BR118" s="92"/>
      <c r="BS118" s="92"/>
      <c r="BT118" s="92"/>
      <c r="BU118" s="92"/>
      <c r="BV118" s="92"/>
      <c r="BW118" s="92"/>
      <c r="BX118" s="92"/>
      <c r="BY118" s="92"/>
      <c r="BZ118" s="92"/>
      <c r="CA118" s="92"/>
      <c r="CB118" s="92"/>
      <c r="CC118" s="92"/>
      <c r="CD118" s="92"/>
      <c r="CE118" s="92"/>
      <c r="CF118" s="92"/>
      <c r="CG118" s="92"/>
      <c r="CH118" s="92"/>
      <c r="CI118" s="92"/>
      <c r="CJ118" s="92"/>
      <c r="CK118" s="92"/>
      <c r="CL118" s="92"/>
      <c r="CM118" s="92"/>
      <c r="CN118" s="92"/>
      <c r="CO118" s="92"/>
      <c r="CP118" s="92"/>
      <c r="CQ118" s="92"/>
      <c r="CR118" s="92"/>
      <c r="CS118" s="92"/>
      <c r="CT118" s="92"/>
      <c r="CU118" s="92"/>
      <c r="CV118" s="92"/>
      <c r="CW118" s="92"/>
      <c r="CX118" s="85"/>
      <c r="CY118" s="85"/>
      <c r="CZ118" s="85"/>
      <c r="DA118" s="85"/>
      <c r="DB118" s="85"/>
      <c r="DC118" s="85"/>
      <c r="DD118" s="85"/>
      <c r="DE118" s="85"/>
      <c r="DF118" s="85"/>
      <c r="DG118" s="85"/>
      <c r="DH118" s="85"/>
      <c r="DI118" s="85"/>
      <c r="DJ118" s="85"/>
      <c r="DK118" s="85"/>
      <c r="DL118" s="85"/>
      <c r="DM118" s="85"/>
      <c r="DN118" s="85"/>
      <c r="DO118" s="85"/>
      <c r="DP118" s="85"/>
    </row>
    <row r="119">
      <c r="A119" s="89"/>
      <c r="B119" s="8"/>
      <c r="C119" s="91"/>
      <c r="D119" s="91"/>
      <c r="E119" s="78"/>
      <c r="F119" s="8"/>
      <c r="G119" s="92"/>
      <c r="H119" s="91"/>
      <c r="I119" s="92"/>
      <c r="J119" s="92"/>
      <c r="K119" s="92"/>
      <c r="L119" s="92"/>
      <c r="M119" s="8"/>
      <c r="N119" s="92"/>
      <c r="O119" s="8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92"/>
      <c r="BO119" s="92"/>
      <c r="BP119" s="92"/>
      <c r="BQ119" s="92"/>
      <c r="BR119" s="92"/>
      <c r="BS119" s="92"/>
      <c r="BT119" s="92"/>
      <c r="BU119" s="92"/>
      <c r="BV119" s="92"/>
      <c r="BW119" s="92"/>
      <c r="BX119" s="92"/>
      <c r="BY119" s="92"/>
      <c r="BZ119" s="92"/>
      <c r="CA119" s="92"/>
      <c r="CB119" s="92"/>
      <c r="CC119" s="92"/>
      <c r="CD119" s="92"/>
      <c r="CE119" s="92"/>
      <c r="CF119" s="92"/>
      <c r="CG119" s="92"/>
      <c r="CH119" s="92"/>
      <c r="CI119" s="92"/>
      <c r="CJ119" s="92"/>
      <c r="CK119" s="92"/>
      <c r="CL119" s="92"/>
      <c r="CM119" s="92"/>
      <c r="CN119" s="92"/>
      <c r="CO119" s="92"/>
      <c r="CP119" s="92"/>
      <c r="CQ119" s="92"/>
      <c r="CR119" s="92"/>
      <c r="CS119" s="92"/>
      <c r="CT119" s="92"/>
      <c r="CU119" s="92"/>
      <c r="CV119" s="92"/>
      <c r="CW119" s="92"/>
      <c r="CX119" s="85"/>
      <c r="CY119" s="85"/>
      <c r="CZ119" s="85"/>
      <c r="DA119" s="85"/>
      <c r="DB119" s="85"/>
      <c r="DC119" s="85"/>
      <c r="DD119" s="85"/>
      <c r="DE119" s="85"/>
      <c r="DF119" s="85"/>
      <c r="DG119" s="85"/>
      <c r="DH119" s="85"/>
      <c r="DI119" s="85"/>
      <c r="DJ119" s="85"/>
      <c r="DK119" s="85"/>
      <c r="DL119" s="85"/>
      <c r="DM119" s="85"/>
      <c r="DN119" s="85"/>
      <c r="DO119" s="85"/>
      <c r="DP119" s="85"/>
    </row>
    <row r="120" hidden="1">
      <c r="A120" s="89"/>
      <c r="B120" s="8"/>
      <c r="C120" s="91"/>
      <c r="D120" s="91"/>
      <c r="E120" s="78"/>
      <c r="F120" s="8"/>
      <c r="G120" s="92"/>
      <c r="H120" s="91"/>
      <c r="I120" s="92"/>
      <c r="J120" s="92"/>
      <c r="K120" s="92"/>
      <c r="L120" s="92"/>
      <c r="M120" s="8"/>
      <c r="N120" s="92"/>
      <c r="O120" s="8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92"/>
      <c r="BO120" s="92"/>
      <c r="BP120" s="92"/>
      <c r="BQ120" s="92"/>
      <c r="BR120" s="92"/>
      <c r="BS120" s="92"/>
      <c r="BT120" s="92"/>
      <c r="BU120" s="92"/>
      <c r="BV120" s="92"/>
      <c r="BW120" s="92"/>
      <c r="BX120" s="92"/>
      <c r="BY120" s="92"/>
      <c r="BZ120" s="92"/>
      <c r="CA120" s="92"/>
      <c r="CB120" s="92"/>
      <c r="CC120" s="92"/>
      <c r="CD120" s="92"/>
      <c r="CE120" s="92"/>
      <c r="CF120" s="92"/>
      <c r="CG120" s="92"/>
      <c r="CH120" s="92"/>
      <c r="CI120" s="92"/>
      <c r="CJ120" s="92"/>
      <c r="CK120" s="92"/>
      <c r="CL120" s="92"/>
      <c r="CM120" s="92"/>
      <c r="CN120" s="92"/>
      <c r="CO120" s="92"/>
      <c r="CP120" s="92"/>
      <c r="CQ120" s="92"/>
      <c r="CR120" s="92"/>
      <c r="CS120" s="92"/>
      <c r="CT120" s="92"/>
      <c r="CU120" s="92"/>
      <c r="CV120" s="92"/>
      <c r="CW120" s="92"/>
      <c r="CX120" s="85"/>
      <c r="CY120" s="85"/>
      <c r="CZ120" s="85"/>
      <c r="DA120" s="85"/>
      <c r="DB120" s="85"/>
      <c r="DC120" s="85"/>
      <c r="DD120" s="85"/>
      <c r="DE120" s="85"/>
      <c r="DF120" s="85"/>
      <c r="DG120" s="85"/>
      <c r="DH120" s="85"/>
      <c r="DI120" s="85"/>
      <c r="DJ120" s="85"/>
      <c r="DK120" s="85"/>
      <c r="DL120" s="85"/>
      <c r="DM120" s="85"/>
      <c r="DN120" s="85"/>
      <c r="DO120" s="85"/>
      <c r="DP120" s="85"/>
    </row>
    <row r="121" hidden="1">
      <c r="A121" s="93"/>
      <c r="B121" s="8"/>
      <c r="C121" s="91"/>
      <c r="D121" s="91"/>
      <c r="E121" s="78"/>
      <c r="F121" s="8"/>
      <c r="G121" s="92"/>
      <c r="H121" s="91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92"/>
      <c r="BO121" s="92"/>
      <c r="BP121" s="92"/>
      <c r="BQ121" s="92"/>
      <c r="BR121" s="92"/>
      <c r="BS121" s="92"/>
      <c r="BT121" s="92"/>
      <c r="BU121" s="92"/>
      <c r="BV121" s="92"/>
      <c r="BW121" s="92"/>
      <c r="BX121" s="92"/>
      <c r="BY121" s="92"/>
      <c r="BZ121" s="92"/>
      <c r="CA121" s="92"/>
      <c r="CB121" s="92"/>
      <c r="CC121" s="92"/>
      <c r="CD121" s="92"/>
      <c r="CE121" s="92"/>
      <c r="CF121" s="92"/>
      <c r="CG121" s="92"/>
      <c r="CH121" s="92"/>
      <c r="CI121" s="92"/>
      <c r="CJ121" s="92"/>
      <c r="CK121" s="92"/>
      <c r="CL121" s="92"/>
      <c r="CM121" s="92"/>
      <c r="CN121" s="92"/>
      <c r="CO121" s="92"/>
      <c r="CP121" s="92"/>
      <c r="CQ121" s="92"/>
      <c r="CR121" s="92"/>
      <c r="CS121" s="92"/>
      <c r="CT121" s="92"/>
      <c r="CU121" s="92"/>
      <c r="CV121" s="92"/>
      <c r="CW121" s="92"/>
      <c r="CX121" s="85"/>
      <c r="CY121" s="85"/>
      <c r="CZ121" s="85"/>
      <c r="DA121" s="85"/>
      <c r="DB121" s="85"/>
      <c r="DC121" s="85"/>
      <c r="DD121" s="85"/>
      <c r="DE121" s="85"/>
      <c r="DF121" s="85"/>
      <c r="DG121" s="85"/>
      <c r="DH121" s="85"/>
      <c r="DI121" s="85"/>
      <c r="DJ121" s="85"/>
      <c r="DK121" s="85"/>
      <c r="DL121" s="85"/>
      <c r="DM121" s="85"/>
      <c r="DN121" s="85"/>
      <c r="DO121" s="85"/>
      <c r="DP121" s="85"/>
    </row>
    <row r="122" hidden="1">
      <c r="A122" s="93"/>
      <c r="B122" s="8"/>
      <c r="C122" s="91"/>
      <c r="D122" s="91"/>
      <c r="E122" s="78"/>
      <c r="F122" s="92"/>
      <c r="G122" s="92"/>
      <c r="H122" s="91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92"/>
      <c r="BO122" s="92"/>
      <c r="BP122" s="92"/>
      <c r="BQ122" s="92"/>
      <c r="BR122" s="92"/>
      <c r="BS122" s="92"/>
      <c r="BT122" s="92"/>
      <c r="BU122" s="92"/>
      <c r="BV122" s="92"/>
      <c r="BW122" s="92"/>
      <c r="BX122" s="92"/>
      <c r="BY122" s="92"/>
      <c r="BZ122" s="92"/>
      <c r="CA122" s="92"/>
      <c r="CB122" s="92"/>
      <c r="CC122" s="92"/>
      <c r="CD122" s="92"/>
      <c r="CE122" s="92"/>
      <c r="CF122" s="92"/>
      <c r="CG122" s="92"/>
      <c r="CH122" s="92"/>
      <c r="CI122" s="92"/>
      <c r="CJ122" s="92"/>
      <c r="CK122" s="92"/>
      <c r="CL122" s="92"/>
      <c r="CM122" s="92"/>
      <c r="CN122" s="92"/>
      <c r="CO122" s="92"/>
      <c r="CP122" s="92"/>
      <c r="CQ122" s="92"/>
      <c r="CR122" s="92"/>
      <c r="CS122" s="92"/>
      <c r="CT122" s="92"/>
      <c r="CU122" s="92"/>
      <c r="CV122" s="92"/>
      <c r="CW122" s="92"/>
      <c r="CX122" s="85"/>
      <c r="CY122" s="85"/>
      <c r="CZ122" s="85"/>
      <c r="DA122" s="85"/>
      <c r="DB122" s="85"/>
      <c r="DC122" s="85"/>
      <c r="DD122" s="85"/>
      <c r="DE122" s="85"/>
      <c r="DF122" s="85"/>
      <c r="DG122" s="85"/>
      <c r="DH122" s="85"/>
      <c r="DI122" s="85"/>
      <c r="DJ122" s="85"/>
      <c r="DK122" s="85"/>
      <c r="DL122" s="85"/>
      <c r="DM122" s="85"/>
      <c r="DN122" s="85"/>
      <c r="DO122" s="85"/>
      <c r="DP122" s="85"/>
    </row>
    <row r="123" hidden="1">
      <c r="A123" s="93"/>
      <c r="B123" s="8"/>
      <c r="C123" s="91"/>
      <c r="D123" s="91"/>
      <c r="E123" s="78"/>
      <c r="F123" s="92"/>
      <c r="G123" s="92"/>
      <c r="H123" s="91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92"/>
      <c r="BO123" s="92"/>
      <c r="BP123" s="92"/>
      <c r="BQ123" s="92"/>
      <c r="BR123" s="92"/>
      <c r="BS123" s="92"/>
      <c r="BT123" s="92"/>
      <c r="BU123" s="92"/>
      <c r="BV123" s="92"/>
      <c r="BW123" s="92"/>
      <c r="BX123" s="92"/>
      <c r="BY123" s="92"/>
      <c r="BZ123" s="92"/>
      <c r="CA123" s="92"/>
      <c r="CB123" s="92"/>
      <c r="CC123" s="92"/>
      <c r="CD123" s="92"/>
      <c r="CE123" s="92"/>
      <c r="CF123" s="92"/>
      <c r="CG123" s="92"/>
      <c r="CH123" s="92"/>
      <c r="CI123" s="92"/>
      <c r="CJ123" s="92"/>
      <c r="CK123" s="92"/>
      <c r="CL123" s="92"/>
      <c r="CM123" s="92"/>
      <c r="CN123" s="92"/>
      <c r="CO123" s="92"/>
      <c r="CP123" s="92"/>
      <c r="CQ123" s="92"/>
      <c r="CR123" s="92"/>
      <c r="CS123" s="92"/>
      <c r="CT123" s="92"/>
      <c r="CU123" s="92"/>
      <c r="CV123" s="92"/>
      <c r="CW123" s="92"/>
      <c r="CX123" s="85"/>
      <c r="CY123" s="85"/>
      <c r="CZ123" s="85"/>
      <c r="DA123" s="85"/>
      <c r="DB123" s="85"/>
      <c r="DC123" s="85"/>
      <c r="DD123" s="85"/>
      <c r="DE123" s="85"/>
      <c r="DF123" s="85"/>
      <c r="DG123" s="85"/>
      <c r="DH123" s="85"/>
      <c r="DI123" s="85"/>
      <c r="DJ123" s="85"/>
      <c r="DK123" s="85"/>
      <c r="DL123" s="85"/>
      <c r="DM123" s="85"/>
      <c r="DN123" s="85"/>
      <c r="DO123" s="85"/>
      <c r="DP123" s="85"/>
    </row>
    <row r="124" hidden="1">
      <c r="A124" s="93"/>
      <c r="B124" s="8"/>
      <c r="C124" s="91"/>
      <c r="D124" s="91"/>
      <c r="E124" s="78"/>
      <c r="F124" s="92"/>
      <c r="G124" s="92"/>
      <c r="H124" s="91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92"/>
      <c r="BO124" s="92"/>
      <c r="BP124" s="92"/>
      <c r="BQ124" s="92"/>
      <c r="BR124" s="92"/>
      <c r="BS124" s="92"/>
      <c r="BT124" s="92"/>
      <c r="BU124" s="92"/>
      <c r="BV124" s="92"/>
      <c r="BW124" s="92"/>
      <c r="BX124" s="92"/>
      <c r="BY124" s="92"/>
      <c r="BZ124" s="92"/>
      <c r="CA124" s="92"/>
      <c r="CB124" s="92"/>
      <c r="CC124" s="92"/>
      <c r="CD124" s="92"/>
      <c r="CE124" s="92"/>
      <c r="CF124" s="92"/>
      <c r="CG124" s="92"/>
      <c r="CH124" s="92"/>
      <c r="CI124" s="92"/>
      <c r="CJ124" s="92"/>
      <c r="CK124" s="92"/>
      <c r="CL124" s="92"/>
      <c r="CM124" s="92"/>
      <c r="CN124" s="92"/>
      <c r="CO124" s="92"/>
      <c r="CP124" s="92"/>
      <c r="CQ124" s="92"/>
      <c r="CR124" s="92"/>
      <c r="CS124" s="92"/>
      <c r="CT124" s="92"/>
      <c r="CU124" s="92"/>
      <c r="CV124" s="92"/>
      <c r="CW124" s="92"/>
      <c r="CX124" s="85"/>
      <c r="CY124" s="85"/>
      <c r="CZ124" s="85"/>
      <c r="DA124" s="85"/>
      <c r="DB124" s="85"/>
      <c r="DC124" s="85"/>
      <c r="DD124" s="85"/>
      <c r="DE124" s="85"/>
      <c r="DF124" s="85"/>
      <c r="DG124" s="85"/>
      <c r="DH124" s="85"/>
      <c r="DI124" s="85"/>
      <c r="DJ124" s="85"/>
      <c r="DK124" s="85"/>
      <c r="DL124" s="85"/>
      <c r="DM124" s="85"/>
      <c r="DN124" s="85"/>
      <c r="DO124" s="85"/>
      <c r="DP124" s="85"/>
    </row>
    <row r="125" hidden="1">
      <c r="A125" s="28"/>
      <c r="B125" s="28"/>
      <c r="F125" s="94"/>
      <c r="H125" s="94"/>
      <c r="I125" s="94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92"/>
      <c r="BO125" s="92"/>
      <c r="BP125" s="92"/>
      <c r="BQ125" s="92"/>
      <c r="BR125" s="92"/>
      <c r="BS125" s="92"/>
      <c r="BT125" s="92"/>
      <c r="BU125" s="92"/>
      <c r="BV125" s="92"/>
      <c r="BW125" s="92"/>
      <c r="BX125" s="92"/>
      <c r="BY125" s="92"/>
      <c r="BZ125" s="92"/>
      <c r="CA125" s="92"/>
      <c r="CB125" s="92"/>
      <c r="CC125" s="92"/>
      <c r="CD125" s="92"/>
      <c r="CE125" s="92"/>
      <c r="CF125" s="92"/>
      <c r="CG125" s="92"/>
      <c r="CH125" s="92"/>
      <c r="CI125" s="92"/>
      <c r="CJ125" s="92"/>
      <c r="CK125" s="92"/>
      <c r="CL125" s="92"/>
      <c r="CM125" s="92"/>
      <c r="CN125" s="92"/>
      <c r="CO125" s="92"/>
      <c r="CP125" s="92"/>
      <c r="CQ125" s="92"/>
      <c r="CR125" s="92"/>
      <c r="CS125" s="92"/>
      <c r="CT125" s="92"/>
      <c r="CU125" s="92"/>
      <c r="CV125" s="92"/>
      <c r="CW125" s="92"/>
      <c r="CX125" s="85"/>
      <c r="CY125" s="85"/>
      <c r="CZ125" s="85"/>
      <c r="DA125" s="85"/>
      <c r="DB125" s="85"/>
      <c r="DC125" s="85"/>
      <c r="DD125" s="85"/>
      <c r="DE125" s="85"/>
      <c r="DF125" s="85"/>
      <c r="DG125" s="85"/>
      <c r="DH125" s="85"/>
      <c r="DI125" s="85"/>
      <c r="DJ125" s="85"/>
      <c r="DK125" s="85"/>
      <c r="DL125" s="85"/>
      <c r="DM125" s="85"/>
      <c r="DN125" s="85"/>
      <c r="DO125" s="85"/>
      <c r="DP125" s="85"/>
    </row>
    <row r="126" hidden="1">
      <c r="A126" s="95"/>
      <c r="B126" s="95"/>
      <c r="E126" s="9"/>
      <c r="F126" s="94"/>
      <c r="H126" s="11"/>
      <c r="I126" s="11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92"/>
      <c r="BO126" s="92"/>
      <c r="BP126" s="92"/>
      <c r="BQ126" s="92"/>
      <c r="BR126" s="92"/>
      <c r="BS126" s="92"/>
      <c r="BT126" s="92"/>
      <c r="BU126" s="92"/>
      <c r="BV126" s="92"/>
      <c r="BW126" s="92"/>
      <c r="BX126" s="92"/>
      <c r="BY126" s="92"/>
      <c r="BZ126" s="92"/>
      <c r="CA126" s="92"/>
      <c r="CB126" s="92"/>
      <c r="CC126" s="92"/>
      <c r="CD126" s="92"/>
      <c r="CE126" s="92"/>
      <c r="CF126" s="92"/>
      <c r="CG126" s="92"/>
      <c r="CH126" s="92"/>
      <c r="CI126" s="92"/>
      <c r="CJ126" s="92"/>
      <c r="CK126" s="92"/>
      <c r="CL126" s="92"/>
      <c r="CM126" s="92"/>
      <c r="CN126" s="92"/>
      <c r="CO126" s="92"/>
      <c r="CP126" s="92"/>
      <c r="CQ126" s="92"/>
      <c r="CR126" s="92"/>
      <c r="CS126" s="92"/>
      <c r="CT126" s="92"/>
      <c r="CU126" s="92"/>
      <c r="CV126" s="92"/>
      <c r="CW126" s="92"/>
      <c r="CX126" s="85"/>
      <c r="CY126" s="85"/>
      <c r="CZ126" s="85"/>
      <c r="DA126" s="85"/>
      <c r="DB126" s="85"/>
      <c r="DC126" s="85"/>
      <c r="DD126" s="85"/>
      <c r="DE126" s="85"/>
      <c r="DF126" s="85"/>
      <c r="DG126" s="85"/>
      <c r="DH126" s="85"/>
      <c r="DI126" s="85"/>
      <c r="DJ126" s="85"/>
      <c r="DK126" s="85"/>
      <c r="DL126" s="85"/>
      <c r="DM126" s="85"/>
      <c r="DN126" s="85"/>
      <c r="DO126" s="85"/>
      <c r="DP126" s="85"/>
    </row>
    <row r="127" hidden="1">
      <c r="A127" s="95"/>
      <c r="E127" s="9"/>
      <c r="F127" s="94"/>
      <c r="H127" s="94"/>
      <c r="I127" s="94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92"/>
      <c r="BO127" s="92"/>
      <c r="BP127" s="92"/>
      <c r="BQ127" s="92"/>
      <c r="BR127" s="92"/>
      <c r="BS127" s="92"/>
      <c r="BT127" s="92"/>
      <c r="BU127" s="92"/>
      <c r="BV127" s="92"/>
      <c r="BW127" s="92"/>
      <c r="BX127" s="92"/>
      <c r="BY127" s="92"/>
      <c r="BZ127" s="92"/>
      <c r="CA127" s="92"/>
      <c r="CB127" s="92"/>
      <c r="CC127" s="92"/>
      <c r="CD127" s="92"/>
      <c r="CE127" s="92"/>
      <c r="CF127" s="92"/>
      <c r="CG127" s="92"/>
      <c r="CH127" s="92"/>
      <c r="CI127" s="92"/>
      <c r="CJ127" s="92"/>
      <c r="CK127" s="92"/>
      <c r="CL127" s="92"/>
      <c r="CM127" s="92"/>
      <c r="CN127" s="92"/>
      <c r="CO127" s="92"/>
      <c r="CP127" s="92"/>
      <c r="CQ127" s="92"/>
      <c r="CR127" s="92"/>
      <c r="CS127" s="92"/>
      <c r="CT127" s="92"/>
      <c r="CU127" s="92"/>
      <c r="CV127" s="92"/>
      <c r="CW127" s="92"/>
      <c r="CX127" s="85"/>
      <c r="CY127" s="85"/>
      <c r="CZ127" s="85"/>
      <c r="DA127" s="85"/>
      <c r="DB127" s="85"/>
      <c r="DC127" s="85"/>
      <c r="DD127" s="85"/>
      <c r="DE127" s="85"/>
      <c r="DF127" s="85"/>
      <c r="DG127" s="85"/>
      <c r="DH127" s="85"/>
      <c r="DI127" s="85"/>
      <c r="DJ127" s="85"/>
      <c r="DK127" s="85"/>
      <c r="DL127" s="85"/>
      <c r="DM127" s="85"/>
      <c r="DN127" s="85"/>
      <c r="DO127" s="85"/>
      <c r="DP127" s="85"/>
    </row>
    <row r="128">
      <c r="A128" s="96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92"/>
      <c r="BO128" s="92"/>
      <c r="BP128" s="92"/>
      <c r="BQ128" s="92"/>
      <c r="BR128" s="92"/>
      <c r="BS128" s="92"/>
      <c r="BT128" s="92"/>
      <c r="BU128" s="92"/>
      <c r="BV128" s="92"/>
      <c r="BW128" s="92"/>
      <c r="BX128" s="92"/>
      <c r="BY128" s="92"/>
      <c r="BZ128" s="92"/>
      <c r="CA128" s="92"/>
      <c r="CB128" s="92"/>
      <c r="CC128" s="92"/>
      <c r="CD128" s="92"/>
      <c r="CE128" s="92"/>
      <c r="CF128" s="92"/>
      <c r="CG128" s="92"/>
      <c r="CH128" s="92"/>
      <c r="CI128" s="92"/>
      <c r="CJ128" s="92"/>
      <c r="CK128" s="92"/>
      <c r="CL128" s="92"/>
      <c r="CM128" s="92"/>
      <c r="CN128" s="92"/>
      <c r="CO128" s="92"/>
      <c r="CP128" s="92"/>
      <c r="CQ128" s="92"/>
      <c r="CR128" s="92"/>
      <c r="CS128" s="92"/>
      <c r="CT128" s="92"/>
      <c r="CU128" s="92"/>
      <c r="CV128" s="92"/>
      <c r="CW128" s="92"/>
      <c r="CX128" s="85"/>
      <c r="CY128" s="85"/>
      <c r="CZ128" s="85"/>
      <c r="DA128" s="85"/>
      <c r="DB128" s="85"/>
      <c r="DC128" s="85"/>
      <c r="DD128" s="85"/>
      <c r="DE128" s="85"/>
      <c r="DF128" s="85"/>
      <c r="DG128" s="85"/>
      <c r="DH128" s="85"/>
      <c r="DI128" s="85"/>
      <c r="DJ128" s="85"/>
      <c r="DK128" s="85"/>
      <c r="DL128" s="85"/>
      <c r="DM128" s="85"/>
      <c r="DN128" s="85"/>
      <c r="DO128" s="85"/>
      <c r="DP128" s="85"/>
    </row>
    <row r="129">
      <c r="A129" s="96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92"/>
      <c r="BO129" s="92"/>
      <c r="BP129" s="92"/>
      <c r="BQ129" s="92"/>
      <c r="BR129" s="92"/>
      <c r="BS129" s="92"/>
      <c r="BT129" s="92"/>
      <c r="BU129" s="92"/>
      <c r="BV129" s="92"/>
      <c r="BW129" s="92"/>
      <c r="BX129" s="92"/>
      <c r="BY129" s="92"/>
      <c r="BZ129" s="92"/>
      <c r="CA129" s="92"/>
      <c r="CB129" s="92"/>
      <c r="CC129" s="92"/>
      <c r="CD129" s="92"/>
      <c r="CE129" s="92"/>
      <c r="CF129" s="92"/>
      <c r="CG129" s="92"/>
      <c r="CH129" s="92"/>
      <c r="CI129" s="92"/>
      <c r="CJ129" s="92"/>
      <c r="CK129" s="92"/>
      <c r="CL129" s="92"/>
      <c r="CM129" s="92"/>
      <c r="CN129" s="92"/>
      <c r="CO129" s="92"/>
      <c r="CP129" s="92"/>
      <c r="CQ129" s="92"/>
      <c r="CR129" s="92"/>
      <c r="CS129" s="92"/>
      <c r="CT129" s="92"/>
      <c r="CU129" s="92"/>
      <c r="CV129" s="92"/>
      <c r="CW129" s="92"/>
      <c r="CX129" s="85"/>
      <c r="CY129" s="85"/>
      <c r="CZ129" s="85"/>
      <c r="DA129" s="85"/>
      <c r="DB129" s="85"/>
      <c r="DC129" s="85"/>
      <c r="DD129" s="85"/>
      <c r="DE129" s="85"/>
      <c r="DF129" s="85"/>
      <c r="DG129" s="85"/>
      <c r="DH129" s="85"/>
      <c r="DI129" s="85"/>
      <c r="DJ129" s="85"/>
      <c r="DK129" s="85"/>
      <c r="DL129" s="85"/>
      <c r="DM129" s="85"/>
      <c r="DN129" s="85"/>
      <c r="DO129" s="85"/>
      <c r="DP129" s="85"/>
    </row>
    <row r="130">
      <c r="A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</row>
    <row r="131">
      <c r="A131" s="93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92"/>
      <c r="BO131" s="92"/>
      <c r="BP131" s="92"/>
      <c r="BQ131" s="92"/>
      <c r="BR131" s="92"/>
      <c r="BS131" s="92"/>
      <c r="BT131" s="92"/>
      <c r="BU131" s="92"/>
      <c r="BV131" s="92"/>
      <c r="BW131" s="92"/>
      <c r="BX131" s="92"/>
      <c r="BY131" s="92"/>
      <c r="BZ131" s="92"/>
      <c r="CA131" s="92"/>
      <c r="CB131" s="92"/>
      <c r="CC131" s="92"/>
      <c r="CD131" s="92"/>
      <c r="CE131" s="92"/>
      <c r="CF131" s="92"/>
      <c r="CG131" s="92"/>
      <c r="CH131" s="92"/>
      <c r="CI131" s="92"/>
      <c r="CJ131" s="92"/>
      <c r="CK131" s="92"/>
      <c r="CL131" s="92"/>
      <c r="CM131" s="92"/>
      <c r="CN131" s="92"/>
      <c r="CO131" s="92"/>
      <c r="CP131" s="92"/>
      <c r="CQ131" s="92"/>
      <c r="CR131" s="92"/>
      <c r="CS131" s="92"/>
      <c r="CT131" s="92"/>
      <c r="CU131" s="92"/>
      <c r="CV131" s="92"/>
      <c r="CW131" s="92"/>
      <c r="CX131" s="85"/>
      <c r="CY131" s="85"/>
      <c r="CZ131" s="85"/>
      <c r="DA131" s="85"/>
      <c r="DB131" s="85"/>
      <c r="DC131" s="85"/>
      <c r="DD131" s="85"/>
      <c r="DE131" s="85"/>
      <c r="DF131" s="85"/>
      <c r="DG131" s="85"/>
      <c r="DH131" s="85"/>
      <c r="DI131" s="85"/>
      <c r="DJ131" s="85"/>
      <c r="DK131" s="85"/>
      <c r="DL131" s="85"/>
      <c r="DM131" s="85"/>
      <c r="DN131" s="85"/>
      <c r="DO131" s="85"/>
      <c r="DP131" s="85"/>
    </row>
    <row r="132" ht="48.75" customHeight="1">
      <c r="A132" s="2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68"/>
      <c r="AB132" s="68"/>
      <c r="AC132" s="68"/>
      <c r="AD132" s="68"/>
      <c r="AE132" s="68"/>
      <c r="AF132" s="68"/>
      <c r="AG132" s="68"/>
      <c r="AH132" s="68"/>
      <c r="AI132" s="68"/>
      <c r="AJ132" s="68"/>
      <c r="AK132" s="68"/>
      <c r="AL132" s="68"/>
      <c r="AM132" s="68"/>
      <c r="AN132" s="68"/>
      <c r="AO132" s="68"/>
      <c r="AP132" s="68"/>
      <c r="AQ132" s="68"/>
      <c r="AR132" s="68"/>
      <c r="AS132" s="68"/>
      <c r="AT132" s="68"/>
      <c r="AU132" s="68"/>
      <c r="AV132" s="68"/>
      <c r="AW132" s="68"/>
      <c r="AX132" s="68"/>
      <c r="AY132" s="68"/>
      <c r="AZ132" s="68"/>
      <c r="BA132" s="68"/>
      <c r="BB132" s="68"/>
      <c r="BC132" s="68"/>
      <c r="BD132" s="68"/>
      <c r="BE132" s="68"/>
      <c r="BF132" s="68"/>
      <c r="BG132" s="68"/>
      <c r="BH132" s="68"/>
      <c r="BI132" s="68"/>
      <c r="BJ132" s="68"/>
      <c r="BK132" s="68"/>
      <c r="BL132" s="68"/>
      <c r="BM132" s="68"/>
      <c r="BN132" s="68"/>
      <c r="BO132" s="68"/>
      <c r="BP132" s="68"/>
      <c r="BQ132" s="68"/>
      <c r="BR132" s="68"/>
      <c r="BS132" s="68"/>
      <c r="BT132" s="68"/>
      <c r="BU132" s="68"/>
      <c r="BV132" s="68"/>
      <c r="BW132" s="68"/>
      <c r="BX132" s="68"/>
      <c r="BY132" s="68"/>
      <c r="BZ132" s="68"/>
      <c r="CA132" s="68"/>
      <c r="CB132" s="68"/>
      <c r="CC132" s="68"/>
      <c r="CD132" s="68"/>
      <c r="CE132" s="68"/>
      <c r="CF132" s="68"/>
      <c r="CG132" s="68"/>
      <c r="CH132" s="68"/>
      <c r="CI132" s="68"/>
      <c r="CJ132" s="68"/>
      <c r="CK132" s="68"/>
      <c r="CL132" s="68"/>
      <c r="CM132" s="68"/>
      <c r="CN132" s="68"/>
      <c r="CO132" s="68"/>
      <c r="CP132" s="68"/>
      <c r="CQ132" s="68"/>
      <c r="CR132" s="68"/>
      <c r="CS132" s="68"/>
      <c r="CT132" s="68"/>
      <c r="CU132" s="68"/>
      <c r="CV132" s="68"/>
      <c r="CW132" s="68"/>
      <c r="CX132" s="68"/>
      <c r="CY132" s="68"/>
      <c r="CZ132" s="68"/>
      <c r="DA132" s="68"/>
      <c r="DB132" s="68"/>
      <c r="DC132" s="68"/>
      <c r="DD132" s="68"/>
      <c r="DE132" s="68"/>
      <c r="DF132" s="68"/>
      <c r="DG132" s="68"/>
      <c r="DH132" s="68"/>
      <c r="DI132" s="68"/>
      <c r="DJ132" s="68"/>
      <c r="DK132" s="68"/>
      <c r="DL132" s="68"/>
      <c r="DM132" s="68"/>
      <c r="DN132" s="68"/>
      <c r="DO132" s="68"/>
      <c r="DP132" s="68"/>
    </row>
    <row r="133" ht="21.75" customHeight="1">
      <c r="A133" s="91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92"/>
      <c r="BO133" s="92"/>
      <c r="BP133" s="92"/>
      <c r="BQ133" s="92"/>
      <c r="BR133" s="92"/>
      <c r="BS133" s="92"/>
      <c r="BT133" s="92"/>
      <c r="BU133" s="92"/>
      <c r="BV133" s="92"/>
      <c r="BW133" s="92"/>
      <c r="BX133" s="92"/>
      <c r="BY133" s="92"/>
      <c r="BZ133" s="92"/>
      <c r="CA133" s="92"/>
      <c r="CB133" s="92"/>
      <c r="CC133" s="92"/>
      <c r="CD133" s="92"/>
      <c r="CE133" s="92"/>
      <c r="CF133" s="92"/>
      <c r="CG133" s="92"/>
      <c r="CH133" s="92"/>
      <c r="CI133" s="92"/>
      <c r="CJ133" s="92"/>
      <c r="CK133" s="92"/>
      <c r="CL133" s="92"/>
      <c r="CM133" s="92"/>
      <c r="CN133" s="92"/>
      <c r="CO133" s="92"/>
      <c r="CP133" s="92"/>
      <c r="CQ133" s="92"/>
      <c r="CR133" s="92"/>
      <c r="CS133" s="92"/>
      <c r="CT133" s="92"/>
      <c r="CU133" s="92"/>
      <c r="CV133" s="92"/>
      <c r="CW133" s="92"/>
      <c r="CX133" s="85"/>
      <c r="CY133" s="85"/>
      <c r="CZ133" s="85"/>
      <c r="DA133" s="85"/>
      <c r="DB133" s="85"/>
      <c r="DC133" s="85"/>
      <c r="DD133" s="85"/>
      <c r="DE133" s="85"/>
      <c r="DF133" s="85"/>
      <c r="DG133" s="85"/>
      <c r="DH133" s="85"/>
      <c r="DI133" s="85"/>
      <c r="DJ133" s="85"/>
      <c r="DK133" s="85"/>
      <c r="DL133" s="85"/>
      <c r="DM133" s="85"/>
      <c r="DN133" s="85"/>
      <c r="DO133" s="85"/>
      <c r="DP133" s="85"/>
    </row>
    <row r="134" ht="21.75" customHeight="1">
      <c r="A134" s="91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92"/>
      <c r="BO134" s="92"/>
      <c r="BP134" s="92"/>
      <c r="BQ134" s="92"/>
      <c r="BR134" s="92"/>
      <c r="BS134" s="92"/>
      <c r="BT134" s="92"/>
      <c r="BU134" s="92"/>
      <c r="BV134" s="92"/>
      <c r="BW134" s="92"/>
      <c r="BX134" s="92"/>
      <c r="BY134" s="92"/>
      <c r="BZ134" s="92"/>
      <c r="CA134" s="92"/>
      <c r="CB134" s="92"/>
      <c r="CC134" s="92"/>
      <c r="CD134" s="92"/>
      <c r="CE134" s="92"/>
      <c r="CF134" s="92"/>
      <c r="CG134" s="92"/>
      <c r="CH134" s="92"/>
      <c r="CI134" s="92"/>
      <c r="CJ134" s="92"/>
      <c r="CK134" s="92"/>
      <c r="CL134" s="92"/>
      <c r="CM134" s="92"/>
      <c r="CN134" s="92"/>
      <c r="CO134" s="92"/>
      <c r="CP134" s="92"/>
      <c r="CQ134" s="92"/>
      <c r="CR134" s="92"/>
      <c r="CS134" s="92"/>
      <c r="CT134" s="92"/>
      <c r="CU134" s="92"/>
      <c r="CV134" s="92"/>
      <c r="CW134" s="92"/>
      <c r="CX134" s="85"/>
      <c r="CY134" s="85"/>
      <c r="CZ134" s="85"/>
      <c r="DA134" s="85"/>
      <c r="DB134" s="85"/>
      <c r="DC134" s="85"/>
      <c r="DD134" s="85"/>
      <c r="DE134" s="85"/>
      <c r="DF134" s="85"/>
      <c r="DG134" s="85"/>
      <c r="DH134" s="85"/>
      <c r="DI134" s="85"/>
      <c r="DJ134" s="85"/>
      <c r="DK134" s="85"/>
      <c r="DL134" s="85"/>
      <c r="DM134" s="85"/>
      <c r="DN134" s="85"/>
      <c r="DO134" s="85"/>
      <c r="DP134" s="85"/>
    </row>
    <row r="135" ht="21.75" customHeight="1">
      <c r="A135" s="91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92"/>
      <c r="BO135" s="92"/>
      <c r="BP135" s="92"/>
      <c r="BQ135" s="92"/>
      <c r="BR135" s="92"/>
      <c r="BS135" s="92"/>
      <c r="BT135" s="92"/>
      <c r="BU135" s="92"/>
      <c r="BV135" s="92"/>
      <c r="BW135" s="92"/>
      <c r="BX135" s="92"/>
      <c r="BY135" s="92"/>
      <c r="BZ135" s="92"/>
      <c r="CA135" s="92"/>
      <c r="CB135" s="92"/>
      <c r="CC135" s="92"/>
      <c r="CD135" s="92"/>
      <c r="CE135" s="92"/>
      <c r="CF135" s="92"/>
      <c r="CG135" s="92"/>
      <c r="CH135" s="92"/>
      <c r="CI135" s="92"/>
      <c r="CJ135" s="92"/>
      <c r="CK135" s="92"/>
      <c r="CL135" s="92"/>
      <c r="CM135" s="92"/>
      <c r="CN135" s="92"/>
      <c r="CO135" s="92"/>
      <c r="CP135" s="92"/>
      <c r="CQ135" s="92"/>
      <c r="CR135" s="92"/>
      <c r="CS135" s="92"/>
      <c r="CT135" s="92"/>
      <c r="CU135" s="92"/>
      <c r="CV135" s="92"/>
      <c r="CW135" s="92"/>
      <c r="CX135" s="85"/>
      <c r="CY135" s="85"/>
      <c r="CZ135" s="85"/>
      <c r="DA135" s="85"/>
      <c r="DB135" s="85"/>
      <c r="DC135" s="85"/>
      <c r="DD135" s="85"/>
      <c r="DE135" s="85"/>
      <c r="DF135" s="85"/>
      <c r="DG135" s="85"/>
      <c r="DH135" s="85"/>
      <c r="DI135" s="85"/>
      <c r="DJ135" s="85"/>
      <c r="DK135" s="85"/>
      <c r="DL135" s="85"/>
      <c r="DM135" s="85"/>
      <c r="DN135" s="85"/>
      <c r="DO135" s="85"/>
      <c r="DP135" s="85"/>
    </row>
    <row r="136" ht="21.75" customHeight="1">
      <c r="A136" s="91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92"/>
      <c r="BO136" s="92"/>
      <c r="BP136" s="92"/>
      <c r="BQ136" s="92"/>
      <c r="BR136" s="92"/>
      <c r="BS136" s="92"/>
      <c r="BT136" s="92"/>
      <c r="BU136" s="92"/>
      <c r="BV136" s="92"/>
      <c r="BW136" s="92"/>
      <c r="BX136" s="92"/>
      <c r="BY136" s="92"/>
      <c r="BZ136" s="92"/>
      <c r="CA136" s="92"/>
      <c r="CB136" s="92"/>
      <c r="CC136" s="92"/>
      <c r="CD136" s="92"/>
      <c r="CE136" s="92"/>
      <c r="CF136" s="92"/>
      <c r="CG136" s="92"/>
      <c r="CH136" s="92"/>
      <c r="CI136" s="92"/>
      <c r="CJ136" s="92"/>
      <c r="CK136" s="92"/>
      <c r="CL136" s="92"/>
      <c r="CM136" s="92"/>
      <c r="CN136" s="92"/>
      <c r="CO136" s="92"/>
      <c r="CP136" s="92"/>
      <c r="CQ136" s="92"/>
      <c r="CR136" s="92"/>
      <c r="CS136" s="92"/>
      <c r="CT136" s="92"/>
      <c r="CU136" s="92"/>
      <c r="CV136" s="92"/>
      <c r="CW136" s="92"/>
      <c r="CX136" s="85"/>
      <c r="CY136" s="85"/>
      <c r="CZ136" s="85"/>
      <c r="DA136" s="85"/>
      <c r="DB136" s="85"/>
      <c r="DC136" s="85"/>
      <c r="DD136" s="85"/>
      <c r="DE136" s="85"/>
      <c r="DF136" s="85"/>
      <c r="DG136" s="85"/>
      <c r="DH136" s="85"/>
      <c r="DI136" s="85"/>
      <c r="DJ136" s="85"/>
      <c r="DK136" s="85"/>
      <c r="DL136" s="85"/>
      <c r="DM136" s="85"/>
      <c r="DN136" s="85"/>
      <c r="DO136" s="85"/>
      <c r="DP136" s="85"/>
    </row>
    <row r="137" ht="21.75" customHeight="1">
      <c r="A137" s="91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92"/>
      <c r="BO137" s="92"/>
      <c r="BP137" s="92"/>
      <c r="BQ137" s="92"/>
      <c r="BR137" s="92"/>
      <c r="BS137" s="92"/>
      <c r="BT137" s="92"/>
      <c r="BU137" s="92"/>
      <c r="BV137" s="92"/>
      <c r="BW137" s="92"/>
      <c r="BX137" s="92"/>
      <c r="BY137" s="92"/>
      <c r="BZ137" s="92"/>
      <c r="CA137" s="92"/>
      <c r="CB137" s="92"/>
      <c r="CC137" s="92"/>
      <c r="CD137" s="92"/>
      <c r="CE137" s="92"/>
      <c r="CF137" s="92"/>
      <c r="CG137" s="92"/>
      <c r="CH137" s="92"/>
      <c r="CI137" s="92"/>
      <c r="CJ137" s="92"/>
      <c r="CK137" s="92"/>
      <c r="CL137" s="92"/>
      <c r="CM137" s="92"/>
      <c r="CN137" s="92"/>
      <c r="CO137" s="92"/>
      <c r="CP137" s="92"/>
      <c r="CQ137" s="92"/>
      <c r="CR137" s="92"/>
      <c r="CS137" s="92"/>
      <c r="CT137" s="92"/>
      <c r="CU137" s="92"/>
      <c r="CV137" s="92"/>
      <c r="CW137" s="92"/>
      <c r="CX137" s="85"/>
      <c r="CY137" s="85"/>
      <c r="CZ137" s="85"/>
      <c r="DA137" s="85"/>
      <c r="DB137" s="85"/>
      <c r="DC137" s="85"/>
      <c r="DD137" s="85"/>
      <c r="DE137" s="85"/>
      <c r="DF137" s="85"/>
      <c r="DG137" s="85"/>
      <c r="DH137" s="85"/>
      <c r="DI137" s="85"/>
      <c r="DJ137" s="85"/>
      <c r="DK137" s="85"/>
      <c r="DL137" s="85"/>
      <c r="DM137" s="85"/>
      <c r="DN137" s="85"/>
      <c r="DO137" s="85"/>
      <c r="DP137" s="85"/>
    </row>
    <row r="138" ht="21.75" customHeight="1">
      <c r="A138" s="91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92"/>
      <c r="BO138" s="92"/>
      <c r="BP138" s="92"/>
      <c r="BQ138" s="92"/>
      <c r="BR138" s="92"/>
      <c r="BS138" s="92"/>
      <c r="BT138" s="92"/>
      <c r="BU138" s="92"/>
      <c r="BV138" s="92"/>
      <c r="BW138" s="92"/>
      <c r="BX138" s="92"/>
      <c r="BY138" s="92"/>
      <c r="BZ138" s="92"/>
      <c r="CA138" s="92"/>
      <c r="CB138" s="92"/>
      <c r="CC138" s="92"/>
      <c r="CD138" s="92"/>
      <c r="CE138" s="92"/>
      <c r="CF138" s="92"/>
      <c r="CG138" s="92"/>
      <c r="CH138" s="92"/>
      <c r="CI138" s="92"/>
      <c r="CJ138" s="92"/>
      <c r="CK138" s="92"/>
      <c r="CL138" s="92"/>
      <c r="CM138" s="92"/>
      <c r="CN138" s="92"/>
      <c r="CO138" s="92"/>
      <c r="CP138" s="92"/>
      <c r="CQ138" s="92"/>
      <c r="CR138" s="92"/>
      <c r="CS138" s="92"/>
      <c r="CT138" s="92"/>
      <c r="CU138" s="92"/>
      <c r="CV138" s="92"/>
      <c r="CW138" s="92"/>
      <c r="CX138" s="85"/>
      <c r="CY138" s="85"/>
      <c r="CZ138" s="85"/>
      <c r="DA138" s="85"/>
      <c r="DB138" s="85"/>
      <c r="DC138" s="85"/>
      <c r="DD138" s="85"/>
      <c r="DE138" s="85"/>
      <c r="DF138" s="85"/>
      <c r="DG138" s="85"/>
      <c r="DH138" s="85"/>
      <c r="DI138" s="85"/>
      <c r="DJ138" s="85"/>
      <c r="DK138" s="85"/>
      <c r="DL138" s="85"/>
      <c r="DM138" s="85"/>
      <c r="DN138" s="85"/>
      <c r="DO138" s="85"/>
      <c r="DP138" s="85"/>
    </row>
    <row r="139" ht="21.75" customHeight="1">
      <c r="A139" s="91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92"/>
      <c r="BO139" s="92"/>
      <c r="BP139" s="92"/>
      <c r="BQ139" s="92"/>
      <c r="BR139" s="92"/>
      <c r="BS139" s="92"/>
      <c r="BT139" s="92"/>
      <c r="BU139" s="92"/>
      <c r="BV139" s="92"/>
      <c r="BW139" s="92"/>
      <c r="BX139" s="92"/>
      <c r="BY139" s="92"/>
      <c r="BZ139" s="92"/>
      <c r="CA139" s="92"/>
      <c r="CB139" s="92"/>
      <c r="CC139" s="92"/>
      <c r="CD139" s="92"/>
      <c r="CE139" s="92"/>
      <c r="CF139" s="92"/>
      <c r="CG139" s="92"/>
      <c r="CH139" s="92"/>
      <c r="CI139" s="92"/>
      <c r="CJ139" s="92"/>
      <c r="CK139" s="92"/>
      <c r="CL139" s="92"/>
      <c r="CM139" s="92"/>
      <c r="CN139" s="92"/>
      <c r="CO139" s="92"/>
      <c r="CP139" s="92"/>
      <c r="CQ139" s="92"/>
      <c r="CR139" s="92"/>
      <c r="CS139" s="92"/>
      <c r="CT139" s="92"/>
      <c r="CU139" s="92"/>
      <c r="CV139" s="92"/>
      <c r="CW139" s="92"/>
      <c r="CX139" s="85"/>
      <c r="CY139" s="85"/>
      <c r="CZ139" s="85"/>
      <c r="DA139" s="85"/>
      <c r="DB139" s="85"/>
      <c r="DC139" s="85"/>
      <c r="DD139" s="85"/>
      <c r="DE139" s="85"/>
      <c r="DF139" s="85"/>
      <c r="DG139" s="85"/>
      <c r="DH139" s="85"/>
      <c r="DI139" s="85"/>
      <c r="DJ139" s="85"/>
      <c r="DK139" s="85"/>
      <c r="DL139" s="85"/>
      <c r="DM139" s="85"/>
      <c r="DN139" s="85"/>
      <c r="DO139" s="85"/>
      <c r="DP139" s="85"/>
    </row>
    <row r="140">
      <c r="A140" s="91"/>
      <c r="B140" s="91"/>
      <c r="C140" s="91"/>
      <c r="D140" s="91"/>
      <c r="E140" s="78"/>
      <c r="F140" s="15"/>
      <c r="G140" s="15"/>
      <c r="H140" s="91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92"/>
      <c r="BO140" s="92"/>
      <c r="BP140" s="92"/>
      <c r="BQ140" s="92"/>
      <c r="BR140" s="92"/>
      <c r="BS140" s="92"/>
      <c r="BT140" s="92"/>
      <c r="BU140" s="92"/>
      <c r="BV140" s="92"/>
      <c r="BW140" s="92"/>
      <c r="BX140" s="92"/>
      <c r="BY140" s="92"/>
      <c r="BZ140" s="92"/>
      <c r="CA140" s="92"/>
      <c r="CB140" s="92"/>
      <c r="CC140" s="92"/>
      <c r="CD140" s="92"/>
      <c r="CE140" s="92"/>
      <c r="CF140" s="92"/>
      <c r="CG140" s="92"/>
      <c r="CH140" s="92"/>
      <c r="CI140" s="92"/>
      <c r="CJ140" s="92"/>
      <c r="CK140" s="92"/>
      <c r="CL140" s="92"/>
      <c r="CM140" s="92"/>
      <c r="CN140" s="92"/>
      <c r="CO140" s="92"/>
      <c r="CP140" s="92"/>
      <c r="CQ140" s="92"/>
      <c r="CR140" s="92"/>
      <c r="CS140" s="92"/>
      <c r="CT140" s="92"/>
      <c r="CU140" s="92"/>
      <c r="CV140" s="92"/>
      <c r="CW140" s="92"/>
      <c r="CX140" s="85"/>
      <c r="CY140" s="85"/>
      <c r="CZ140" s="85"/>
      <c r="DA140" s="85"/>
      <c r="DB140" s="85"/>
      <c r="DC140" s="85"/>
      <c r="DD140" s="85"/>
      <c r="DE140" s="85"/>
      <c r="DF140" s="85"/>
      <c r="DG140" s="85"/>
      <c r="DH140" s="85"/>
      <c r="DI140" s="85"/>
      <c r="DJ140" s="85"/>
      <c r="DK140" s="85"/>
      <c r="DL140" s="85"/>
      <c r="DM140" s="85"/>
      <c r="DN140" s="85"/>
      <c r="DO140" s="85"/>
      <c r="DP140" s="85"/>
    </row>
    <row r="141">
      <c r="A141" s="91"/>
      <c r="B141" s="91"/>
      <c r="C141" s="91"/>
      <c r="D141" s="91"/>
      <c r="E141" s="78"/>
      <c r="F141" s="15"/>
      <c r="G141" s="15"/>
      <c r="H141" s="91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92"/>
      <c r="BO141" s="92"/>
      <c r="BP141" s="92"/>
      <c r="BQ141" s="92"/>
      <c r="BR141" s="92"/>
      <c r="BS141" s="92"/>
      <c r="BT141" s="92"/>
      <c r="BU141" s="92"/>
      <c r="BV141" s="92"/>
      <c r="BW141" s="92"/>
      <c r="BX141" s="92"/>
      <c r="BY141" s="92"/>
      <c r="BZ141" s="92"/>
      <c r="CA141" s="92"/>
      <c r="CB141" s="92"/>
      <c r="CC141" s="92"/>
      <c r="CD141" s="92"/>
      <c r="CE141" s="92"/>
      <c r="CF141" s="92"/>
      <c r="CG141" s="92"/>
      <c r="CH141" s="92"/>
      <c r="CI141" s="92"/>
      <c r="CJ141" s="92"/>
      <c r="CK141" s="92"/>
      <c r="CL141" s="92"/>
      <c r="CM141" s="92"/>
      <c r="CN141" s="92"/>
      <c r="CO141" s="92"/>
      <c r="CP141" s="92"/>
      <c r="CQ141" s="92"/>
      <c r="CR141" s="92"/>
      <c r="CS141" s="92"/>
      <c r="CT141" s="92"/>
      <c r="CU141" s="92"/>
      <c r="CV141" s="92"/>
      <c r="CW141" s="92"/>
      <c r="CX141" s="85"/>
      <c r="CY141" s="85"/>
      <c r="CZ141" s="85"/>
      <c r="DA141" s="85"/>
      <c r="DB141" s="85"/>
      <c r="DC141" s="85"/>
      <c r="DD141" s="85"/>
      <c r="DE141" s="85"/>
      <c r="DF141" s="85"/>
      <c r="DG141" s="85"/>
      <c r="DH141" s="85"/>
      <c r="DI141" s="85"/>
      <c r="DJ141" s="85"/>
      <c r="DK141" s="85"/>
      <c r="DL141" s="85"/>
      <c r="DM141" s="85"/>
      <c r="DN141" s="85"/>
      <c r="DO141" s="85"/>
      <c r="DP141" s="85"/>
    </row>
    <row r="142">
      <c r="A142" s="91"/>
      <c r="B142" s="91"/>
      <c r="C142" s="91"/>
      <c r="D142" s="91"/>
      <c r="E142" s="78"/>
      <c r="F142" s="15"/>
      <c r="G142" s="15"/>
      <c r="H142" s="91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92"/>
      <c r="BO142" s="92"/>
      <c r="BP142" s="92"/>
      <c r="BQ142" s="92"/>
      <c r="BR142" s="92"/>
      <c r="BS142" s="92"/>
      <c r="BT142" s="92"/>
      <c r="BU142" s="92"/>
      <c r="BV142" s="92"/>
      <c r="BW142" s="92"/>
      <c r="BX142" s="92"/>
      <c r="BY142" s="92"/>
      <c r="BZ142" s="92"/>
      <c r="CA142" s="92"/>
      <c r="CB142" s="92"/>
      <c r="CC142" s="92"/>
      <c r="CD142" s="92"/>
      <c r="CE142" s="92"/>
      <c r="CF142" s="92"/>
      <c r="CG142" s="92"/>
      <c r="CH142" s="92"/>
      <c r="CI142" s="92"/>
      <c r="CJ142" s="92"/>
      <c r="CK142" s="92"/>
      <c r="CL142" s="92"/>
      <c r="CM142" s="92"/>
      <c r="CN142" s="92"/>
      <c r="CO142" s="92"/>
      <c r="CP142" s="92"/>
      <c r="CQ142" s="92"/>
      <c r="CR142" s="92"/>
      <c r="CS142" s="92"/>
      <c r="CT142" s="92"/>
      <c r="CU142" s="92"/>
      <c r="CV142" s="92"/>
      <c r="CW142" s="92"/>
      <c r="CX142" s="85"/>
      <c r="CY142" s="85"/>
      <c r="CZ142" s="85"/>
      <c r="DA142" s="85"/>
      <c r="DB142" s="85"/>
      <c r="DC142" s="85"/>
      <c r="DD142" s="85"/>
      <c r="DE142" s="85"/>
      <c r="DF142" s="85"/>
      <c r="DG142" s="85"/>
      <c r="DH142" s="85"/>
      <c r="DI142" s="85"/>
      <c r="DJ142" s="85"/>
      <c r="DK142" s="85"/>
      <c r="DL142" s="85"/>
      <c r="DM142" s="85"/>
      <c r="DN142" s="85"/>
      <c r="DO142" s="85"/>
      <c r="DP142" s="85"/>
    </row>
    <row r="143">
      <c r="A143" s="91"/>
      <c r="B143" s="91"/>
      <c r="C143" s="91"/>
      <c r="D143" s="91"/>
      <c r="E143" s="78"/>
      <c r="F143" s="15"/>
      <c r="G143" s="15"/>
      <c r="H143" s="91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92"/>
      <c r="BO143" s="92"/>
      <c r="BP143" s="92"/>
      <c r="BQ143" s="92"/>
      <c r="BR143" s="92"/>
      <c r="BS143" s="92"/>
      <c r="BT143" s="92"/>
      <c r="BU143" s="92"/>
      <c r="BV143" s="92"/>
      <c r="BW143" s="92"/>
      <c r="BX143" s="92"/>
      <c r="BY143" s="92"/>
      <c r="BZ143" s="92"/>
      <c r="CA143" s="92"/>
      <c r="CB143" s="92"/>
      <c r="CC143" s="92"/>
      <c r="CD143" s="92"/>
      <c r="CE143" s="92"/>
      <c r="CF143" s="92"/>
      <c r="CG143" s="92"/>
      <c r="CH143" s="92"/>
      <c r="CI143" s="92"/>
      <c r="CJ143" s="92"/>
      <c r="CK143" s="92"/>
      <c r="CL143" s="92"/>
      <c r="CM143" s="92"/>
      <c r="CN143" s="92"/>
      <c r="CO143" s="92"/>
      <c r="CP143" s="92"/>
      <c r="CQ143" s="92"/>
      <c r="CR143" s="92"/>
      <c r="CS143" s="92"/>
      <c r="CT143" s="92"/>
      <c r="CU143" s="92"/>
      <c r="CV143" s="92"/>
      <c r="CW143" s="92"/>
      <c r="CX143" s="85"/>
      <c r="CY143" s="85"/>
      <c r="CZ143" s="85"/>
      <c r="DA143" s="85"/>
      <c r="DB143" s="85"/>
      <c r="DC143" s="85"/>
      <c r="DD143" s="85"/>
      <c r="DE143" s="85"/>
      <c r="DF143" s="85"/>
      <c r="DG143" s="85"/>
      <c r="DH143" s="85"/>
      <c r="DI143" s="85"/>
      <c r="DJ143" s="85"/>
      <c r="DK143" s="85"/>
      <c r="DL143" s="85"/>
      <c r="DM143" s="85"/>
      <c r="DN143" s="85"/>
      <c r="DO143" s="85"/>
      <c r="DP143" s="85"/>
    </row>
    <row r="144">
      <c r="A144" s="91"/>
      <c r="B144" s="91"/>
      <c r="C144" s="91"/>
      <c r="D144" s="91"/>
      <c r="E144" s="78"/>
      <c r="F144" s="15"/>
      <c r="G144" s="15"/>
      <c r="H144" s="91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92"/>
      <c r="BO144" s="92"/>
      <c r="BP144" s="92"/>
      <c r="BQ144" s="92"/>
      <c r="BR144" s="92"/>
      <c r="BS144" s="92"/>
      <c r="BT144" s="92"/>
      <c r="BU144" s="92"/>
      <c r="BV144" s="92"/>
      <c r="BW144" s="92"/>
      <c r="BX144" s="92"/>
      <c r="BY144" s="92"/>
      <c r="BZ144" s="92"/>
      <c r="CA144" s="92"/>
      <c r="CB144" s="92"/>
      <c r="CC144" s="92"/>
      <c r="CD144" s="92"/>
      <c r="CE144" s="92"/>
      <c r="CF144" s="92"/>
      <c r="CG144" s="92"/>
      <c r="CH144" s="92"/>
      <c r="CI144" s="92"/>
      <c r="CJ144" s="92"/>
      <c r="CK144" s="92"/>
      <c r="CL144" s="92"/>
      <c r="CM144" s="92"/>
      <c r="CN144" s="92"/>
      <c r="CO144" s="92"/>
      <c r="CP144" s="92"/>
      <c r="CQ144" s="92"/>
      <c r="CR144" s="92"/>
      <c r="CS144" s="92"/>
      <c r="CT144" s="92"/>
      <c r="CU144" s="92"/>
      <c r="CV144" s="92"/>
      <c r="CW144" s="92"/>
      <c r="CX144" s="85"/>
      <c r="CY144" s="85"/>
      <c r="CZ144" s="85"/>
      <c r="DA144" s="85"/>
      <c r="DB144" s="85"/>
      <c r="DC144" s="85"/>
      <c r="DD144" s="85"/>
      <c r="DE144" s="85"/>
      <c r="DF144" s="85"/>
      <c r="DG144" s="85"/>
      <c r="DH144" s="85"/>
      <c r="DI144" s="85"/>
      <c r="DJ144" s="85"/>
      <c r="DK144" s="85"/>
      <c r="DL144" s="85"/>
      <c r="DM144" s="85"/>
      <c r="DN144" s="85"/>
      <c r="DO144" s="85"/>
      <c r="DP144" s="85"/>
    </row>
    <row r="145">
      <c r="A145" s="91"/>
      <c r="B145" s="91"/>
      <c r="C145" s="91"/>
      <c r="D145" s="91"/>
      <c r="E145" s="78"/>
      <c r="F145" s="15"/>
      <c r="G145" s="15"/>
      <c r="H145" s="91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92"/>
      <c r="BO145" s="92"/>
      <c r="BP145" s="92"/>
      <c r="BQ145" s="92"/>
      <c r="BR145" s="92"/>
      <c r="BS145" s="92"/>
      <c r="BT145" s="92"/>
      <c r="BU145" s="92"/>
      <c r="BV145" s="92"/>
      <c r="BW145" s="92"/>
      <c r="BX145" s="92"/>
      <c r="BY145" s="92"/>
      <c r="BZ145" s="92"/>
      <c r="CA145" s="92"/>
      <c r="CB145" s="92"/>
      <c r="CC145" s="92"/>
      <c r="CD145" s="92"/>
      <c r="CE145" s="92"/>
      <c r="CF145" s="92"/>
      <c r="CG145" s="92"/>
      <c r="CH145" s="92"/>
      <c r="CI145" s="92"/>
      <c r="CJ145" s="92"/>
      <c r="CK145" s="92"/>
      <c r="CL145" s="92"/>
      <c r="CM145" s="92"/>
      <c r="CN145" s="92"/>
      <c r="CO145" s="92"/>
      <c r="CP145" s="92"/>
      <c r="CQ145" s="92"/>
      <c r="CR145" s="92"/>
      <c r="CS145" s="92"/>
      <c r="CT145" s="92"/>
      <c r="CU145" s="92"/>
      <c r="CV145" s="92"/>
      <c r="CW145" s="92"/>
      <c r="CX145" s="85"/>
      <c r="CY145" s="85"/>
      <c r="CZ145" s="85"/>
      <c r="DA145" s="85"/>
      <c r="DB145" s="85"/>
      <c r="DC145" s="85"/>
      <c r="DD145" s="85"/>
      <c r="DE145" s="85"/>
      <c r="DF145" s="85"/>
      <c r="DG145" s="85"/>
      <c r="DH145" s="85"/>
      <c r="DI145" s="85"/>
      <c r="DJ145" s="85"/>
      <c r="DK145" s="85"/>
      <c r="DL145" s="85"/>
      <c r="DM145" s="85"/>
      <c r="DN145" s="85"/>
      <c r="DO145" s="85"/>
      <c r="DP145" s="85"/>
    </row>
    <row r="146">
      <c r="A146" s="91"/>
      <c r="B146" s="91"/>
      <c r="C146" s="91"/>
      <c r="D146" s="91"/>
      <c r="E146" s="78"/>
      <c r="F146" s="15"/>
      <c r="G146" s="15"/>
      <c r="H146" s="91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92"/>
      <c r="BO146" s="92"/>
      <c r="BP146" s="92"/>
      <c r="BQ146" s="92"/>
      <c r="BR146" s="92"/>
      <c r="BS146" s="92"/>
      <c r="BT146" s="92"/>
      <c r="BU146" s="92"/>
      <c r="BV146" s="92"/>
      <c r="BW146" s="92"/>
      <c r="BX146" s="92"/>
      <c r="BY146" s="92"/>
      <c r="BZ146" s="92"/>
      <c r="CA146" s="92"/>
      <c r="CB146" s="92"/>
      <c r="CC146" s="92"/>
      <c r="CD146" s="92"/>
      <c r="CE146" s="92"/>
      <c r="CF146" s="92"/>
      <c r="CG146" s="92"/>
      <c r="CH146" s="92"/>
      <c r="CI146" s="92"/>
      <c r="CJ146" s="92"/>
      <c r="CK146" s="92"/>
      <c r="CL146" s="92"/>
      <c r="CM146" s="92"/>
      <c r="CN146" s="92"/>
      <c r="CO146" s="92"/>
      <c r="CP146" s="92"/>
      <c r="CQ146" s="92"/>
      <c r="CR146" s="92"/>
      <c r="CS146" s="92"/>
      <c r="CT146" s="92"/>
      <c r="CU146" s="92"/>
      <c r="CV146" s="92"/>
      <c r="CW146" s="92"/>
      <c r="CX146" s="85"/>
      <c r="CY146" s="85"/>
      <c r="CZ146" s="85"/>
      <c r="DA146" s="85"/>
      <c r="DB146" s="85"/>
      <c r="DC146" s="85"/>
      <c r="DD146" s="85"/>
      <c r="DE146" s="85"/>
      <c r="DF146" s="85"/>
      <c r="DG146" s="85"/>
      <c r="DH146" s="85"/>
      <c r="DI146" s="85"/>
      <c r="DJ146" s="85"/>
      <c r="DK146" s="85"/>
      <c r="DL146" s="85"/>
      <c r="DM146" s="85"/>
      <c r="DN146" s="85"/>
      <c r="DO146" s="85"/>
      <c r="DP146" s="85"/>
    </row>
    <row r="147">
      <c r="A147" s="91"/>
      <c r="B147" s="91"/>
      <c r="C147" s="91"/>
      <c r="D147" s="91"/>
      <c r="E147" s="78"/>
      <c r="F147" s="15"/>
      <c r="G147" s="15"/>
      <c r="H147" s="91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92"/>
      <c r="BO147" s="92"/>
      <c r="BP147" s="92"/>
      <c r="BQ147" s="92"/>
      <c r="BR147" s="92"/>
      <c r="BS147" s="92"/>
      <c r="BT147" s="92"/>
      <c r="BU147" s="92"/>
      <c r="BV147" s="92"/>
      <c r="BW147" s="92"/>
      <c r="BX147" s="92"/>
      <c r="BY147" s="92"/>
      <c r="BZ147" s="92"/>
      <c r="CA147" s="92"/>
      <c r="CB147" s="92"/>
      <c r="CC147" s="92"/>
      <c r="CD147" s="92"/>
      <c r="CE147" s="92"/>
      <c r="CF147" s="92"/>
      <c r="CG147" s="92"/>
      <c r="CH147" s="92"/>
      <c r="CI147" s="92"/>
      <c r="CJ147" s="92"/>
      <c r="CK147" s="92"/>
      <c r="CL147" s="92"/>
      <c r="CM147" s="92"/>
      <c r="CN147" s="92"/>
      <c r="CO147" s="92"/>
      <c r="CP147" s="92"/>
      <c r="CQ147" s="92"/>
      <c r="CR147" s="92"/>
      <c r="CS147" s="92"/>
      <c r="CT147" s="92"/>
      <c r="CU147" s="92"/>
      <c r="CV147" s="92"/>
      <c r="CW147" s="92"/>
      <c r="CX147" s="85"/>
      <c r="CY147" s="85"/>
      <c r="CZ147" s="85"/>
      <c r="DA147" s="85"/>
      <c r="DB147" s="85"/>
      <c r="DC147" s="85"/>
      <c r="DD147" s="85"/>
      <c r="DE147" s="85"/>
      <c r="DF147" s="85"/>
      <c r="DG147" s="85"/>
      <c r="DH147" s="85"/>
      <c r="DI147" s="85"/>
      <c r="DJ147" s="85"/>
      <c r="DK147" s="85"/>
      <c r="DL147" s="85"/>
      <c r="DM147" s="85"/>
      <c r="DN147" s="85"/>
      <c r="DO147" s="85"/>
      <c r="DP147" s="85"/>
    </row>
    <row r="148">
      <c r="A148" s="91"/>
      <c r="B148" s="91"/>
      <c r="C148" s="91"/>
      <c r="D148" s="91"/>
      <c r="E148" s="78"/>
      <c r="F148" s="15"/>
      <c r="G148" s="15"/>
      <c r="H148" s="91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92"/>
      <c r="BO148" s="92"/>
      <c r="BP148" s="92"/>
      <c r="BQ148" s="92"/>
      <c r="BR148" s="92"/>
      <c r="BS148" s="92"/>
      <c r="BT148" s="92"/>
      <c r="BU148" s="92"/>
      <c r="BV148" s="92"/>
      <c r="BW148" s="92"/>
      <c r="BX148" s="92"/>
      <c r="BY148" s="92"/>
      <c r="BZ148" s="92"/>
      <c r="CA148" s="92"/>
      <c r="CB148" s="92"/>
      <c r="CC148" s="92"/>
      <c r="CD148" s="92"/>
      <c r="CE148" s="92"/>
      <c r="CF148" s="92"/>
      <c r="CG148" s="92"/>
      <c r="CH148" s="92"/>
      <c r="CI148" s="92"/>
      <c r="CJ148" s="92"/>
      <c r="CK148" s="92"/>
      <c r="CL148" s="92"/>
      <c r="CM148" s="92"/>
      <c r="CN148" s="92"/>
      <c r="CO148" s="92"/>
      <c r="CP148" s="92"/>
      <c r="CQ148" s="92"/>
      <c r="CR148" s="92"/>
      <c r="CS148" s="92"/>
      <c r="CT148" s="92"/>
      <c r="CU148" s="92"/>
      <c r="CV148" s="92"/>
      <c r="CW148" s="92"/>
      <c r="CX148" s="85"/>
      <c r="CY148" s="85"/>
      <c r="CZ148" s="85"/>
      <c r="DA148" s="85"/>
      <c r="DB148" s="85"/>
      <c r="DC148" s="85"/>
      <c r="DD148" s="85"/>
      <c r="DE148" s="85"/>
      <c r="DF148" s="85"/>
      <c r="DG148" s="85"/>
      <c r="DH148" s="85"/>
      <c r="DI148" s="85"/>
      <c r="DJ148" s="85"/>
      <c r="DK148" s="85"/>
      <c r="DL148" s="85"/>
      <c r="DM148" s="85"/>
      <c r="DN148" s="85"/>
      <c r="DO148" s="85"/>
      <c r="DP148" s="85"/>
    </row>
    <row r="149">
      <c r="A149" s="91"/>
      <c r="B149" s="91"/>
      <c r="C149" s="91"/>
      <c r="D149" s="91"/>
      <c r="E149" s="78"/>
      <c r="F149" s="15"/>
      <c r="G149" s="15"/>
      <c r="H149" s="91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92"/>
      <c r="BO149" s="92"/>
      <c r="BP149" s="92"/>
      <c r="BQ149" s="92"/>
      <c r="BR149" s="92"/>
      <c r="BS149" s="92"/>
      <c r="BT149" s="92"/>
      <c r="BU149" s="92"/>
      <c r="BV149" s="92"/>
      <c r="BW149" s="92"/>
      <c r="BX149" s="92"/>
      <c r="BY149" s="92"/>
      <c r="BZ149" s="92"/>
      <c r="CA149" s="92"/>
      <c r="CB149" s="92"/>
      <c r="CC149" s="92"/>
      <c r="CD149" s="92"/>
      <c r="CE149" s="92"/>
      <c r="CF149" s="92"/>
      <c r="CG149" s="92"/>
      <c r="CH149" s="92"/>
      <c r="CI149" s="92"/>
      <c r="CJ149" s="92"/>
      <c r="CK149" s="92"/>
      <c r="CL149" s="92"/>
      <c r="CM149" s="92"/>
      <c r="CN149" s="92"/>
      <c r="CO149" s="92"/>
      <c r="CP149" s="92"/>
      <c r="CQ149" s="92"/>
      <c r="CR149" s="92"/>
      <c r="CS149" s="92"/>
      <c r="CT149" s="92"/>
      <c r="CU149" s="92"/>
      <c r="CV149" s="92"/>
      <c r="CW149" s="92"/>
      <c r="CX149" s="85"/>
      <c r="CY149" s="85"/>
      <c r="CZ149" s="85"/>
      <c r="DA149" s="85"/>
      <c r="DB149" s="85"/>
      <c r="DC149" s="85"/>
      <c r="DD149" s="85"/>
      <c r="DE149" s="85"/>
      <c r="DF149" s="85"/>
      <c r="DG149" s="85"/>
      <c r="DH149" s="85"/>
      <c r="DI149" s="85"/>
      <c r="DJ149" s="85"/>
      <c r="DK149" s="85"/>
      <c r="DL149" s="85"/>
      <c r="DM149" s="85"/>
      <c r="DN149" s="85"/>
      <c r="DO149" s="85"/>
      <c r="DP149" s="85"/>
    </row>
    <row r="150">
      <c r="A150" s="91"/>
      <c r="B150" s="91"/>
      <c r="C150" s="91"/>
      <c r="D150" s="91"/>
      <c r="E150" s="78"/>
      <c r="F150" s="15"/>
      <c r="G150" s="15"/>
      <c r="H150" s="91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92"/>
      <c r="BO150" s="92"/>
      <c r="BP150" s="92"/>
      <c r="BQ150" s="92"/>
      <c r="BR150" s="92"/>
      <c r="BS150" s="92"/>
      <c r="BT150" s="92"/>
      <c r="BU150" s="92"/>
      <c r="BV150" s="92"/>
      <c r="BW150" s="92"/>
      <c r="BX150" s="92"/>
      <c r="BY150" s="92"/>
      <c r="BZ150" s="92"/>
      <c r="CA150" s="92"/>
      <c r="CB150" s="92"/>
      <c r="CC150" s="92"/>
      <c r="CD150" s="92"/>
      <c r="CE150" s="92"/>
      <c r="CF150" s="92"/>
      <c r="CG150" s="92"/>
      <c r="CH150" s="92"/>
      <c r="CI150" s="92"/>
      <c r="CJ150" s="92"/>
      <c r="CK150" s="92"/>
      <c r="CL150" s="92"/>
      <c r="CM150" s="92"/>
      <c r="CN150" s="92"/>
      <c r="CO150" s="92"/>
      <c r="CP150" s="92"/>
      <c r="CQ150" s="92"/>
      <c r="CR150" s="92"/>
      <c r="CS150" s="92"/>
      <c r="CT150" s="92"/>
      <c r="CU150" s="92"/>
      <c r="CV150" s="92"/>
      <c r="CW150" s="92"/>
      <c r="CX150" s="85"/>
      <c r="CY150" s="85"/>
      <c r="CZ150" s="85"/>
      <c r="DA150" s="85"/>
      <c r="DB150" s="85"/>
      <c r="DC150" s="85"/>
      <c r="DD150" s="85"/>
      <c r="DE150" s="85"/>
      <c r="DF150" s="85"/>
      <c r="DG150" s="85"/>
      <c r="DH150" s="85"/>
      <c r="DI150" s="85"/>
      <c r="DJ150" s="85"/>
      <c r="DK150" s="85"/>
      <c r="DL150" s="85"/>
      <c r="DM150" s="85"/>
      <c r="DN150" s="85"/>
      <c r="DO150" s="85"/>
      <c r="DP150" s="85"/>
    </row>
    <row r="151">
      <c r="A151" s="91"/>
      <c r="B151" s="91"/>
      <c r="C151" s="91"/>
      <c r="D151" s="91"/>
      <c r="E151" s="78"/>
      <c r="F151" s="15"/>
      <c r="G151" s="15"/>
      <c r="H151" s="91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92"/>
      <c r="BO151" s="92"/>
      <c r="BP151" s="92"/>
      <c r="BQ151" s="92"/>
      <c r="BR151" s="92"/>
      <c r="BS151" s="92"/>
      <c r="BT151" s="92"/>
      <c r="BU151" s="92"/>
      <c r="BV151" s="92"/>
      <c r="BW151" s="92"/>
      <c r="BX151" s="92"/>
      <c r="BY151" s="92"/>
      <c r="BZ151" s="92"/>
      <c r="CA151" s="92"/>
      <c r="CB151" s="92"/>
      <c r="CC151" s="92"/>
      <c r="CD151" s="92"/>
      <c r="CE151" s="92"/>
      <c r="CF151" s="92"/>
      <c r="CG151" s="92"/>
      <c r="CH151" s="92"/>
      <c r="CI151" s="92"/>
      <c r="CJ151" s="92"/>
      <c r="CK151" s="92"/>
      <c r="CL151" s="92"/>
      <c r="CM151" s="92"/>
      <c r="CN151" s="92"/>
      <c r="CO151" s="92"/>
      <c r="CP151" s="92"/>
      <c r="CQ151" s="92"/>
      <c r="CR151" s="92"/>
      <c r="CS151" s="92"/>
      <c r="CT151" s="92"/>
      <c r="CU151" s="92"/>
      <c r="CV151" s="92"/>
      <c r="CW151" s="92"/>
      <c r="CX151" s="85"/>
      <c r="CY151" s="85"/>
      <c r="CZ151" s="85"/>
      <c r="DA151" s="85"/>
      <c r="DB151" s="85"/>
      <c r="DC151" s="85"/>
      <c r="DD151" s="85"/>
      <c r="DE151" s="85"/>
      <c r="DF151" s="85"/>
      <c r="DG151" s="85"/>
      <c r="DH151" s="85"/>
      <c r="DI151" s="85"/>
      <c r="DJ151" s="85"/>
      <c r="DK151" s="85"/>
      <c r="DL151" s="85"/>
      <c r="DM151" s="85"/>
      <c r="DN151" s="85"/>
      <c r="DO151" s="85"/>
      <c r="DP151" s="85"/>
    </row>
    <row r="152">
      <c r="A152" s="91"/>
      <c r="B152" s="91"/>
      <c r="C152" s="91"/>
      <c r="D152" s="91"/>
      <c r="E152" s="78"/>
      <c r="F152" s="15"/>
      <c r="G152" s="15"/>
      <c r="H152" s="91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92"/>
      <c r="BO152" s="92"/>
      <c r="BP152" s="92"/>
      <c r="BQ152" s="92"/>
      <c r="BR152" s="92"/>
      <c r="BS152" s="92"/>
      <c r="BT152" s="92"/>
      <c r="BU152" s="92"/>
      <c r="BV152" s="92"/>
      <c r="BW152" s="92"/>
      <c r="BX152" s="92"/>
      <c r="BY152" s="92"/>
      <c r="BZ152" s="92"/>
      <c r="CA152" s="92"/>
      <c r="CB152" s="92"/>
      <c r="CC152" s="92"/>
      <c r="CD152" s="92"/>
      <c r="CE152" s="92"/>
      <c r="CF152" s="92"/>
      <c r="CG152" s="92"/>
      <c r="CH152" s="92"/>
      <c r="CI152" s="92"/>
      <c r="CJ152" s="92"/>
      <c r="CK152" s="92"/>
      <c r="CL152" s="92"/>
      <c r="CM152" s="92"/>
      <c r="CN152" s="92"/>
      <c r="CO152" s="92"/>
      <c r="CP152" s="92"/>
      <c r="CQ152" s="92"/>
      <c r="CR152" s="92"/>
      <c r="CS152" s="92"/>
      <c r="CT152" s="92"/>
      <c r="CU152" s="92"/>
      <c r="CV152" s="92"/>
      <c r="CW152" s="92"/>
      <c r="CX152" s="85"/>
      <c r="CY152" s="85"/>
      <c r="CZ152" s="85"/>
      <c r="DA152" s="85"/>
      <c r="DB152" s="85"/>
      <c r="DC152" s="85"/>
      <c r="DD152" s="85"/>
      <c r="DE152" s="85"/>
      <c r="DF152" s="85"/>
      <c r="DG152" s="85"/>
      <c r="DH152" s="85"/>
      <c r="DI152" s="85"/>
      <c r="DJ152" s="85"/>
      <c r="DK152" s="85"/>
      <c r="DL152" s="85"/>
      <c r="DM152" s="85"/>
      <c r="DN152" s="85"/>
      <c r="DO152" s="85"/>
      <c r="DP152" s="85"/>
    </row>
    <row r="153">
      <c r="A153" s="91"/>
      <c r="B153" s="91"/>
      <c r="C153" s="91"/>
      <c r="D153" s="91"/>
      <c r="E153" s="78"/>
      <c r="F153" s="15"/>
      <c r="G153" s="15"/>
      <c r="H153" s="91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92"/>
      <c r="BO153" s="92"/>
      <c r="BP153" s="92"/>
      <c r="BQ153" s="92"/>
      <c r="BR153" s="92"/>
      <c r="BS153" s="92"/>
      <c r="BT153" s="92"/>
      <c r="BU153" s="92"/>
      <c r="BV153" s="92"/>
      <c r="BW153" s="92"/>
      <c r="BX153" s="92"/>
      <c r="BY153" s="92"/>
      <c r="BZ153" s="92"/>
      <c r="CA153" s="92"/>
      <c r="CB153" s="92"/>
      <c r="CC153" s="92"/>
      <c r="CD153" s="92"/>
      <c r="CE153" s="92"/>
      <c r="CF153" s="92"/>
      <c r="CG153" s="92"/>
      <c r="CH153" s="92"/>
      <c r="CI153" s="92"/>
      <c r="CJ153" s="92"/>
      <c r="CK153" s="92"/>
      <c r="CL153" s="92"/>
      <c r="CM153" s="92"/>
      <c r="CN153" s="92"/>
      <c r="CO153" s="92"/>
      <c r="CP153" s="92"/>
      <c r="CQ153" s="92"/>
      <c r="CR153" s="92"/>
      <c r="CS153" s="92"/>
      <c r="CT153" s="92"/>
      <c r="CU153" s="92"/>
      <c r="CV153" s="92"/>
      <c r="CW153" s="92"/>
      <c r="CX153" s="85"/>
      <c r="CY153" s="85"/>
      <c r="CZ153" s="85"/>
      <c r="DA153" s="85"/>
      <c r="DB153" s="85"/>
      <c r="DC153" s="85"/>
      <c r="DD153" s="85"/>
      <c r="DE153" s="85"/>
      <c r="DF153" s="85"/>
      <c r="DG153" s="85"/>
      <c r="DH153" s="85"/>
      <c r="DI153" s="85"/>
      <c r="DJ153" s="85"/>
      <c r="DK153" s="85"/>
      <c r="DL153" s="85"/>
      <c r="DM153" s="85"/>
      <c r="DN153" s="85"/>
      <c r="DO153" s="85"/>
      <c r="DP153" s="85"/>
    </row>
    <row r="154">
      <c r="A154" s="91"/>
      <c r="B154" s="91"/>
      <c r="C154" s="91"/>
      <c r="D154" s="91"/>
      <c r="E154" s="78"/>
      <c r="F154" s="15"/>
      <c r="G154" s="15"/>
      <c r="H154" s="91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92"/>
      <c r="BO154" s="92"/>
      <c r="BP154" s="92"/>
      <c r="BQ154" s="92"/>
      <c r="BR154" s="92"/>
      <c r="BS154" s="92"/>
      <c r="BT154" s="92"/>
      <c r="BU154" s="92"/>
      <c r="BV154" s="92"/>
      <c r="BW154" s="92"/>
      <c r="BX154" s="92"/>
      <c r="BY154" s="92"/>
      <c r="BZ154" s="92"/>
      <c r="CA154" s="92"/>
      <c r="CB154" s="92"/>
      <c r="CC154" s="92"/>
      <c r="CD154" s="92"/>
      <c r="CE154" s="92"/>
      <c r="CF154" s="92"/>
      <c r="CG154" s="92"/>
      <c r="CH154" s="92"/>
      <c r="CI154" s="92"/>
      <c r="CJ154" s="92"/>
      <c r="CK154" s="92"/>
      <c r="CL154" s="92"/>
      <c r="CM154" s="92"/>
      <c r="CN154" s="92"/>
      <c r="CO154" s="92"/>
      <c r="CP154" s="92"/>
      <c r="CQ154" s="92"/>
      <c r="CR154" s="92"/>
      <c r="CS154" s="92"/>
      <c r="CT154" s="92"/>
      <c r="CU154" s="92"/>
      <c r="CV154" s="92"/>
      <c r="CW154" s="92"/>
      <c r="CX154" s="85"/>
      <c r="CY154" s="85"/>
      <c r="CZ154" s="85"/>
      <c r="DA154" s="85"/>
      <c r="DB154" s="85"/>
      <c r="DC154" s="85"/>
      <c r="DD154" s="85"/>
      <c r="DE154" s="85"/>
      <c r="DF154" s="85"/>
      <c r="DG154" s="85"/>
      <c r="DH154" s="85"/>
      <c r="DI154" s="85"/>
      <c r="DJ154" s="85"/>
      <c r="DK154" s="85"/>
      <c r="DL154" s="85"/>
      <c r="DM154" s="85"/>
      <c r="DN154" s="85"/>
      <c r="DO154" s="85"/>
      <c r="DP154" s="85"/>
    </row>
    <row r="155">
      <c r="A155" s="91"/>
      <c r="B155" s="91"/>
      <c r="C155" s="91"/>
      <c r="D155" s="91"/>
      <c r="E155" s="78"/>
      <c r="F155" s="15"/>
      <c r="G155" s="15"/>
      <c r="H155" s="91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92"/>
      <c r="BO155" s="92"/>
      <c r="BP155" s="92"/>
      <c r="BQ155" s="92"/>
      <c r="BR155" s="92"/>
      <c r="BS155" s="92"/>
      <c r="BT155" s="92"/>
      <c r="BU155" s="92"/>
      <c r="BV155" s="92"/>
      <c r="BW155" s="92"/>
      <c r="BX155" s="92"/>
      <c r="BY155" s="92"/>
      <c r="BZ155" s="92"/>
      <c r="CA155" s="92"/>
      <c r="CB155" s="92"/>
      <c r="CC155" s="92"/>
      <c r="CD155" s="92"/>
      <c r="CE155" s="92"/>
      <c r="CF155" s="92"/>
      <c r="CG155" s="92"/>
      <c r="CH155" s="92"/>
      <c r="CI155" s="92"/>
      <c r="CJ155" s="92"/>
      <c r="CK155" s="92"/>
      <c r="CL155" s="92"/>
      <c r="CM155" s="92"/>
      <c r="CN155" s="92"/>
      <c r="CO155" s="92"/>
      <c r="CP155" s="92"/>
      <c r="CQ155" s="92"/>
      <c r="CR155" s="92"/>
      <c r="CS155" s="92"/>
      <c r="CT155" s="92"/>
      <c r="CU155" s="92"/>
      <c r="CV155" s="92"/>
      <c r="CW155" s="92"/>
      <c r="CX155" s="85"/>
      <c r="CY155" s="85"/>
      <c r="CZ155" s="85"/>
      <c r="DA155" s="85"/>
      <c r="DB155" s="85"/>
      <c r="DC155" s="85"/>
      <c r="DD155" s="85"/>
      <c r="DE155" s="85"/>
      <c r="DF155" s="85"/>
      <c r="DG155" s="85"/>
      <c r="DH155" s="85"/>
      <c r="DI155" s="85"/>
      <c r="DJ155" s="85"/>
      <c r="DK155" s="85"/>
      <c r="DL155" s="85"/>
      <c r="DM155" s="85"/>
      <c r="DN155" s="85"/>
      <c r="DO155" s="85"/>
      <c r="DP155" s="85"/>
    </row>
    <row r="156">
      <c r="A156" s="91"/>
      <c r="B156" s="91"/>
      <c r="C156" s="91"/>
      <c r="D156" s="91"/>
      <c r="E156" s="78"/>
      <c r="F156" s="15"/>
      <c r="G156" s="15"/>
      <c r="H156" s="91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92"/>
      <c r="BO156" s="92"/>
      <c r="BP156" s="92"/>
      <c r="BQ156" s="92"/>
      <c r="BR156" s="92"/>
      <c r="BS156" s="92"/>
      <c r="BT156" s="92"/>
      <c r="BU156" s="92"/>
      <c r="BV156" s="92"/>
      <c r="BW156" s="92"/>
      <c r="BX156" s="92"/>
      <c r="BY156" s="92"/>
      <c r="BZ156" s="92"/>
      <c r="CA156" s="92"/>
      <c r="CB156" s="92"/>
      <c r="CC156" s="92"/>
      <c r="CD156" s="92"/>
      <c r="CE156" s="92"/>
      <c r="CF156" s="92"/>
      <c r="CG156" s="92"/>
      <c r="CH156" s="92"/>
      <c r="CI156" s="92"/>
      <c r="CJ156" s="92"/>
      <c r="CK156" s="92"/>
      <c r="CL156" s="92"/>
      <c r="CM156" s="92"/>
      <c r="CN156" s="92"/>
      <c r="CO156" s="92"/>
      <c r="CP156" s="92"/>
      <c r="CQ156" s="92"/>
      <c r="CR156" s="92"/>
      <c r="CS156" s="92"/>
      <c r="CT156" s="92"/>
      <c r="CU156" s="92"/>
      <c r="CV156" s="92"/>
      <c r="CW156" s="92"/>
      <c r="CX156" s="85"/>
      <c r="CY156" s="85"/>
      <c r="CZ156" s="85"/>
      <c r="DA156" s="85"/>
      <c r="DB156" s="85"/>
      <c r="DC156" s="85"/>
      <c r="DD156" s="85"/>
      <c r="DE156" s="85"/>
      <c r="DF156" s="85"/>
      <c r="DG156" s="85"/>
      <c r="DH156" s="85"/>
      <c r="DI156" s="85"/>
      <c r="DJ156" s="85"/>
      <c r="DK156" s="85"/>
      <c r="DL156" s="85"/>
      <c r="DM156" s="85"/>
      <c r="DN156" s="85"/>
      <c r="DO156" s="85"/>
      <c r="DP156" s="85"/>
    </row>
    <row r="157">
      <c r="A157" s="91"/>
      <c r="B157" s="91"/>
      <c r="C157" s="91"/>
      <c r="D157" s="91"/>
      <c r="E157" s="78"/>
      <c r="F157" s="15"/>
      <c r="G157" s="15"/>
      <c r="H157" s="91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92"/>
      <c r="BO157" s="92"/>
      <c r="BP157" s="92"/>
      <c r="BQ157" s="92"/>
      <c r="BR157" s="92"/>
      <c r="BS157" s="92"/>
      <c r="BT157" s="92"/>
      <c r="BU157" s="92"/>
      <c r="BV157" s="92"/>
      <c r="BW157" s="92"/>
      <c r="BX157" s="92"/>
      <c r="BY157" s="92"/>
      <c r="BZ157" s="92"/>
      <c r="CA157" s="92"/>
      <c r="CB157" s="92"/>
      <c r="CC157" s="92"/>
      <c r="CD157" s="92"/>
      <c r="CE157" s="92"/>
      <c r="CF157" s="92"/>
      <c r="CG157" s="92"/>
      <c r="CH157" s="92"/>
      <c r="CI157" s="92"/>
      <c r="CJ157" s="92"/>
      <c r="CK157" s="92"/>
      <c r="CL157" s="92"/>
      <c r="CM157" s="92"/>
      <c r="CN157" s="92"/>
      <c r="CO157" s="92"/>
      <c r="CP157" s="92"/>
      <c r="CQ157" s="92"/>
      <c r="CR157" s="92"/>
      <c r="CS157" s="92"/>
      <c r="CT157" s="92"/>
      <c r="CU157" s="92"/>
      <c r="CV157" s="92"/>
      <c r="CW157" s="92"/>
      <c r="CX157" s="85"/>
      <c r="CY157" s="85"/>
      <c r="CZ157" s="85"/>
      <c r="DA157" s="85"/>
      <c r="DB157" s="85"/>
      <c r="DC157" s="85"/>
      <c r="DD157" s="85"/>
      <c r="DE157" s="85"/>
      <c r="DF157" s="85"/>
      <c r="DG157" s="85"/>
      <c r="DH157" s="85"/>
      <c r="DI157" s="85"/>
      <c r="DJ157" s="85"/>
      <c r="DK157" s="85"/>
      <c r="DL157" s="85"/>
      <c r="DM157" s="85"/>
      <c r="DN157" s="85"/>
      <c r="DO157" s="85"/>
      <c r="DP157" s="85"/>
    </row>
    <row r="158">
      <c r="A158" s="91"/>
      <c r="B158" s="91"/>
      <c r="C158" s="91"/>
      <c r="D158" s="91"/>
      <c r="E158" s="78"/>
      <c r="F158" s="15"/>
      <c r="G158" s="15"/>
      <c r="H158" s="91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92"/>
      <c r="BO158" s="92"/>
      <c r="BP158" s="92"/>
      <c r="BQ158" s="92"/>
      <c r="BR158" s="92"/>
      <c r="BS158" s="92"/>
      <c r="BT158" s="92"/>
      <c r="BU158" s="92"/>
      <c r="BV158" s="92"/>
      <c r="BW158" s="92"/>
      <c r="BX158" s="92"/>
      <c r="BY158" s="92"/>
      <c r="BZ158" s="92"/>
      <c r="CA158" s="92"/>
      <c r="CB158" s="92"/>
      <c r="CC158" s="92"/>
      <c r="CD158" s="92"/>
      <c r="CE158" s="92"/>
      <c r="CF158" s="92"/>
      <c r="CG158" s="92"/>
      <c r="CH158" s="92"/>
      <c r="CI158" s="92"/>
      <c r="CJ158" s="92"/>
      <c r="CK158" s="92"/>
      <c r="CL158" s="92"/>
      <c r="CM158" s="92"/>
      <c r="CN158" s="92"/>
      <c r="CO158" s="92"/>
      <c r="CP158" s="92"/>
      <c r="CQ158" s="92"/>
      <c r="CR158" s="92"/>
      <c r="CS158" s="92"/>
      <c r="CT158" s="92"/>
      <c r="CU158" s="92"/>
      <c r="CV158" s="92"/>
      <c r="CW158" s="92"/>
      <c r="CX158" s="85"/>
      <c r="CY158" s="85"/>
      <c r="CZ158" s="85"/>
      <c r="DA158" s="85"/>
      <c r="DB158" s="85"/>
      <c r="DC158" s="85"/>
      <c r="DD158" s="85"/>
      <c r="DE158" s="85"/>
      <c r="DF158" s="85"/>
      <c r="DG158" s="85"/>
      <c r="DH158" s="85"/>
      <c r="DI158" s="85"/>
      <c r="DJ158" s="85"/>
      <c r="DK158" s="85"/>
      <c r="DL158" s="85"/>
      <c r="DM158" s="85"/>
      <c r="DN158" s="85"/>
      <c r="DO158" s="85"/>
      <c r="DP158" s="85"/>
    </row>
    <row r="159">
      <c r="A159" s="91"/>
      <c r="B159" s="91"/>
      <c r="C159" s="91"/>
      <c r="D159" s="91"/>
      <c r="E159" s="78"/>
      <c r="F159" s="15"/>
      <c r="G159" s="15"/>
      <c r="H159" s="91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92"/>
      <c r="BO159" s="92"/>
      <c r="BP159" s="92"/>
      <c r="BQ159" s="92"/>
      <c r="BR159" s="92"/>
      <c r="BS159" s="92"/>
      <c r="BT159" s="92"/>
      <c r="BU159" s="92"/>
      <c r="BV159" s="92"/>
      <c r="BW159" s="92"/>
      <c r="BX159" s="92"/>
      <c r="BY159" s="92"/>
      <c r="BZ159" s="92"/>
      <c r="CA159" s="92"/>
      <c r="CB159" s="92"/>
      <c r="CC159" s="92"/>
      <c r="CD159" s="92"/>
      <c r="CE159" s="92"/>
      <c r="CF159" s="92"/>
      <c r="CG159" s="92"/>
      <c r="CH159" s="92"/>
      <c r="CI159" s="92"/>
      <c r="CJ159" s="92"/>
      <c r="CK159" s="92"/>
      <c r="CL159" s="92"/>
      <c r="CM159" s="92"/>
      <c r="CN159" s="92"/>
      <c r="CO159" s="92"/>
      <c r="CP159" s="92"/>
      <c r="CQ159" s="92"/>
      <c r="CR159" s="92"/>
      <c r="CS159" s="92"/>
      <c r="CT159" s="92"/>
      <c r="CU159" s="92"/>
      <c r="CV159" s="92"/>
      <c r="CW159" s="92"/>
      <c r="CX159" s="85"/>
      <c r="CY159" s="85"/>
      <c r="CZ159" s="85"/>
      <c r="DA159" s="85"/>
      <c r="DB159" s="85"/>
      <c r="DC159" s="85"/>
      <c r="DD159" s="85"/>
      <c r="DE159" s="85"/>
      <c r="DF159" s="85"/>
      <c r="DG159" s="85"/>
      <c r="DH159" s="85"/>
      <c r="DI159" s="85"/>
      <c r="DJ159" s="85"/>
      <c r="DK159" s="85"/>
      <c r="DL159" s="85"/>
      <c r="DM159" s="85"/>
      <c r="DN159" s="85"/>
      <c r="DO159" s="85"/>
      <c r="DP159" s="85"/>
    </row>
    <row r="160">
      <c r="A160" s="91"/>
      <c r="B160" s="91"/>
      <c r="C160" s="91"/>
      <c r="D160" s="91"/>
      <c r="E160" s="78"/>
      <c r="F160" s="15"/>
      <c r="G160" s="15"/>
      <c r="H160" s="91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92"/>
      <c r="BO160" s="92"/>
      <c r="BP160" s="92"/>
      <c r="BQ160" s="92"/>
      <c r="BR160" s="92"/>
      <c r="BS160" s="92"/>
      <c r="BT160" s="92"/>
      <c r="BU160" s="92"/>
      <c r="BV160" s="92"/>
      <c r="BW160" s="92"/>
      <c r="BX160" s="92"/>
      <c r="BY160" s="92"/>
      <c r="BZ160" s="92"/>
      <c r="CA160" s="92"/>
      <c r="CB160" s="92"/>
      <c r="CC160" s="92"/>
      <c r="CD160" s="92"/>
      <c r="CE160" s="92"/>
      <c r="CF160" s="92"/>
      <c r="CG160" s="92"/>
      <c r="CH160" s="92"/>
      <c r="CI160" s="92"/>
      <c r="CJ160" s="92"/>
      <c r="CK160" s="92"/>
      <c r="CL160" s="92"/>
      <c r="CM160" s="92"/>
      <c r="CN160" s="92"/>
      <c r="CO160" s="92"/>
      <c r="CP160" s="92"/>
      <c r="CQ160" s="92"/>
      <c r="CR160" s="92"/>
      <c r="CS160" s="92"/>
      <c r="CT160" s="92"/>
      <c r="CU160" s="92"/>
      <c r="CV160" s="92"/>
      <c r="CW160" s="92"/>
      <c r="CX160" s="85"/>
      <c r="CY160" s="85"/>
      <c r="CZ160" s="85"/>
      <c r="DA160" s="85"/>
      <c r="DB160" s="85"/>
      <c r="DC160" s="85"/>
      <c r="DD160" s="85"/>
      <c r="DE160" s="85"/>
      <c r="DF160" s="85"/>
      <c r="DG160" s="85"/>
      <c r="DH160" s="85"/>
      <c r="DI160" s="85"/>
      <c r="DJ160" s="85"/>
      <c r="DK160" s="85"/>
      <c r="DL160" s="85"/>
      <c r="DM160" s="85"/>
      <c r="DN160" s="85"/>
      <c r="DO160" s="85"/>
      <c r="DP160" s="85"/>
    </row>
    <row r="161">
      <c r="A161" s="91"/>
      <c r="B161" s="91"/>
      <c r="C161" s="91"/>
      <c r="D161" s="91"/>
      <c r="E161" s="78"/>
      <c r="F161" s="15"/>
      <c r="G161" s="15"/>
      <c r="H161" s="91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92"/>
      <c r="BO161" s="92"/>
      <c r="BP161" s="92"/>
      <c r="BQ161" s="92"/>
      <c r="BR161" s="92"/>
      <c r="BS161" s="92"/>
      <c r="BT161" s="92"/>
      <c r="BU161" s="92"/>
      <c r="BV161" s="92"/>
      <c r="BW161" s="92"/>
      <c r="BX161" s="92"/>
      <c r="BY161" s="92"/>
      <c r="BZ161" s="92"/>
      <c r="CA161" s="92"/>
      <c r="CB161" s="92"/>
      <c r="CC161" s="92"/>
      <c r="CD161" s="92"/>
      <c r="CE161" s="92"/>
      <c r="CF161" s="92"/>
      <c r="CG161" s="92"/>
      <c r="CH161" s="92"/>
      <c r="CI161" s="92"/>
      <c r="CJ161" s="92"/>
      <c r="CK161" s="92"/>
      <c r="CL161" s="92"/>
      <c r="CM161" s="92"/>
      <c r="CN161" s="92"/>
      <c r="CO161" s="92"/>
      <c r="CP161" s="92"/>
      <c r="CQ161" s="92"/>
      <c r="CR161" s="92"/>
      <c r="CS161" s="92"/>
      <c r="CT161" s="92"/>
      <c r="CU161" s="92"/>
      <c r="CV161" s="92"/>
      <c r="CW161" s="92"/>
      <c r="CX161" s="85"/>
      <c r="CY161" s="85"/>
      <c r="CZ161" s="85"/>
      <c r="DA161" s="85"/>
      <c r="DB161" s="85"/>
      <c r="DC161" s="85"/>
      <c r="DD161" s="85"/>
      <c r="DE161" s="85"/>
      <c r="DF161" s="85"/>
      <c r="DG161" s="85"/>
      <c r="DH161" s="85"/>
      <c r="DI161" s="85"/>
      <c r="DJ161" s="85"/>
      <c r="DK161" s="85"/>
      <c r="DL161" s="85"/>
      <c r="DM161" s="85"/>
      <c r="DN161" s="85"/>
      <c r="DO161" s="85"/>
      <c r="DP161" s="85"/>
    </row>
    <row r="162">
      <c r="A162" s="91"/>
      <c r="B162" s="91"/>
      <c r="C162" s="91"/>
      <c r="D162" s="91"/>
      <c r="E162" s="78"/>
      <c r="F162" s="15"/>
      <c r="G162" s="15"/>
      <c r="H162" s="91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92"/>
      <c r="BO162" s="92"/>
      <c r="BP162" s="92"/>
      <c r="BQ162" s="92"/>
      <c r="BR162" s="92"/>
      <c r="BS162" s="92"/>
      <c r="BT162" s="92"/>
      <c r="BU162" s="92"/>
      <c r="BV162" s="92"/>
      <c r="BW162" s="92"/>
      <c r="BX162" s="92"/>
      <c r="BY162" s="92"/>
      <c r="BZ162" s="92"/>
      <c r="CA162" s="92"/>
      <c r="CB162" s="92"/>
      <c r="CC162" s="92"/>
      <c r="CD162" s="92"/>
      <c r="CE162" s="92"/>
      <c r="CF162" s="92"/>
      <c r="CG162" s="92"/>
      <c r="CH162" s="92"/>
      <c r="CI162" s="92"/>
      <c r="CJ162" s="92"/>
      <c r="CK162" s="92"/>
      <c r="CL162" s="92"/>
      <c r="CM162" s="92"/>
      <c r="CN162" s="92"/>
      <c r="CO162" s="92"/>
      <c r="CP162" s="92"/>
      <c r="CQ162" s="92"/>
      <c r="CR162" s="92"/>
      <c r="CS162" s="92"/>
      <c r="CT162" s="92"/>
      <c r="CU162" s="92"/>
      <c r="CV162" s="92"/>
      <c r="CW162" s="92"/>
      <c r="CX162" s="85"/>
      <c r="CY162" s="85"/>
      <c r="CZ162" s="85"/>
      <c r="DA162" s="85"/>
      <c r="DB162" s="85"/>
      <c r="DC162" s="85"/>
      <c r="DD162" s="85"/>
      <c r="DE162" s="85"/>
      <c r="DF162" s="85"/>
      <c r="DG162" s="85"/>
      <c r="DH162" s="85"/>
      <c r="DI162" s="85"/>
      <c r="DJ162" s="85"/>
      <c r="DK162" s="85"/>
      <c r="DL162" s="85"/>
      <c r="DM162" s="85"/>
      <c r="DN162" s="85"/>
      <c r="DO162" s="85"/>
      <c r="DP162" s="85"/>
    </row>
    <row r="163">
      <c r="A163" s="91"/>
      <c r="B163" s="91"/>
      <c r="C163" s="91"/>
      <c r="D163" s="91"/>
      <c r="E163" s="78"/>
      <c r="F163" s="15"/>
      <c r="G163" s="15"/>
      <c r="H163" s="91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92"/>
      <c r="BO163" s="92"/>
      <c r="BP163" s="92"/>
      <c r="BQ163" s="92"/>
      <c r="BR163" s="92"/>
      <c r="BS163" s="92"/>
      <c r="BT163" s="92"/>
      <c r="BU163" s="92"/>
      <c r="BV163" s="92"/>
      <c r="BW163" s="92"/>
      <c r="BX163" s="92"/>
      <c r="BY163" s="92"/>
      <c r="BZ163" s="92"/>
      <c r="CA163" s="92"/>
      <c r="CB163" s="92"/>
      <c r="CC163" s="92"/>
      <c r="CD163" s="92"/>
      <c r="CE163" s="92"/>
      <c r="CF163" s="92"/>
      <c r="CG163" s="92"/>
      <c r="CH163" s="92"/>
      <c r="CI163" s="92"/>
      <c r="CJ163" s="92"/>
      <c r="CK163" s="92"/>
      <c r="CL163" s="92"/>
      <c r="CM163" s="92"/>
      <c r="CN163" s="92"/>
      <c r="CO163" s="92"/>
      <c r="CP163" s="92"/>
      <c r="CQ163" s="92"/>
      <c r="CR163" s="92"/>
      <c r="CS163" s="92"/>
      <c r="CT163" s="92"/>
      <c r="CU163" s="92"/>
      <c r="CV163" s="92"/>
      <c r="CW163" s="92"/>
      <c r="CX163" s="85"/>
      <c r="CY163" s="85"/>
      <c r="CZ163" s="85"/>
      <c r="DA163" s="85"/>
      <c r="DB163" s="85"/>
      <c r="DC163" s="85"/>
      <c r="DD163" s="85"/>
      <c r="DE163" s="85"/>
      <c r="DF163" s="85"/>
      <c r="DG163" s="85"/>
      <c r="DH163" s="85"/>
      <c r="DI163" s="85"/>
      <c r="DJ163" s="85"/>
      <c r="DK163" s="85"/>
      <c r="DL163" s="85"/>
      <c r="DM163" s="85"/>
      <c r="DN163" s="85"/>
      <c r="DO163" s="85"/>
      <c r="DP163" s="85"/>
    </row>
    <row r="164">
      <c r="A164" s="91"/>
      <c r="B164" s="91"/>
      <c r="C164" s="91"/>
      <c r="D164" s="91"/>
      <c r="E164" s="78"/>
      <c r="F164" s="15"/>
      <c r="G164" s="15"/>
      <c r="H164" s="91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92"/>
      <c r="BO164" s="92"/>
      <c r="BP164" s="92"/>
      <c r="BQ164" s="92"/>
      <c r="BR164" s="92"/>
      <c r="BS164" s="92"/>
      <c r="BT164" s="92"/>
      <c r="BU164" s="92"/>
      <c r="BV164" s="92"/>
      <c r="BW164" s="92"/>
      <c r="BX164" s="92"/>
      <c r="BY164" s="92"/>
      <c r="BZ164" s="92"/>
      <c r="CA164" s="92"/>
      <c r="CB164" s="92"/>
      <c r="CC164" s="92"/>
      <c r="CD164" s="92"/>
      <c r="CE164" s="92"/>
      <c r="CF164" s="92"/>
      <c r="CG164" s="92"/>
      <c r="CH164" s="92"/>
      <c r="CI164" s="92"/>
      <c r="CJ164" s="92"/>
      <c r="CK164" s="92"/>
      <c r="CL164" s="92"/>
      <c r="CM164" s="92"/>
      <c r="CN164" s="92"/>
      <c r="CO164" s="92"/>
      <c r="CP164" s="92"/>
      <c r="CQ164" s="92"/>
      <c r="CR164" s="92"/>
      <c r="CS164" s="92"/>
      <c r="CT164" s="92"/>
      <c r="CU164" s="92"/>
      <c r="CV164" s="92"/>
      <c r="CW164" s="92"/>
      <c r="CX164" s="85"/>
      <c r="CY164" s="85"/>
      <c r="CZ164" s="85"/>
      <c r="DA164" s="85"/>
      <c r="DB164" s="85"/>
      <c r="DC164" s="85"/>
      <c r="DD164" s="85"/>
      <c r="DE164" s="85"/>
      <c r="DF164" s="85"/>
      <c r="DG164" s="85"/>
      <c r="DH164" s="85"/>
      <c r="DI164" s="85"/>
      <c r="DJ164" s="85"/>
      <c r="DK164" s="85"/>
      <c r="DL164" s="85"/>
      <c r="DM164" s="85"/>
      <c r="DN164" s="85"/>
      <c r="DO164" s="85"/>
      <c r="DP164" s="85"/>
    </row>
    <row r="165">
      <c r="A165" s="91"/>
      <c r="B165" s="91"/>
      <c r="C165" s="91"/>
      <c r="D165" s="91"/>
      <c r="E165" s="78"/>
      <c r="F165" s="15"/>
      <c r="G165" s="15"/>
      <c r="H165" s="91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92"/>
      <c r="BO165" s="92"/>
      <c r="BP165" s="92"/>
      <c r="BQ165" s="92"/>
      <c r="BR165" s="92"/>
      <c r="BS165" s="92"/>
      <c r="BT165" s="92"/>
      <c r="BU165" s="92"/>
      <c r="BV165" s="92"/>
      <c r="BW165" s="92"/>
      <c r="BX165" s="92"/>
      <c r="BY165" s="92"/>
      <c r="BZ165" s="92"/>
      <c r="CA165" s="92"/>
      <c r="CB165" s="92"/>
      <c r="CC165" s="92"/>
      <c r="CD165" s="92"/>
      <c r="CE165" s="92"/>
      <c r="CF165" s="92"/>
      <c r="CG165" s="92"/>
      <c r="CH165" s="92"/>
      <c r="CI165" s="92"/>
      <c r="CJ165" s="92"/>
      <c r="CK165" s="92"/>
      <c r="CL165" s="92"/>
      <c r="CM165" s="92"/>
      <c r="CN165" s="92"/>
      <c r="CO165" s="92"/>
      <c r="CP165" s="92"/>
      <c r="CQ165" s="92"/>
      <c r="CR165" s="92"/>
      <c r="CS165" s="92"/>
      <c r="CT165" s="92"/>
      <c r="CU165" s="92"/>
      <c r="CV165" s="92"/>
      <c r="CW165" s="92"/>
      <c r="CX165" s="85"/>
      <c r="CY165" s="85"/>
      <c r="CZ165" s="85"/>
      <c r="DA165" s="85"/>
      <c r="DB165" s="85"/>
      <c r="DC165" s="85"/>
      <c r="DD165" s="85"/>
      <c r="DE165" s="85"/>
      <c r="DF165" s="85"/>
      <c r="DG165" s="85"/>
      <c r="DH165" s="85"/>
      <c r="DI165" s="85"/>
      <c r="DJ165" s="85"/>
      <c r="DK165" s="85"/>
      <c r="DL165" s="85"/>
      <c r="DM165" s="85"/>
      <c r="DN165" s="85"/>
      <c r="DO165" s="85"/>
      <c r="DP165" s="85"/>
    </row>
    <row r="166">
      <c r="A166" s="91"/>
      <c r="B166" s="91"/>
      <c r="C166" s="91"/>
      <c r="D166" s="91"/>
      <c r="E166" s="78"/>
      <c r="F166" s="15"/>
      <c r="G166" s="15"/>
      <c r="H166" s="91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92"/>
      <c r="BO166" s="92"/>
      <c r="BP166" s="92"/>
      <c r="BQ166" s="92"/>
      <c r="BR166" s="92"/>
      <c r="BS166" s="92"/>
      <c r="BT166" s="92"/>
      <c r="BU166" s="92"/>
      <c r="BV166" s="92"/>
      <c r="BW166" s="92"/>
      <c r="BX166" s="92"/>
      <c r="BY166" s="92"/>
      <c r="BZ166" s="92"/>
      <c r="CA166" s="92"/>
      <c r="CB166" s="92"/>
      <c r="CC166" s="92"/>
      <c r="CD166" s="92"/>
      <c r="CE166" s="92"/>
      <c r="CF166" s="92"/>
      <c r="CG166" s="92"/>
      <c r="CH166" s="92"/>
      <c r="CI166" s="92"/>
      <c r="CJ166" s="92"/>
      <c r="CK166" s="92"/>
      <c r="CL166" s="92"/>
      <c r="CM166" s="92"/>
      <c r="CN166" s="92"/>
      <c r="CO166" s="92"/>
      <c r="CP166" s="92"/>
      <c r="CQ166" s="92"/>
      <c r="CR166" s="92"/>
      <c r="CS166" s="92"/>
      <c r="CT166" s="92"/>
      <c r="CU166" s="92"/>
      <c r="CV166" s="92"/>
      <c r="CW166" s="92"/>
      <c r="CX166" s="85"/>
      <c r="CY166" s="85"/>
      <c r="CZ166" s="85"/>
      <c r="DA166" s="85"/>
      <c r="DB166" s="85"/>
      <c r="DC166" s="85"/>
      <c r="DD166" s="85"/>
      <c r="DE166" s="85"/>
      <c r="DF166" s="85"/>
      <c r="DG166" s="85"/>
      <c r="DH166" s="85"/>
      <c r="DI166" s="85"/>
      <c r="DJ166" s="85"/>
      <c r="DK166" s="85"/>
      <c r="DL166" s="85"/>
      <c r="DM166" s="85"/>
      <c r="DN166" s="85"/>
      <c r="DO166" s="85"/>
      <c r="DP166" s="85"/>
    </row>
    <row r="167">
      <c r="A167" s="91"/>
      <c r="B167" s="91"/>
      <c r="C167" s="91"/>
      <c r="D167" s="91"/>
      <c r="E167" s="78"/>
      <c r="F167" s="15"/>
      <c r="G167" s="15"/>
      <c r="H167" s="91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92"/>
      <c r="BO167" s="92"/>
      <c r="BP167" s="92"/>
      <c r="BQ167" s="92"/>
      <c r="BR167" s="92"/>
      <c r="BS167" s="92"/>
      <c r="BT167" s="92"/>
      <c r="BU167" s="92"/>
      <c r="BV167" s="92"/>
      <c r="BW167" s="92"/>
      <c r="BX167" s="92"/>
      <c r="BY167" s="92"/>
      <c r="BZ167" s="92"/>
      <c r="CA167" s="92"/>
      <c r="CB167" s="92"/>
      <c r="CC167" s="92"/>
      <c r="CD167" s="92"/>
      <c r="CE167" s="92"/>
      <c r="CF167" s="92"/>
      <c r="CG167" s="92"/>
      <c r="CH167" s="92"/>
      <c r="CI167" s="92"/>
      <c r="CJ167" s="92"/>
      <c r="CK167" s="92"/>
      <c r="CL167" s="92"/>
      <c r="CM167" s="92"/>
      <c r="CN167" s="92"/>
      <c r="CO167" s="92"/>
      <c r="CP167" s="92"/>
      <c r="CQ167" s="92"/>
      <c r="CR167" s="92"/>
      <c r="CS167" s="92"/>
      <c r="CT167" s="92"/>
      <c r="CU167" s="92"/>
      <c r="CV167" s="92"/>
      <c r="CW167" s="92"/>
      <c r="CX167" s="85"/>
      <c r="CY167" s="85"/>
      <c r="CZ167" s="85"/>
      <c r="DA167" s="85"/>
      <c r="DB167" s="85"/>
      <c r="DC167" s="85"/>
      <c r="DD167" s="85"/>
      <c r="DE167" s="85"/>
      <c r="DF167" s="85"/>
      <c r="DG167" s="85"/>
      <c r="DH167" s="85"/>
      <c r="DI167" s="85"/>
      <c r="DJ167" s="85"/>
      <c r="DK167" s="85"/>
      <c r="DL167" s="85"/>
      <c r="DM167" s="85"/>
      <c r="DN167" s="85"/>
      <c r="DO167" s="85"/>
      <c r="DP167" s="85"/>
    </row>
    <row r="168">
      <c r="A168" s="91"/>
      <c r="B168" s="91"/>
      <c r="C168" s="91"/>
      <c r="D168" s="91"/>
      <c r="E168" s="78"/>
      <c r="F168" s="15"/>
      <c r="G168" s="15"/>
      <c r="H168" s="91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92"/>
      <c r="BO168" s="92"/>
      <c r="BP168" s="92"/>
      <c r="BQ168" s="92"/>
      <c r="BR168" s="92"/>
      <c r="BS168" s="92"/>
      <c r="BT168" s="92"/>
      <c r="BU168" s="92"/>
      <c r="BV168" s="92"/>
      <c r="BW168" s="92"/>
      <c r="BX168" s="92"/>
      <c r="BY168" s="92"/>
      <c r="BZ168" s="92"/>
      <c r="CA168" s="92"/>
      <c r="CB168" s="92"/>
      <c r="CC168" s="92"/>
      <c r="CD168" s="92"/>
      <c r="CE168" s="92"/>
      <c r="CF168" s="92"/>
      <c r="CG168" s="92"/>
      <c r="CH168" s="92"/>
      <c r="CI168" s="92"/>
      <c r="CJ168" s="92"/>
      <c r="CK168" s="92"/>
      <c r="CL168" s="92"/>
      <c r="CM168" s="92"/>
      <c r="CN168" s="92"/>
      <c r="CO168" s="92"/>
      <c r="CP168" s="92"/>
      <c r="CQ168" s="92"/>
      <c r="CR168" s="92"/>
      <c r="CS168" s="92"/>
      <c r="CT168" s="92"/>
      <c r="CU168" s="92"/>
      <c r="CV168" s="92"/>
      <c r="CW168" s="92"/>
      <c r="CX168" s="85"/>
      <c r="CY168" s="85"/>
      <c r="CZ168" s="85"/>
      <c r="DA168" s="85"/>
      <c r="DB168" s="85"/>
      <c r="DC168" s="85"/>
      <c r="DD168" s="85"/>
      <c r="DE168" s="85"/>
      <c r="DF168" s="85"/>
      <c r="DG168" s="85"/>
      <c r="DH168" s="85"/>
      <c r="DI168" s="85"/>
      <c r="DJ168" s="85"/>
      <c r="DK168" s="85"/>
      <c r="DL168" s="85"/>
      <c r="DM168" s="85"/>
      <c r="DN168" s="85"/>
      <c r="DO168" s="85"/>
      <c r="DP168" s="85"/>
    </row>
    <row r="169">
      <c r="A169" s="91"/>
      <c r="B169" s="91"/>
      <c r="C169" s="91"/>
      <c r="D169" s="91"/>
      <c r="E169" s="78"/>
      <c r="F169" s="15"/>
      <c r="G169" s="15"/>
      <c r="H169" s="91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92"/>
      <c r="BO169" s="92"/>
      <c r="BP169" s="92"/>
      <c r="BQ169" s="92"/>
      <c r="BR169" s="92"/>
      <c r="BS169" s="92"/>
      <c r="BT169" s="92"/>
      <c r="BU169" s="92"/>
      <c r="BV169" s="92"/>
      <c r="BW169" s="92"/>
      <c r="BX169" s="92"/>
      <c r="BY169" s="92"/>
      <c r="BZ169" s="92"/>
      <c r="CA169" s="92"/>
      <c r="CB169" s="92"/>
      <c r="CC169" s="92"/>
      <c r="CD169" s="92"/>
      <c r="CE169" s="92"/>
      <c r="CF169" s="92"/>
      <c r="CG169" s="92"/>
      <c r="CH169" s="92"/>
      <c r="CI169" s="92"/>
      <c r="CJ169" s="92"/>
      <c r="CK169" s="92"/>
      <c r="CL169" s="92"/>
      <c r="CM169" s="92"/>
      <c r="CN169" s="92"/>
      <c r="CO169" s="92"/>
      <c r="CP169" s="92"/>
      <c r="CQ169" s="92"/>
      <c r="CR169" s="92"/>
      <c r="CS169" s="92"/>
      <c r="CT169" s="92"/>
      <c r="CU169" s="92"/>
      <c r="CV169" s="92"/>
      <c r="CW169" s="92"/>
      <c r="CX169" s="85"/>
      <c r="CY169" s="85"/>
      <c r="CZ169" s="85"/>
      <c r="DA169" s="85"/>
      <c r="DB169" s="85"/>
      <c r="DC169" s="85"/>
      <c r="DD169" s="85"/>
      <c r="DE169" s="85"/>
      <c r="DF169" s="85"/>
      <c r="DG169" s="85"/>
      <c r="DH169" s="85"/>
      <c r="DI169" s="85"/>
      <c r="DJ169" s="85"/>
      <c r="DK169" s="85"/>
      <c r="DL169" s="85"/>
      <c r="DM169" s="85"/>
      <c r="DN169" s="85"/>
      <c r="DO169" s="85"/>
      <c r="DP169" s="85"/>
    </row>
    <row r="170">
      <c r="A170" s="91"/>
      <c r="B170" s="91"/>
      <c r="C170" s="91"/>
      <c r="D170" s="91"/>
      <c r="E170" s="78"/>
      <c r="F170" s="15"/>
      <c r="G170" s="15"/>
      <c r="H170" s="91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92"/>
      <c r="BO170" s="92"/>
      <c r="BP170" s="92"/>
      <c r="BQ170" s="92"/>
      <c r="BR170" s="92"/>
      <c r="BS170" s="92"/>
      <c r="BT170" s="92"/>
      <c r="BU170" s="92"/>
      <c r="BV170" s="92"/>
      <c r="BW170" s="92"/>
      <c r="BX170" s="92"/>
      <c r="BY170" s="92"/>
      <c r="BZ170" s="92"/>
      <c r="CA170" s="92"/>
      <c r="CB170" s="92"/>
      <c r="CC170" s="92"/>
      <c r="CD170" s="92"/>
      <c r="CE170" s="92"/>
      <c r="CF170" s="92"/>
      <c r="CG170" s="92"/>
      <c r="CH170" s="92"/>
      <c r="CI170" s="92"/>
      <c r="CJ170" s="92"/>
      <c r="CK170" s="92"/>
      <c r="CL170" s="92"/>
      <c r="CM170" s="92"/>
      <c r="CN170" s="92"/>
      <c r="CO170" s="92"/>
      <c r="CP170" s="92"/>
      <c r="CQ170" s="92"/>
      <c r="CR170" s="92"/>
      <c r="CS170" s="92"/>
      <c r="CT170" s="92"/>
      <c r="CU170" s="92"/>
      <c r="CV170" s="92"/>
      <c r="CW170" s="92"/>
      <c r="CX170" s="85"/>
      <c r="CY170" s="85"/>
      <c r="CZ170" s="85"/>
      <c r="DA170" s="85"/>
      <c r="DB170" s="85"/>
      <c r="DC170" s="85"/>
      <c r="DD170" s="85"/>
      <c r="DE170" s="85"/>
      <c r="DF170" s="85"/>
      <c r="DG170" s="85"/>
      <c r="DH170" s="85"/>
      <c r="DI170" s="85"/>
      <c r="DJ170" s="85"/>
      <c r="DK170" s="85"/>
      <c r="DL170" s="85"/>
      <c r="DM170" s="85"/>
      <c r="DN170" s="85"/>
      <c r="DO170" s="85"/>
      <c r="DP170" s="85"/>
    </row>
    <row r="171">
      <c r="A171" s="91"/>
      <c r="B171" s="91"/>
      <c r="C171" s="91"/>
      <c r="D171" s="91"/>
      <c r="E171" s="78"/>
      <c r="F171" s="15"/>
      <c r="G171" s="15"/>
      <c r="H171" s="91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92"/>
      <c r="BO171" s="92"/>
      <c r="BP171" s="92"/>
      <c r="BQ171" s="92"/>
      <c r="BR171" s="92"/>
      <c r="BS171" s="92"/>
      <c r="BT171" s="92"/>
      <c r="BU171" s="92"/>
      <c r="BV171" s="92"/>
      <c r="BW171" s="92"/>
      <c r="BX171" s="92"/>
      <c r="BY171" s="92"/>
      <c r="BZ171" s="92"/>
      <c r="CA171" s="92"/>
      <c r="CB171" s="92"/>
      <c r="CC171" s="92"/>
      <c r="CD171" s="92"/>
      <c r="CE171" s="92"/>
      <c r="CF171" s="92"/>
      <c r="CG171" s="92"/>
      <c r="CH171" s="92"/>
      <c r="CI171" s="92"/>
      <c r="CJ171" s="92"/>
      <c r="CK171" s="92"/>
      <c r="CL171" s="92"/>
      <c r="CM171" s="92"/>
      <c r="CN171" s="92"/>
      <c r="CO171" s="92"/>
      <c r="CP171" s="92"/>
      <c r="CQ171" s="92"/>
      <c r="CR171" s="92"/>
      <c r="CS171" s="92"/>
      <c r="CT171" s="92"/>
      <c r="CU171" s="92"/>
      <c r="CV171" s="92"/>
      <c r="CW171" s="92"/>
      <c r="CX171" s="85"/>
      <c r="CY171" s="85"/>
      <c r="CZ171" s="85"/>
      <c r="DA171" s="85"/>
      <c r="DB171" s="85"/>
      <c r="DC171" s="85"/>
      <c r="DD171" s="85"/>
      <c r="DE171" s="85"/>
      <c r="DF171" s="85"/>
      <c r="DG171" s="85"/>
      <c r="DH171" s="85"/>
      <c r="DI171" s="85"/>
      <c r="DJ171" s="85"/>
      <c r="DK171" s="85"/>
      <c r="DL171" s="85"/>
      <c r="DM171" s="85"/>
      <c r="DN171" s="85"/>
      <c r="DO171" s="85"/>
      <c r="DP171" s="85"/>
    </row>
    <row r="172">
      <c r="A172" s="91"/>
      <c r="B172" s="91"/>
      <c r="C172" s="91"/>
      <c r="D172" s="91"/>
      <c r="E172" s="78"/>
      <c r="F172" s="15"/>
      <c r="G172" s="15"/>
      <c r="H172" s="91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92"/>
      <c r="BO172" s="92"/>
      <c r="BP172" s="92"/>
      <c r="BQ172" s="92"/>
      <c r="BR172" s="92"/>
      <c r="BS172" s="92"/>
      <c r="BT172" s="92"/>
      <c r="BU172" s="92"/>
      <c r="BV172" s="92"/>
      <c r="BW172" s="92"/>
      <c r="BX172" s="92"/>
      <c r="BY172" s="92"/>
      <c r="BZ172" s="92"/>
      <c r="CA172" s="92"/>
      <c r="CB172" s="92"/>
      <c r="CC172" s="92"/>
      <c r="CD172" s="92"/>
      <c r="CE172" s="92"/>
      <c r="CF172" s="92"/>
      <c r="CG172" s="92"/>
      <c r="CH172" s="92"/>
      <c r="CI172" s="92"/>
      <c r="CJ172" s="92"/>
      <c r="CK172" s="92"/>
      <c r="CL172" s="92"/>
      <c r="CM172" s="92"/>
      <c r="CN172" s="92"/>
      <c r="CO172" s="92"/>
      <c r="CP172" s="92"/>
      <c r="CQ172" s="92"/>
      <c r="CR172" s="92"/>
      <c r="CS172" s="92"/>
      <c r="CT172" s="92"/>
      <c r="CU172" s="92"/>
      <c r="CV172" s="92"/>
      <c r="CW172" s="92"/>
      <c r="CX172" s="85"/>
      <c r="CY172" s="85"/>
      <c r="CZ172" s="85"/>
      <c r="DA172" s="85"/>
      <c r="DB172" s="85"/>
      <c r="DC172" s="85"/>
      <c r="DD172" s="85"/>
      <c r="DE172" s="85"/>
      <c r="DF172" s="85"/>
      <c r="DG172" s="85"/>
      <c r="DH172" s="85"/>
      <c r="DI172" s="85"/>
      <c r="DJ172" s="85"/>
      <c r="DK172" s="85"/>
      <c r="DL172" s="85"/>
      <c r="DM172" s="85"/>
      <c r="DN172" s="85"/>
      <c r="DO172" s="85"/>
      <c r="DP172" s="85"/>
    </row>
    <row r="173">
      <c r="A173" s="91"/>
      <c r="B173" s="91"/>
      <c r="C173" s="91"/>
      <c r="D173" s="91"/>
      <c r="E173" s="78"/>
      <c r="F173" s="15"/>
      <c r="G173" s="15"/>
      <c r="H173" s="91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92"/>
      <c r="BO173" s="92"/>
      <c r="BP173" s="92"/>
      <c r="BQ173" s="92"/>
      <c r="BR173" s="92"/>
      <c r="BS173" s="92"/>
      <c r="BT173" s="92"/>
      <c r="BU173" s="92"/>
      <c r="BV173" s="92"/>
      <c r="BW173" s="92"/>
      <c r="BX173" s="92"/>
      <c r="BY173" s="92"/>
      <c r="BZ173" s="92"/>
      <c r="CA173" s="92"/>
      <c r="CB173" s="92"/>
      <c r="CC173" s="92"/>
      <c r="CD173" s="92"/>
      <c r="CE173" s="92"/>
      <c r="CF173" s="92"/>
      <c r="CG173" s="92"/>
      <c r="CH173" s="92"/>
      <c r="CI173" s="92"/>
      <c r="CJ173" s="92"/>
      <c r="CK173" s="92"/>
      <c r="CL173" s="92"/>
      <c r="CM173" s="92"/>
      <c r="CN173" s="92"/>
      <c r="CO173" s="92"/>
      <c r="CP173" s="92"/>
      <c r="CQ173" s="92"/>
      <c r="CR173" s="92"/>
      <c r="CS173" s="92"/>
      <c r="CT173" s="92"/>
      <c r="CU173" s="92"/>
      <c r="CV173" s="92"/>
      <c r="CW173" s="92"/>
      <c r="CX173" s="85"/>
      <c r="CY173" s="85"/>
      <c r="CZ173" s="85"/>
      <c r="DA173" s="85"/>
      <c r="DB173" s="85"/>
      <c r="DC173" s="85"/>
      <c r="DD173" s="85"/>
      <c r="DE173" s="85"/>
      <c r="DF173" s="85"/>
      <c r="DG173" s="85"/>
      <c r="DH173" s="85"/>
      <c r="DI173" s="85"/>
      <c r="DJ173" s="85"/>
      <c r="DK173" s="85"/>
      <c r="DL173" s="85"/>
      <c r="DM173" s="85"/>
      <c r="DN173" s="85"/>
      <c r="DO173" s="85"/>
      <c r="DP173" s="85"/>
    </row>
    <row r="174">
      <c r="A174" s="91"/>
      <c r="B174" s="91"/>
      <c r="C174" s="91"/>
      <c r="D174" s="91"/>
      <c r="E174" s="78"/>
      <c r="F174" s="15"/>
      <c r="G174" s="15"/>
      <c r="H174" s="91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92"/>
      <c r="BO174" s="92"/>
      <c r="BP174" s="92"/>
      <c r="BQ174" s="92"/>
      <c r="BR174" s="92"/>
      <c r="BS174" s="92"/>
      <c r="BT174" s="92"/>
      <c r="BU174" s="92"/>
      <c r="BV174" s="92"/>
      <c r="BW174" s="92"/>
      <c r="BX174" s="92"/>
      <c r="BY174" s="92"/>
      <c r="BZ174" s="92"/>
      <c r="CA174" s="92"/>
      <c r="CB174" s="92"/>
      <c r="CC174" s="92"/>
      <c r="CD174" s="92"/>
      <c r="CE174" s="92"/>
      <c r="CF174" s="92"/>
      <c r="CG174" s="92"/>
      <c r="CH174" s="92"/>
      <c r="CI174" s="92"/>
      <c r="CJ174" s="92"/>
      <c r="CK174" s="92"/>
      <c r="CL174" s="92"/>
      <c r="CM174" s="92"/>
      <c r="CN174" s="92"/>
      <c r="CO174" s="92"/>
      <c r="CP174" s="92"/>
      <c r="CQ174" s="92"/>
      <c r="CR174" s="92"/>
      <c r="CS174" s="92"/>
      <c r="CT174" s="92"/>
      <c r="CU174" s="92"/>
      <c r="CV174" s="92"/>
      <c r="CW174" s="92"/>
      <c r="CX174" s="85"/>
      <c r="CY174" s="85"/>
      <c r="CZ174" s="85"/>
      <c r="DA174" s="85"/>
      <c r="DB174" s="85"/>
      <c r="DC174" s="85"/>
      <c r="DD174" s="85"/>
      <c r="DE174" s="85"/>
      <c r="DF174" s="85"/>
      <c r="DG174" s="85"/>
      <c r="DH174" s="85"/>
      <c r="DI174" s="85"/>
      <c r="DJ174" s="85"/>
      <c r="DK174" s="85"/>
      <c r="DL174" s="85"/>
      <c r="DM174" s="85"/>
      <c r="DN174" s="85"/>
      <c r="DO174" s="85"/>
      <c r="DP174" s="85"/>
    </row>
    <row r="175">
      <c r="A175" s="91"/>
      <c r="B175" s="91"/>
      <c r="C175" s="91"/>
      <c r="D175" s="91"/>
      <c r="E175" s="78"/>
      <c r="F175" s="15"/>
      <c r="G175" s="15"/>
      <c r="H175" s="91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92"/>
      <c r="BO175" s="92"/>
      <c r="BP175" s="92"/>
      <c r="BQ175" s="92"/>
      <c r="BR175" s="92"/>
      <c r="BS175" s="92"/>
      <c r="BT175" s="92"/>
      <c r="BU175" s="92"/>
      <c r="BV175" s="92"/>
      <c r="BW175" s="92"/>
      <c r="BX175" s="92"/>
      <c r="BY175" s="92"/>
      <c r="BZ175" s="92"/>
      <c r="CA175" s="92"/>
      <c r="CB175" s="92"/>
      <c r="CC175" s="92"/>
      <c r="CD175" s="92"/>
      <c r="CE175" s="92"/>
      <c r="CF175" s="92"/>
      <c r="CG175" s="92"/>
      <c r="CH175" s="92"/>
      <c r="CI175" s="92"/>
      <c r="CJ175" s="92"/>
      <c r="CK175" s="92"/>
      <c r="CL175" s="92"/>
      <c r="CM175" s="92"/>
      <c r="CN175" s="92"/>
      <c r="CO175" s="92"/>
      <c r="CP175" s="92"/>
      <c r="CQ175" s="92"/>
      <c r="CR175" s="92"/>
      <c r="CS175" s="92"/>
      <c r="CT175" s="92"/>
      <c r="CU175" s="92"/>
      <c r="CV175" s="92"/>
      <c r="CW175" s="92"/>
      <c r="CX175" s="85"/>
      <c r="CY175" s="85"/>
      <c r="CZ175" s="85"/>
      <c r="DA175" s="85"/>
      <c r="DB175" s="85"/>
      <c r="DC175" s="85"/>
      <c r="DD175" s="85"/>
      <c r="DE175" s="85"/>
      <c r="DF175" s="85"/>
      <c r="DG175" s="85"/>
      <c r="DH175" s="85"/>
      <c r="DI175" s="85"/>
      <c r="DJ175" s="85"/>
      <c r="DK175" s="85"/>
      <c r="DL175" s="85"/>
      <c r="DM175" s="85"/>
      <c r="DN175" s="85"/>
      <c r="DO175" s="85"/>
      <c r="DP175" s="85"/>
    </row>
    <row r="176">
      <c r="A176" s="91"/>
      <c r="B176" s="91"/>
      <c r="C176" s="91"/>
      <c r="D176" s="91"/>
      <c r="E176" s="78"/>
      <c r="F176" s="15"/>
      <c r="G176" s="15"/>
      <c r="H176" s="91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92"/>
      <c r="BO176" s="92"/>
      <c r="BP176" s="92"/>
      <c r="BQ176" s="92"/>
      <c r="BR176" s="92"/>
      <c r="BS176" s="92"/>
      <c r="BT176" s="92"/>
      <c r="BU176" s="92"/>
      <c r="BV176" s="92"/>
      <c r="BW176" s="92"/>
      <c r="BX176" s="92"/>
      <c r="BY176" s="92"/>
      <c r="BZ176" s="92"/>
      <c r="CA176" s="92"/>
      <c r="CB176" s="92"/>
      <c r="CC176" s="92"/>
      <c r="CD176" s="92"/>
      <c r="CE176" s="92"/>
      <c r="CF176" s="92"/>
      <c r="CG176" s="92"/>
      <c r="CH176" s="92"/>
      <c r="CI176" s="92"/>
      <c r="CJ176" s="92"/>
      <c r="CK176" s="92"/>
      <c r="CL176" s="92"/>
      <c r="CM176" s="92"/>
      <c r="CN176" s="92"/>
      <c r="CO176" s="92"/>
      <c r="CP176" s="92"/>
      <c r="CQ176" s="92"/>
      <c r="CR176" s="92"/>
      <c r="CS176" s="92"/>
      <c r="CT176" s="92"/>
      <c r="CU176" s="92"/>
      <c r="CV176" s="92"/>
      <c r="CW176" s="92"/>
      <c r="CX176" s="85"/>
      <c r="CY176" s="85"/>
      <c r="CZ176" s="85"/>
      <c r="DA176" s="85"/>
      <c r="DB176" s="85"/>
      <c r="DC176" s="85"/>
      <c r="DD176" s="85"/>
      <c r="DE176" s="85"/>
      <c r="DF176" s="85"/>
      <c r="DG176" s="85"/>
      <c r="DH176" s="85"/>
      <c r="DI176" s="85"/>
      <c r="DJ176" s="85"/>
      <c r="DK176" s="85"/>
      <c r="DL176" s="85"/>
      <c r="DM176" s="85"/>
      <c r="DN176" s="85"/>
      <c r="DO176" s="85"/>
      <c r="DP176" s="85"/>
    </row>
    <row r="177">
      <c r="A177" s="91"/>
      <c r="B177" s="91"/>
      <c r="C177" s="91"/>
      <c r="D177" s="91"/>
      <c r="E177" s="78"/>
      <c r="F177" s="15"/>
      <c r="G177" s="15"/>
      <c r="H177" s="91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92"/>
      <c r="BO177" s="92"/>
      <c r="BP177" s="92"/>
      <c r="BQ177" s="92"/>
      <c r="BR177" s="92"/>
      <c r="BS177" s="92"/>
      <c r="BT177" s="92"/>
      <c r="BU177" s="92"/>
      <c r="BV177" s="92"/>
      <c r="BW177" s="92"/>
      <c r="BX177" s="92"/>
      <c r="BY177" s="92"/>
      <c r="BZ177" s="92"/>
      <c r="CA177" s="92"/>
      <c r="CB177" s="92"/>
      <c r="CC177" s="92"/>
      <c r="CD177" s="92"/>
      <c r="CE177" s="92"/>
      <c r="CF177" s="92"/>
      <c r="CG177" s="92"/>
      <c r="CH177" s="92"/>
      <c r="CI177" s="92"/>
      <c r="CJ177" s="92"/>
      <c r="CK177" s="92"/>
      <c r="CL177" s="92"/>
      <c r="CM177" s="92"/>
      <c r="CN177" s="92"/>
      <c r="CO177" s="92"/>
      <c r="CP177" s="92"/>
      <c r="CQ177" s="92"/>
      <c r="CR177" s="92"/>
      <c r="CS177" s="92"/>
      <c r="CT177" s="92"/>
      <c r="CU177" s="92"/>
      <c r="CV177" s="92"/>
      <c r="CW177" s="92"/>
      <c r="CX177" s="85"/>
      <c r="CY177" s="85"/>
      <c r="CZ177" s="85"/>
      <c r="DA177" s="85"/>
      <c r="DB177" s="85"/>
      <c r="DC177" s="85"/>
      <c r="DD177" s="85"/>
      <c r="DE177" s="85"/>
      <c r="DF177" s="85"/>
      <c r="DG177" s="85"/>
      <c r="DH177" s="85"/>
      <c r="DI177" s="85"/>
      <c r="DJ177" s="85"/>
      <c r="DK177" s="85"/>
      <c r="DL177" s="85"/>
      <c r="DM177" s="85"/>
      <c r="DN177" s="85"/>
      <c r="DO177" s="85"/>
      <c r="DP177" s="85"/>
    </row>
    <row r="178">
      <c r="A178" s="91"/>
      <c r="B178" s="91"/>
      <c r="C178" s="91"/>
      <c r="D178" s="91"/>
      <c r="E178" s="78"/>
      <c r="F178" s="15"/>
      <c r="G178" s="15"/>
      <c r="H178" s="91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92"/>
      <c r="BO178" s="92"/>
      <c r="BP178" s="92"/>
      <c r="BQ178" s="92"/>
      <c r="BR178" s="92"/>
      <c r="BS178" s="92"/>
      <c r="BT178" s="92"/>
      <c r="BU178" s="92"/>
      <c r="BV178" s="92"/>
      <c r="BW178" s="92"/>
      <c r="BX178" s="92"/>
      <c r="BY178" s="92"/>
      <c r="BZ178" s="92"/>
      <c r="CA178" s="92"/>
      <c r="CB178" s="92"/>
      <c r="CC178" s="92"/>
      <c r="CD178" s="92"/>
      <c r="CE178" s="92"/>
      <c r="CF178" s="92"/>
      <c r="CG178" s="92"/>
      <c r="CH178" s="92"/>
      <c r="CI178" s="92"/>
      <c r="CJ178" s="92"/>
      <c r="CK178" s="92"/>
      <c r="CL178" s="92"/>
      <c r="CM178" s="92"/>
      <c r="CN178" s="92"/>
      <c r="CO178" s="92"/>
      <c r="CP178" s="92"/>
      <c r="CQ178" s="92"/>
      <c r="CR178" s="92"/>
      <c r="CS178" s="92"/>
      <c r="CT178" s="92"/>
      <c r="CU178" s="92"/>
      <c r="CV178" s="92"/>
      <c r="CW178" s="92"/>
      <c r="CX178" s="85"/>
      <c r="CY178" s="85"/>
      <c r="CZ178" s="85"/>
      <c r="DA178" s="85"/>
      <c r="DB178" s="85"/>
      <c r="DC178" s="85"/>
      <c r="DD178" s="85"/>
      <c r="DE178" s="85"/>
      <c r="DF178" s="85"/>
      <c r="DG178" s="85"/>
      <c r="DH178" s="85"/>
      <c r="DI178" s="85"/>
      <c r="DJ178" s="85"/>
      <c r="DK178" s="85"/>
      <c r="DL178" s="85"/>
      <c r="DM178" s="85"/>
      <c r="DN178" s="85"/>
      <c r="DO178" s="85"/>
      <c r="DP178" s="85"/>
    </row>
    <row r="179">
      <c r="A179" s="91"/>
      <c r="B179" s="91"/>
      <c r="C179" s="91"/>
      <c r="D179" s="91"/>
      <c r="E179" s="78"/>
      <c r="F179" s="15"/>
      <c r="G179" s="15"/>
      <c r="H179" s="91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92"/>
      <c r="BO179" s="92"/>
      <c r="BP179" s="92"/>
      <c r="BQ179" s="92"/>
      <c r="BR179" s="92"/>
      <c r="BS179" s="92"/>
      <c r="BT179" s="92"/>
      <c r="BU179" s="92"/>
      <c r="BV179" s="92"/>
      <c r="BW179" s="92"/>
      <c r="BX179" s="92"/>
      <c r="BY179" s="92"/>
      <c r="BZ179" s="92"/>
      <c r="CA179" s="92"/>
      <c r="CB179" s="92"/>
      <c r="CC179" s="92"/>
      <c r="CD179" s="92"/>
      <c r="CE179" s="92"/>
      <c r="CF179" s="92"/>
      <c r="CG179" s="92"/>
      <c r="CH179" s="92"/>
      <c r="CI179" s="92"/>
      <c r="CJ179" s="92"/>
      <c r="CK179" s="92"/>
      <c r="CL179" s="92"/>
      <c r="CM179" s="92"/>
      <c r="CN179" s="92"/>
      <c r="CO179" s="92"/>
      <c r="CP179" s="92"/>
      <c r="CQ179" s="92"/>
      <c r="CR179" s="92"/>
      <c r="CS179" s="92"/>
      <c r="CT179" s="92"/>
      <c r="CU179" s="92"/>
      <c r="CV179" s="92"/>
      <c r="CW179" s="92"/>
      <c r="CX179" s="85"/>
      <c r="CY179" s="85"/>
      <c r="CZ179" s="85"/>
      <c r="DA179" s="85"/>
      <c r="DB179" s="85"/>
      <c r="DC179" s="85"/>
      <c r="DD179" s="85"/>
      <c r="DE179" s="85"/>
      <c r="DF179" s="85"/>
      <c r="DG179" s="85"/>
      <c r="DH179" s="85"/>
      <c r="DI179" s="85"/>
      <c r="DJ179" s="85"/>
      <c r="DK179" s="85"/>
      <c r="DL179" s="85"/>
      <c r="DM179" s="85"/>
      <c r="DN179" s="85"/>
      <c r="DO179" s="85"/>
      <c r="DP179" s="85"/>
    </row>
    <row r="180">
      <c r="A180" s="91"/>
      <c r="B180" s="91"/>
      <c r="C180" s="91"/>
      <c r="D180" s="91"/>
      <c r="E180" s="78"/>
      <c r="F180" s="15"/>
      <c r="G180" s="15"/>
      <c r="H180" s="91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92"/>
      <c r="BO180" s="92"/>
      <c r="BP180" s="92"/>
      <c r="BQ180" s="92"/>
      <c r="BR180" s="92"/>
      <c r="BS180" s="92"/>
      <c r="BT180" s="92"/>
      <c r="BU180" s="92"/>
      <c r="BV180" s="92"/>
      <c r="BW180" s="92"/>
      <c r="BX180" s="92"/>
      <c r="BY180" s="92"/>
      <c r="BZ180" s="92"/>
      <c r="CA180" s="92"/>
      <c r="CB180" s="92"/>
      <c r="CC180" s="92"/>
      <c r="CD180" s="92"/>
      <c r="CE180" s="92"/>
      <c r="CF180" s="92"/>
      <c r="CG180" s="92"/>
      <c r="CH180" s="92"/>
      <c r="CI180" s="92"/>
      <c r="CJ180" s="92"/>
      <c r="CK180" s="92"/>
      <c r="CL180" s="92"/>
      <c r="CM180" s="92"/>
      <c r="CN180" s="92"/>
      <c r="CO180" s="92"/>
      <c r="CP180" s="92"/>
      <c r="CQ180" s="92"/>
      <c r="CR180" s="92"/>
      <c r="CS180" s="92"/>
      <c r="CT180" s="92"/>
      <c r="CU180" s="92"/>
      <c r="CV180" s="92"/>
      <c r="CW180" s="92"/>
      <c r="CX180" s="85"/>
      <c r="CY180" s="85"/>
      <c r="CZ180" s="85"/>
      <c r="DA180" s="85"/>
      <c r="DB180" s="85"/>
      <c r="DC180" s="85"/>
      <c r="DD180" s="85"/>
      <c r="DE180" s="85"/>
      <c r="DF180" s="85"/>
      <c r="DG180" s="85"/>
      <c r="DH180" s="85"/>
      <c r="DI180" s="85"/>
      <c r="DJ180" s="85"/>
      <c r="DK180" s="85"/>
      <c r="DL180" s="85"/>
      <c r="DM180" s="85"/>
      <c r="DN180" s="85"/>
      <c r="DO180" s="85"/>
      <c r="DP180" s="85"/>
    </row>
    <row r="181">
      <c r="A181" s="91"/>
      <c r="B181" s="91"/>
      <c r="C181" s="91"/>
      <c r="D181" s="91"/>
      <c r="E181" s="78"/>
      <c r="F181" s="15"/>
      <c r="G181" s="15"/>
      <c r="H181" s="91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92"/>
      <c r="BO181" s="92"/>
      <c r="BP181" s="92"/>
      <c r="BQ181" s="92"/>
      <c r="BR181" s="92"/>
      <c r="BS181" s="92"/>
      <c r="BT181" s="92"/>
      <c r="BU181" s="92"/>
      <c r="BV181" s="92"/>
      <c r="BW181" s="92"/>
      <c r="BX181" s="92"/>
      <c r="BY181" s="92"/>
      <c r="BZ181" s="92"/>
      <c r="CA181" s="92"/>
      <c r="CB181" s="92"/>
      <c r="CC181" s="92"/>
      <c r="CD181" s="92"/>
      <c r="CE181" s="92"/>
      <c r="CF181" s="92"/>
      <c r="CG181" s="92"/>
      <c r="CH181" s="92"/>
      <c r="CI181" s="92"/>
      <c r="CJ181" s="92"/>
      <c r="CK181" s="92"/>
      <c r="CL181" s="92"/>
      <c r="CM181" s="92"/>
      <c r="CN181" s="92"/>
      <c r="CO181" s="92"/>
      <c r="CP181" s="92"/>
      <c r="CQ181" s="92"/>
      <c r="CR181" s="92"/>
      <c r="CS181" s="92"/>
      <c r="CT181" s="92"/>
      <c r="CU181" s="92"/>
      <c r="CV181" s="92"/>
      <c r="CW181" s="92"/>
      <c r="CX181" s="85"/>
      <c r="CY181" s="85"/>
      <c r="CZ181" s="85"/>
      <c r="DA181" s="85"/>
      <c r="DB181" s="85"/>
      <c r="DC181" s="85"/>
      <c r="DD181" s="85"/>
      <c r="DE181" s="85"/>
      <c r="DF181" s="85"/>
      <c r="DG181" s="85"/>
      <c r="DH181" s="85"/>
      <c r="DI181" s="85"/>
      <c r="DJ181" s="85"/>
      <c r="DK181" s="85"/>
      <c r="DL181" s="85"/>
      <c r="DM181" s="85"/>
      <c r="DN181" s="85"/>
      <c r="DO181" s="85"/>
      <c r="DP181" s="85"/>
    </row>
    <row r="182">
      <c r="A182" s="91"/>
      <c r="B182" s="91"/>
      <c r="C182" s="91"/>
      <c r="D182" s="91"/>
      <c r="E182" s="78"/>
      <c r="F182" s="15"/>
      <c r="G182" s="15"/>
      <c r="H182" s="91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92"/>
      <c r="BO182" s="92"/>
      <c r="BP182" s="92"/>
      <c r="BQ182" s="92"/>
      <c r="BR182" s="92"/>
      <c r="BS182" s="92"/>
      <c r="BT182" s="92"/>
      <c r="BU182" s="92"/>
      <c r="BV182" s="92"/>
      <c r="BW182" s="92"/>
      <c r="BX182" s="92"/>
      <c r="BY182" s="92"/>
      <c r="BZ182" s="92"/>
      <c r="CA182" s="92"/>
      <c r="CB182" s="92"/>
      <c r="CC182" s="92"/>
      <c r="CD182" s="92"/>
      <c r="CE182" s="92"/>
      <c r="CF182" s="92"/>
      <c r="CG182" s="92"/>
      <c r="CH182" s="92"/>
      <c r="CI182" s="92"/>
      <c r="CJ182" s="92"/>
      <c r="CK182" s="92"/>
      <c r="CL182" s="92"/>
      <c r="CM182" s="92"/>
      <c r="CN182" s="92"/>
      <c r="CO182" s="92"/>
      <c r="CP182" s="92"/>
      <c r="CQ182" s="92"/>
      <c r="CR182" s="92"/>
      <c r="CS182" s="92"/>
      <c r="CT182" s="92"/>
      <c r="CU182" s="92"/>
      <c r="CV182" s="92"/>
      <c r="CW182" s="92"/>
      <c r="CX182" s="85"/>
      <c r="CY182" s="85"/>
      <c r="CZ182" s="85"/>
      <c r="DA182" s="85"/>
      <c r="DB182" s="85"/>
      <c r="DC182" s="85"/>
      <c r="DD182" s="85"/>
      <c r="DE182" s="85"/>
      <c r="DF182" s="85"/>
      <c r="DG182" s="85"/>
      <c r="DH182" s="85"/>
      <c r="DI182" s="85"/>
      <c r="DJ182" s="85"/>
      <c r="DK182" s="85"/>
      <c r="DL182" s="85"/>
      <c r="DM182" s="85"/>
      <c r="DN182" s="85"/>
      <c r="DO182" s="85"/>
      <c r="DP182" s="85"/>
    </row>
    <row r="183">
      <c r="A183" s="91"/>
      <c r="B183" s="91"/>
      <c r="C183" s="91"/>
      <c r="D183" s="91"/>
      <c r="E183" s="78"/>
      <c r="F183" s="15"/>
      <c r="G183" s="15"/>
      <c r="H183" s="91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92"/>
      <c r="BO183" s="92"/>
      <c r="BP183" s="92"/>
      <c r="BQ183" s="92"/>
      <c r="BR183" s="92"/>
      <c r="BS183" s="92"/>
      <c r="BT183" s="92"/>
      <c r="BU183" s="92"/>
      <c r="BV183" s="92"/>
      <c r="BW183" s="92"/>
      <c r="BX183" s="92"/>
      <c r="BY183" s="92"/>
      <c r="BZ183" s="92"/>
      <c r="CA183" s="92"/>
      <c r="CB183" s="92"/>
      <c r="CC183" s="92"/>
      <c r="CD183" s="92"/>
      <c r="CE183" s="92"/>
      <c r="CF183" s="92"/>
      <c r="CG183" s="92"/>
      <c r="CH183" s="92"/>
      <c r="CI183" s="92"/>
      <c r="CJ183" s="92"/>
      <c r="CK183" s="92"/>
      <c r="CL183" s="92"/>
      <c r="CM183" s="92"/>
      <c r="CN183" s="92"/>
      <c r="CO183" s="92"/>
      <c r="CP183" s="92"/>
      <c r="CQ183" s="92"/>
      <c r="CR183" s="92"/>
      <c r="CS183" s="92"/>
      <c r="CT183" s="92"/>
      <c r="CU183" s="92"/>
      <c r="CV183" s="92"/>
      <c r="CW183" s="92"/>
      <c r="CX183" s="85"/>
      <c r="CY183" s="85"/>
      <c r="CZ183" s="85"/>
      <c r="DA183" s="85"/>
      <c r="DB183" s="85"/>
      <c r="DC183" s="85"/>
      <c r="DD183" s="85"/>
      <c r="DE183" s="85"/>
      <c r="DF183" s="85"/>
      <c r="DG183" s="85"/>
      <c r="DH183" s="85"/>
      <c r="DI183" s="85"/>
      <c r="DJ183" s="85"/>
      <c r="DK183" s="85"/>
      <c r="DL183" s="85"/>
      <c r="DM183" s="85"/>
      <c r="DN183" s="85"/>
      <c r="DO183" s="85"/>
      <c r="DP183" s="85"/>
    </row>
    <row r="184">
      <c r="A184" s="91"/>
      <c r="B184" s="91"/>
      <c r="C184" s="91"/>
      <c r="D184" s="91"/>
      <c r="E184" s="78"/>
      <c r="F184" s="15"/>
      <c r="G184" s="15"/>
      <c r="H184" s="91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92"/>
      <c r="BO184" s="92"/>
      <c r="BP184" s="92"/>
      <c r="BQ184" s="92"/>
      <c r="BR184" s="92"/>
      <c r="BS184" s="92"/>
      <c r="BT184" s="92"/>
      <c r="BU184" s="92"/>
      <c r="BV184" s="92"/>
      <c r="BW184" s="92"/>
      <c r="BX184" s="92"/>
      <c r="BY184" s="92"/>
      <c r="BZ184" s="92"/>
      <c r="CA184" s="92"/>
      <c r="CB184" s="92"/>
      <c r="CC184" s="92"/>
      <c r="CD184" s="92"/>
      <c r="CE184" s="92"/>
      <c r="CF184" s="92"/>
      <c r="CG184" s="92"/>
      <c r="CH184" s="92"/>
      <c r="CI184" s="92"/>
      <c r="CJ184" s="92"/>
      <c r="CK184" s="92"/>
      <c r="CL184" s="92"/>
      <c r="CM184" s="92"/>
      <c r="CN184" s="92"/>
      <c r="CO184" s="92"/>
      <c r="CP184" s="92"/>
      <c r="CQ184" s="92"/>
      <c r="CR184" s="92"/>
      <c r="CS184" s="92"/>
      <c r="CT184" s="92"/>
      <c r="CU184" s="92"/>
      <c r="CV184" s="92"/>
      <c r="CW184" s="92"/>
      <c r="CX184" s="85"/>
      <c r="CY184" s="85"/>
      <c r="CZ184" s="85"/>
      <c r="DA184" s="85"/>
      <c r="DB184" s="85"/>
      <c r="DC184" s="85"/>
      <c r="DD184" s="85"/>
      <c r="DE184" s="85"/>
      <c r="DF184" s="85"/>
      <c r="DG184" s="85"/>
      <c r="DH184" s="85"/>
      <c r="DI184" s="85"/>
      <c r="DJ184" s="85"/>
      <c r="DK184" s="85"/>
      <c r="DL184" s="85"/>
      <c r="DM184" s="85"/>
      <c r="DN184" s="85"/>
      <c r="DO184" s="85"/>
      <c r="DP184" s="85"/>
    </row>
    <row r="185">
      <c r="A185" s="91"/>
      <c r="B185" s="91"/>
      <c r="C185" s="91"/>
      <c r="D185" s="91"/>
      <c r="E185" s="78"/>
      <c r="F185" s="15"/>
      <c r="G185" s="15"/>
      <c r="H185" s="91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92"/>
      <c r="BO185" s="92"/>
      <c r="BP185" s="92"/>
      <c r="BQ185" s="92"/>
      <c r="BR185" s="92"/>
      <c r="BS185" s="92"/>
      <c r="BT185" s="92"/>
      <c r="BU185" s="92"/>
      <c r="BV185" s="92"/>
      <c r="BW185" s="92"/>
      <c r="BX185" s="92"/>
      <c r="BY185" s="92"/>
      <c r="BZ185" s="92"/>
      <c r="CA185" s="92"/>
      <c r="CB185" s="92"/>
      <c r="CC185" s="92"/>
      <c r="CD185" s="92"/>
      <c r="CE185" s="92"/>
      <c r="CF185" s="92"/>
      <c r="CG185" s="92"/>
      <c r="CH185" s="92"/>
      <c r="CI185" s="92"/>
      <c r="CJ185" s="92"/>
      <c r="CK185" s="92"/>
      <c r="CL185" s="92"/>
      <c r="CM185" s="92"/>
      <c r="CN185" s="92"/>
      <c r="CO185" s="92"/>
      <c r="CP185" s="92"/>
      <c r="CQ185" s="92"/>
      <c r="CR185" s="92"/>
      <c r="CS185" s="92"/>
      <c r="CT185" s="92"/>
      <c r="CU185" s="92"/>
      <c r="CV185" s="92"/>
      <c r="CW185" s="92"/>
      <c r="CX185" s="85"/>
      <c r="CY185" s="85"/>
      <c r="CZ185" s="85"/>
      <c r="DA185" s="85"/>
      <c r="DB185" s="85"/>
      <c r="DC185" s="85"/>
      <c r="DD185" s="85"/>
      <c r="DE185" s="85"/>
      <c r="DF185" s="85"/>
      <c r="DG185" s="85"/>
      <c r="DH185" s="85"/>
      <c r="DI185" s="85"/>
      <c r="DJ185" s="85"/>
      <c r="DK185" s="85"/>
      <c r="DL185" s="85"/>
      <c r="DM185" s="85"/>
      <c r="DN185" s="85"/>
      <c r="DO185" s="85"/>
      <c r="DP185" s="85"/>
    </row>
    <row r="186">
      <c r="A186" s="91"/>
      <c r="B186" s="91"/>
      <c r="C186" s="91"/>
      <c r="D186" s="91"/>
      <c r="E186" s="78"/>
      <c r="F186" s="15"/>
      <c r="G186" s="15"/>
      <c r="H186" s="91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92"/>
      <c r="BO186" s="92"/>
      <c r="BP186" s="92"/>
      <c r="BQ186" s="92"/>
      <c r="BR186" s="92"/>
      <c r="BS186" s="92"/>
      <c r="BT186" s="92"/>
      <c r="BU186" s="92"/>
      <c r="BV186" s="92"/>
      <c r="BW186" s="92"/>
      <c r="BX186" s="92"/>
      <c r="BY186" s="92"/>
      <c r="BZ186" s="92"/>
      <c r="CA186" s="92"/>
      <c r="CB186" s="92"/>
      <c r="CC186" s="92"/>
      <c r="CD186" s="92"/>
      <c r="CE186" s="92"/>
      <c r="CF186" s="92"/>
      <c r="CG186" s="92"/>
      <c r="CH186" s="92"/>
      <c r="CI186" s="92"/>
      <c r="CJ186" s="92"/>
      <c r="CK186" s="92"/>
      <c r="CL186" s="92"/>
      <c r="CM186" s="92"/>
      <c r="CN186" s="92"/>
      <c r="CO186" s="92"/>
      <c r="CP186" s="92"/>
      <c r="CQ186" s="92"/>
      <c r="CR186" s="92"/>
      <c r="CS186" s="92"/>
      <c r="CT186" s="92"/>
      <c r="CU186" s="92"/>
      <c r="CV186" s="92"/>
      <c r="CW186" s="92"/>
      <c r="CX186" s="85"/>
      <c r="CY186" s="85"/>
      <c r="CZ186" s="85"/>
      <c r="DA186" s="85"/>
      <c r="DB186" s="85"/>
      <c r="DC186" s="85"/>
      <c r="DD186" s="85"/>
      <c r="DE186" s="85"/>
      <c r="DF186" s="85"/>
      <c r="DG186" s="85"/>
      <c r="DH186" s="85"/>
      <c r="DI186" s="85"/>
      <c r="DJ186" s="85"/>
      <c r="DK186" s="85"/>
      <c r="DL186" s="85"/>
      <c r="DM186" s="85"/>
      <c r="DN186" s="85"/>
      <c r="DO186" s="85"/>
      <c r="DP186" s="85"/>
    </row>
    <row r="187">
      <c r="A187" s="91"/>
      <c r="B187" s="91"/>
      <c r="C187" s="91"/>
      <c r="D187" s="91"/>
      <c r="E187" s="78"/>
      <c r="F187" s="15"/>
      <c r="G187" s="15"/>
      <c r="H187" s="91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92"/>
      <c r="BO187" s="92"/>
      <c r="BP187" s="92"/>
      <c r="BQ187" s="92"/>
      <c r="BR187" s="92"/>
      <c r="BS187" s="92"/>
      <c r="BT187" s="92"/>
      <c r="BU187" s="92"/>
      <c r="BV187" s="92"/>
      <c r="BW187" s="92"/>
      <c r="BX187" s="92"/>
      <c r="BY187" s="92"/>
      <c r="BZ187" s="92"/>
      <c r="CA187" s="92"/>
      <c r="CB187" s="92"/>
      <c r="CC187" s="92"/>
      <c r="CD187" s="92"/>
      <c r="CE187" s="92"/>
      <c r="CF187" s="92"/>
      <c r="CG187" s="92"/>
      <c r="CH187" s="92"/>
      <c r="CI187" s="92"/>
      <c r="CJ187" s="92"/>
      <c r="CK187" s="92"/>
      <c r="CL187" s="92"/>
      <c r="CM187" s="92"/>
      <c r="CN187" s="92"/>
      <c r="CO187" s="92"/>
      <c r="CP187" s="92"/>
      <c r="CQ187" s="92"/>
      <c r="CR187" s="92"/>
      <c r="CS187" s="92"/>
      <c r="CT187" s="92"/>
      <c r="CU187" s="92"/>
      <c r="CV187" s="92"/>
      <c r="CW187" s="92"/>
      <c r="CX187" s="85"/>
      <c r="CY187" s="85"/>
      <c r="CZ187" s="85"/>
      <c r="DA187" s="85"/>
      <c r="DB187" s="85"/>
      <c r="DC187" s="85"/>
      <c r="DD187" s="85"/>
      <c r="DE187" s="85"/>
      <c r="DF187" s="85"/>
      <c r="DG187" s="85"/>
      <c r="DH187" s="85"/>
      <c r="DI187" s="85"/>
      <c r="DJ187" s="85"/>
      <c r="DK187" s="85"/>
      <c r="DL187" s="85"/>
      <c r="DM187" s="85"/>
      <c r="DN187" s="85"/>
      <c r="DO187" s="85"/>
      <c r="DP187" s="85"/>
    </row>
    <row r="188">
      <c r="A188" s="91"/>
      <c r="B188" s="91"/>
      <c r="C188" s="91"/>
      <c r="D188" s="91"/>
      <c r="E188" s="78"/>
      <c r="F188" s="15"/>
      <c r="G188" s="15"/>
      <c r="H188" s="91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92"/>
      <c r="BO188" s="92"/>
      <c r="BP188" s="92"/>
      <c r="BQ188" s="92"/>
      <c r="BR188" s="92"/>
      <c r="BS188" s="92"/>
      <c r="BT188" s="92"/>
      <c r="BU188" s="92"/>
      <c r="BV188" s="92"/>
      <c r="BW188" s="92"/>
      <c r="BX188" s="92"/>
      <c r="BY188" s="92"/>
      <c r="BZ188" s="92"/>
      <c r="CA188" s="92"/>
      <c r="CB188" s="92"/>
      <c r="CC188" s="92"/>
      <c r="CD188" s="92"/>
      <c r="CE188" s="92"/>
      <c r="CF188" s="92"/>
      <c r="CG188" s="92"/>
      <c r="CH188" s="92"/>
      <c r="CI188" s="92"/>
      <c r="CJ188" s="92"/>
      <c r="CK188" s="92"/>
      <c r="CL188" s="92"/>
      <c r="CM188" s="92"/>
      <c r="CN188" s="92"/>
      <c r="CO188" s="92"/>
      <c r="CP188" s="92"/>
      <c r="CQ188" s="92"/>
      <c r="CR188" s="92"/>
      <c r="CS188" s="92"/>
      <c r="CT188" s="92"/>
      <c r="CU188" s="92"/>
      <c r="CV188" s="92"/>
      <c r="CW188" s="92"/>
      <c r="CX188" s="85"/>
      <c r="CY188" s="85"/>
      <c r="CZ188" s="85"/>
      <c r="DA188" s="85"/>
      <c r="DB188" s="85"/>
      <c r="DC188" s="85"/>
      <c r="DD188" s="85"/>
      <c r="DE188" s="85"/>
      <c r="DF188" s="85"/>
      <c r="DG188" s="85"/>
      <c r="DH188" s="85"/>
      <c r="DI188" s="85"/>
      <c r="DJ188" s="85"/>
      <c r="DK188" s="85"/>
      <c r="DL188" s="85"/>
      <c r="DM188" s="85"/>
      <c r="DN188" s="85"/>
      <c r="DO188" s="85"/>
      <c r="DP188" s="85"/>
    </row>
    <row r="189">
      <c r="A189" s="91"/>
      <c r="B189" s="91"/>
      <c r="C189" s="91"/>
      <c r="D189" s="91"/>
      <c r="E189" s="78"/>
      <c r="F189" s="15"/>
      <c r="G189" s="15"/>
      <c r="H189" s="91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92"/>
      <c r="BO189" s="92"/>
      <c r="BP189" s="92"/>
      <c r="BQ189" s="92"/>
      <c r="BR189" s="92"/>
      <c r="BS189" s="92"/>
      <c r="BT189" s="92"/>
      <c r="BU189" s="92"/>
      <c r="BV189" s="92"/>
      <c r="BW189" s="92"/>
      <c r="BX189" s="92"/>
      <c r="BY189" s="92"/>
      <c r="BZ189" s="92"/>
      <c r="CA189" s="92"/>
      <c r="CB189" s="92"/>
      <c r="CC189" s="92"/>
      <c r="CD189" s="92"/>
      <c r="CE189" s="92"/>
      <c r="CF189" s="92"/>
      <c r="CG189" s="92"/>
      <c r="CH189" s="92"/>
      <c r="CI189" s="92"/>
      <c r="CJ189" s="92"/>
      <c r="CK189" s="92"/>
      <c r="CL189" s="92"/>
      <c r="CM189" s="92"/>
      <c r="CN189" s="92"/>
      <c r="CO189" s="92"/>
      <c r="CP189" s="92"/>
      <c r="CQ189" s="92"/>
      <c r="CR189" s="92"/>
      <c r="CS189" s="92"/>
      <c r="CT189" s="92"/>
      <c r="CU189" s="92"/>
      <c r="CV189" s="92"/>
      <c r="CW189" s="92"/>
      <c r="CX189" s="85"/>
      <c r="CY189" s="85"/>
      <c r="CZ189" s="85"/>
      <c r="DA189" s="85"/>
      <c r="DB189" s="85"/>
      <c r="DC189" s="85"/>
      <c r="DD189" s="85"/>
      <c r="DE189" s="85"/>
      <c r="DF189" s="85"/>
      <c r="DG189" s="85"/>
      <c r="DH189" s="85"/>
      <c r="DI189" s="85"/>
      <c r="DJ189" s="85"/>
      <c r="DK189" s="85"/>
      <c r="DL189" s="85"/>
      <c r="DM189" s="85"/>
      <c r="DN189" s="85"/>
      <c r="DO189" s="85"/>
      <c r="DP189" s="85"/>
    </row>
    <row r="190">
      <c r="A190" s="91"/>
      <c r="B190" s="91"/>
      <c r="C190" s="91"/>
      <c r="D190" s="91"/>
      <c r="E190" s="78"/>
      <c r="F190" s="15"/>
      <c r="G190" s="15"/>
      <c r="H190" s="91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92"/>
      <c r="BO190" s="92"/>
      <c r="BP190" s="92"/>
      <c r="BQ190" s="92"/>
      <c r="BR190" s="92"/>
      <c r="BS190" s="92"/>
      <c r="BT190" s="92"/>
      <c r="BU190" s="92"/>
      <c r="BV190" s="92"/>
      <c r="BW190" s="92"/>
      <c r="BX190" s="92"/>
      <c r="BY190" s="92"/>
      <c r="BZ190" s="92"/>
      <c r="CA190" s="92"/>
      <c r="CB190" s="92"/>
      <c r="CC190" s="92"/>
      <c r="CD190" s="92"/>
      <c r="CE190" s="92"/>
      <c r="CF190" s="92"/>
      <c r="CG190" s="92"/>
      <c r="CH190" s="92"/>
      <c r="CI190" s="92"/>
      <c r="CJ190" s="92"/>
      <c r="CK190" s="92"/>
      <c r="CL190" s="92"/>
      <c r="CM190" s="92"/>
      <c r="CN190" s="92"/>
      <c r="CO190" s="92"/>
      <c r="CP190" s="92"/>
      <c r="CQ190" s="92"/>
      <c r="CR190" s="92"/>
      <c r="CS190" s="92"/>
      <c r="CT190" s="92"/>
      <c r="CU190" s="92"/>
      <c r="CV190" s="92"/>
      <c r="CW190" s="92"/>
      <c r="CX190" s="85"/>
      <c r="CY190" s="85"/>
      <c r="CZ190" s="85"/>
      <c r="DA190" s="85"/>
      <c r="DB190" s="85"/>
      <c r="DC190" s="85"/>
      <c r="DD190" s="85"/>
      <c r="DE190" s="85"/>
      <c r="DF190" s="85"/>
      <c r="DG190" s="85"/>
      <c r="DH190" s="85"/>
      <c r="DI190" s="85"/>
      <c r="DJ190" s="85"/>
      <c r="DK190" s="85"/>
      <c r="DL190" s="85"/>
      <c r="DM190" s="85"/>
      <c r="DN190" s="85"/>
      <c r="DO190" s="85"/>
      <c r="DP190" s="85"/>
    </row>
    <row r="191">
      <c r="A191" s="91"/>
      <c r="B191" s="91"/>
      <c r="C191" s="91"/>
      <c r="D191" s="91"/>
      <c r="E191" s="78"/>
      <c r="F191" s="15"/>
      <c r="G191" s="15"/>
      <c r="H191" s="91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92"/>
      <c r="BO191" s="92"/>
      <c r="BP191" s="92"/>
      <c r="BQ191" s="92"/>
      <c r="BR191" s="92"/>
      <c r="BS191" s="92"/>
      <c r="BT191" s="92"/>
      <c r="BU191" s="92"/>
      <c r="BV191" s="92"/>
      <c r="BW191" s="92"/>
      <c r="BX191" s="92"/>
      <c r="BY191" s="92"/>
      <c r="BZ191" s="92"/>
      <c r="CA191" s="92"/>
      <c r="CB191" s="92"/>
      <c r="CC191" s="92"/>
      <c r="CD191" s="92"/>
      <c r="CE191" s="92"/>
      <c r="CF191" s="92"/>
      <c r="CG191" s="92"/>
      <c r="CH191" s="92"/>
      <c r="CI191" s="92"/>
      <c r="CJ191" s="92"/>
      <c r="CK191" s="92"/>
      <c r="CL191" s="92"/>
      <c r="CM191" s="92"/>
      <c r="CN191" s="92"/>
      <c r="CO191" s="92"/>
      <c r="CP191" s="92"/>
      <c r="CQ191" s="92"/>
      <c r="CR191" s="92"/>
      <c r="CS191" s="92"/>
      <c r="CT191" s="92"/>
      <c r="CU191" s="92"/>
      <c r="CV191" s="92"/>
      <c r="CW191" s="92"/>
      <c r="CX191" s="85"/>
      <c r="CY191" s="85"/>
      <c r="CZ191" s="85"/>
      <c r="DA191" s="85"/>
      <c r="DB191" s="85"/>
      <c r="DC191" s="85"/>
      <c r="DD191" s="85"/>
      <c r="DE191" s="85"/>
      <c r="DF191" s="85"/>
      <c r="DG191" s="85"/>
      <c r="DH191" s="85"/>
      <c r="DI191" s="85"/>
      <c r="DJ191" s="85"/>
      <c r="DK191" s="85"/>
      <c r="DL191" s="85"/>
      <c r="DM191" s="85"/>
      <c r="DN191" s="85"/>
      <c r="DO191" s="85"/>
      <c r="DP191" s="85"/>
    </row>
    <row r="192">
      <c r="A192" s="91"/>
      <c r="B192" s="91"/>
      <c r="C192" s="91"/>
      <c r="D192" s="91"/>
      <c r="E192" s="78"/>
      <c r="F192" s="15"/>
      <c r="G192" s="15"/>
      <c r="H192" s="91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92"/>
      <c r="BO192" s="92"/>
      <c r="BP192" s="92"/>
      <c r="BQ192" s="92"/>
      <c r="BR192" s="92"/>
      <c r="BS192" s="92"/>
      <c r="BT192" s="92"/>
      <c r="BU192" s="92"/>
      <c r="BV192" s="92"/>
      <c r="BW192" s="92"/>
      <c r="BX192" s="92"/>
      <c r="BY192" s="92"/>
      <c r="BZ192" s="92"/>
      <c r="CA192" s="92"/>
      <c r="CB192" s="92"/>
      <c r="CC192" s="92"/>
      <c r="CD192" s="92"/>
      <c r="CE192" s="92"/>
      <c r="CF192" s="92"/>
      <c r="CG192" s="92"/>
      <c r="CH192" s="92"/>
      <c r="CI192" s="92"/>
      <c r="CJ192" s="92"/>
      <c r="CK192" s="92"/>
      <c r="CL192" s="92"/>
      <c r="CM192" s="92"/>
      <c r="CN192" s="92"/>
      <c r="CO192" s="92"/>
      <c r="CP192" s="92"/>
      <c r="CQ192" s="92"/>
      <c r="CR192" s="92"/>
      <c r="CS192" s="92"/>
      <c r="CT192" s="92"/>
      <c r="CU192" s="92"/>
      <c r="CV192" s="92"/>
      <c r="CW192" s="92"/>
      <c r="CX192" s="85"/>
      <c r="CY192" s="85"/>
      <c r="CZ192" s="85"/>
      <c r="DA192" s="85"/>
      <c r="DB192" s="85"/>
      <c r="DC192" s="85"/>
      <c r="DD192" s="85"/>
      <c r="DE192" s="85"/>
      <c r="DF192" s="85"/>
      <c r="DG192" s="85"/>
      <c r="DH192" s="85"/>
      <c r="DI192" s="85"/>
      <c r="DJ192" s="85"/>
      <c r="DK192" s="85"/>
      <c r="DL192" s="85"/>
      <c r="DM192" s="85"/>
      <c r="DN192" s="85"/>
      <c r="DO192" s="85"/>
      <c r="DP192" s="85"/>
    </row>
    <row r="193">
      <c r="A193" s="91"/>
      <c r="B193" s="91"/>
      <c r="C193" s="91"/>
      <c r="D193" s="91"/>
      <c r="E193" s="78"/>
      <c r="F193" s="15"/>
      <c r="G193" s="15"/>
      <c r="H193" s="91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92"/>
      <c r="BO193" s="92"/>
      <c r="BP193" s="92"/>
      <c r="BQ193" s="92"/>
      <c r="BR193" s="92"/>
      <c r="BS193" s="92"/>
      <c r="BT193" s="92"/>
      <c r="BU193" s="92"/>
      <c r="BV193" s="92"/>
      <c r="BW193" s="92"/>
      <c r="BX193" s="92"/>
      <c r="BY193" s="92"/>
      <c r="BZ193" s="92"/>
      <c r="CA193" s="92"/>
      <c r="CB193" s="92"/>
      <c r="CC193" s="92"/>
      <c r="CD193" s="92"/>
      <c r="CE193" s="92"/>
      <c r="CF193" s="92"/>
      <c r="CG193" s="92"/>
      <c r="CH193" s="92"/>
      <c r="CI193" s="92"/>
      <c r="CJ193" s="92"/>
      <c r="CK193" s="92"/>
      <c r="CL193" s="92"/>
      <c r="CM193" s="92"/>
      <c r="CN193" s="92"/>
      <c r="CO193" s="92"/>
      <c r="CP193" s="92"/>
      <c r="CQ193" s="92"/>
      <c r="CR193" s="92"/>
      <c r="CS193" s="92"/>
      <c r="CT193" s="92"/>
      <c r="CU193" s="92"/>
      <c r="CV193" s="92"/>
      <c r="CW193" s="92"/>
      <c r="CX193" s="85"/>
      <c r="CY193" s="85"/>
      <c r="CZ193" s="85"/>
      <c r="DA193" s="85"/>
      <c r="DB193" s="85"/>
      <c r="DC193" s="85"/>
      <c r="DD193" s="85"/>
      <c r="DE193" s="85"/>
      <c r="DF193" s="85"/>
      <c r="DG193" s="85"/>
      <c r="DH193" s="85"/>
      <c r="DI193" s="85"/>
      <c r="DJ193" s="85"/>
      <c r="DK193" s="85"/>
      <c r="DL193" s="85"/>
      <c r="DM193" s="85"/>
      <c r="DN193" s="85"/>
      <c r="DO193" s="85"/>
      <c r="DP193" s="85"/>
    </row>
    <row r="194">
      <c r="A194" s="91"/>
      <c r="B194" s="91"/>
      <c r="C194" s="91"/>
      <c r="D194" s="91"/>
      <c r="E194" s="78"/>
      <c r="F194" s="15"/>
      <c r="G194" s="15"/>
      <c r="H194" s="91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92"/>
      <c r="BO194" s="92"/>
      <c r="BP194" s="92"/>
      <c r="BQ194" s="92"/>
      <c r="BR194" s="92"/>
      <c r="BS194" s="92"/>
      <c r="BT194" s="92"/>
      <c r="BU194" s="92"/>
      <c r="BV194" s="92"/>
      <c r="BW194" s="92"/>
      <c r="BX194" s="92"/>
      <c r="BY194" s="92"/>
      <c r="BZ194" s="92"/>
      <c r="CA194" s="92"/>
      <c r="CB194" s="92"/>
      <c r="CC194" s="92"/>
      <c r="CD194" s="92"/>
      <c r="CE194" s="92"/>
      <c r="CF194" s="92"/>
      <c r="CG194" s="92"/>
      <c r="CH194" s="92"/>
      <c r="CI194" s="92"/>
      <c r="CJ194" s="92"/>
      <c r="CK194" s="92"/>
      <c r="CL194" s="92"/>
      <c r="CM194" s="92"/>
      <c r="CN194" s="92"/>
      <c r="CO194" s="92"/>
      <c r="CP194" s="92"/>
      <c r="CQ194" s="92"/>
      <c r="CR194" s="92"/>
      <c r="CS194" s="92"/>
      <c r="CT194" s="92"/>
      <c r="CU194" s="92"/>
      <c r="CV194" s="92"/>
      <c r="CW194" s="92"/>
      <c r="CX194" s="85"/>
      <c r="CY194" s="85"/>
      <c r="CZ194" s="85"/>
      <c r="DA194" s="85"/>
      <c r="DB194" s="85"/>
      <c r="DC194" s="85"/>
      <c r="DD194" s="85"/>
      <c r="DE194" s="85"/>
      <c r="DF194" s="85"/>
      <c r="DG194" s="85"/>
      <c r="DH194" s="85"/>
      <c r="DI194" s="85"/>
      <c r="DJ194" s="85"/>
      <c r="DK194" s="85"/>
      <c r="DL194" s="85"/>
      <c r="DM194" s="85"/>
      <c r="DN194" s="85"/>
      <c r="DO194" s="85"/>
      <c r="DP194" s="85"/>
    </row>
    <row r="195">
      <c r="A195" s="91"/>
      <c r="B195" s="91"/>
      <c r="C195" s="91"/>
      <c r="D195" s="91"/>
      <c r="E195" s="78"/>
      <c r="F195" s="15"/>
      <c r="G195" s="15"/>
      <c r="H195" s="91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92"/>
      <c r="BO195" s="92"/>
      <c r="BP195" s="92"/>
      <c r="BQ195" s="92"/>
      <c r="BR195" s="92"/>
      <c r="BS195" s="92"/>
      <c r="BT195" s="92"/>
      <c r="BU195" s="92"/>
      <c r="BV195" s="92"/>
      <c r="BW195" s="92"/>
      <c r="BX195" s="92"/>
      <c r="BY195" s="92"/>
      <c r="BZ195" s="92"/>
      <c r="CA195" s="92"/>
      <c r="CB195" s="92"/>
      <c r="CC195" s="92"/>
      <c r="CD195" s="92"/>
      <c r="CE195" s="92"/>
      <c r="CF195" s="92"/>
      <c r="CG195" s="92"/>
      <c r="CH195" s="92"/>
      <c r="CI195" s="92"/>
      <c r="CJ195" s="92"/>
      <c r="CK195" s="92"/>
      <c r="CL195" s="92"/>
      <c r="CM195" s="92"/>
      <c r="CN195" s="92"/>
      <c r="CO195" s="92"/>
      <c r="CP195" s="92"/>
      <c r="CQ195" s="92"/>
      <c r="CR195" s="92"/>
      <c r="CS195" s="92"/>
      <c r="CT195" s="92"/>
      <c r="CU195" s="92"/>
      <c r="CV195" s="92"/>
      <c r="CW195" s="92"/>
      <c r="CX195" s="85"/>
      <c r="CY195" s="85"/>
      <c r="CZ195" s="85"/>
      <c r="DA195" s="85"/>
      <c r="DB195" s="85"/>
      <c r="DC195" s="85"/>
      <c r="DD195" s="85"/>
      <c r="DE195" s="85"/>
      <c r="DF195" s="85"/>
      <c r="DG195" s="85"/>
      <c r="DH195" s="85"/>
      <c r="DI195" s="85"/>
      <c r="DJ195" s="85"/>
      <c r="DK195" s="85"/>
      <c r="DL195" s="85"/>
      <c r="DM195" s="85"/>
      <c r="DN195" s="85"/>
      <c r="DO195" s="85"/>
      <c r="DP195" s="85"/>
    </row>
    <row r="196">
      <c r="A196" s="91"/>
      <c r="B196" s="91"/>
      <c r="C196" s="91"/>
      <c r="D196" s="91"/>
      <c r="E196" s="78"/>
      <c r="F196" s="15"/>
      <c r="G196" s="15"/>
      <c r="H196" s="91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92"/>
      <c r="BO196" s="92"/>
      <c r="BP196" s="92"/>
      <c r="BQ196" s="92"/>
      <c r="BR196" s="92"/>
      <c r="BS196" s="92"/>
      <c r="BT196" s="92"/>
      <c r="BU196" s="92"/>
      <c r="BV196" s="92"/>
      <c r="BW196" s="92"/>
      <c r="BX196" s="92"/>
      <c r="BY196" s="92"/>
      <c r="BZ196" s="92"/>
      <c r="CA196" s="92"/>
      <c r="CB196" s="92"/>
      <c r="CC196" s="92"/>
      <c r="CD196" s="92"/>
      <c r="CE196" s="92"/>
      <c r="CF196" s="92"/>
      <c r="CG196" s="92"/>
      <c r="CH196" s="92"/>
      <c r="CI196" s="92"/>
      <c r="CJ196" s="92"/>
      <c r="CK196" s="92"/>
      <c r="CL196" s="92"/>
      <c r="CM196" s="92"/>
      <c r="CN196" s="92"/>
      <c r="CO196" s="92"/>
      <c r="CP196" s="92"/>
      <c r="CQ196" s="92"/>
      <c r="CR196" s="92"/>
      <c r="CS196" s="92"/>
      <c r="CT196" s="92"/>
      <c r="CU196" s="92"/>
      <c r="CV196" s="92"/>
      <c r="CW196" s="92"/>
      <c r="CX196" s="85"/>
      <c r="CY196" s="85"/>
      <c r="CZ196" s="85"/>
      <c r="DA196" s="85"/>
      <c r="DB196" s="85"/>
      <c r="DC196" s="85"/>
      <c r="DD196" s="85"/>
      <c r="DE196" s="85"/>
      <c r="DF196" s="85"/>
      <c r="DG196" s="85"/>
      <c r="DH196" s="85"/>
      <c r="DI196" s="85"/>
      <c r="DJ196" s="85"/>
      <c r="DK196" s="85"/>
      <c r="DL196" s="85"/>
      <c r="DM196" s="85"/>
      <c r="DN196" s="85"/>
      <c r="DO196" s="85"/>
      <c r="DP196" s="85"/>
    </row>
    <row r="197">
      <c r="A197" s="91"/>
      <c r="B197" s="91"/>
      <c r="C197" s="91"/>
      <c r="D197" s="91"/>
      <c r="E197" s="78"/>
      <c r="F197" s="15"/>
      <c r="G197" s="15"/>
      <c r="H197" s="91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92"/>
      <c r="BO197" s="92"/>
      <c r="BP197" s="92"/>
      <c r="BQ197" s="92"/>
      <c r="BR197" s="92"/>
      <c r="BS197" s="92"/>
      <c r="BT197" s="92"/>
      <c r="BU197" s="92"/>
      <c r="BV197" s="92"/>
      <c r="BW197" s="92"/>
      <c r="BX197" s="92"/>
      <c r="BY197" s="92"/>
      <c r="BZ197" s="92"/>
      <c r="CA197" s="92"/>
      <c r="CB197" s="92"/>
      <c r="CC197" s="92"/>
      <c r="CD197" s="92"/>
      <c r="CE197" s="92"/>
      <c r="CF197" s="92"/>
      <c r="CG197" s="92"/>
      <c r="CH197" s="92"/>
      <c r="CI197" s="92"/>
      <c r="CJ197" s="92"/>
      <c r="CK197" s="92"/>
      <c r="CL197" s="92"/>
      <c r="CM197" s="92"/>
      <c r="CN197" s="92"/>
      <c r="CO197" s="92"/>
      <c r="CP197" s="92"/>
      <c r="CQ197" s="92"/>
      <c r="CR197" s="92"/>
      <c r="CS197" s="92"/>
      <c r="CT197" s="92"/>
      <c r="CU197" s="92"/>
      <c r="CV197" s="92"/>
      <c r="CW197" s="92"/>
      <c r="CX197" s="85"/>
      <c r="CY197" s="85"/>
      <c r="CZ197" s="85"/>
      <c r="DA197" s="85"/>
      <c r="DB197" s="85"/>
      <c r="DC197" s="85"/>
      <c r="DD197" s="85"/>
      <c r="DE197" s="85"/>
      <c r="DF197" s="85"/>
      <c r="DG197" s="85"/>
      <c r="DH197" s="85"/>
      <c r="DI197" s="85"/>
      <c r="DJ197" s="85"/>
      <c r="DK197" s="85"/>
      <c r="DL197" s="85"/>
      <c r="DM197" s="85"/>
      <c r="DN197" s="85"/>
      <c r="DO197" s="85"/>
      <c r="DP197" s="85"/>
    </row>
    <row r="198">
      <c r="A198" s="91"/>
      <c r="B198" s="91"/>
      <c r="C198" s="91"/>
      <c r="D198" s="91"/>
      <c r="E198" s="78"/>
      <c r="F198" s="15"/>
      <c r="G198" s="15"/>
      <c r="H198" s="91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92"/>
      <c r="BO198" s="92"/>
      <c r="BP198" s="92"/>
      <c r="BQ198" s="92"/>
      <c r="BR198" s="92"/>
      <c r="BS198" s="92"/>
      <c r="BT198" s="92"/>
      <c r="BU198" s="92"/>
      <c r="BV198" s="92"/>
      <c r="BW198" s="92"/>
      <c r="BX198" s="92"/>
      <c r="BY198" s="92"/>
      <c r="BZ198" s="92"/>
      <c r="CA198" s="92"/>
      <c r="CB198" s="92"/>
      <c r="CC198" s="92"/>
      <c r="CD198" s="92"/>
      <c r="CE198" s="92"/>
      <c r="CF198" s="92"/>
      <c r="CG198" s="92"/>
      <c r="CH198" s="92"/>
      <c r="CI198" s="92"/>
      <c r="CJ198" s="92"/>
      <c r="CK198" s="92"/>
      <c r="CL198" s="92"/>
      <c r="CM198" s="92"/>
      <c r="CN198" s="92"/>
      <c r="CO198" s="92"/>
      <c r="CP198" s="92"/>
      <c r="CQ198" s="92"/>
      <c r="CR198" s="92"/>
      <c r="CS198" s="92"/>
      <c r="CT198" s="92"/>
      <c r="CU198" s="92"/>
      <c r="CV198" s="92"/>
      <c r="CW198" s="92"/>
      <c r="CX198" s="85"/>
      <c r="CY198" s="85"/>
      <c r="CZ198" s="85"/>
      <c r="DA198" s="85"/>
      <c r="DB198" s="85"/>
      <c r="DC198" s="85"/>
      <c r="DD198" s="85"/>
      <c r="DE198" s="85"/>
      <c r="DF198" s="85"/>
      <c r="DG198" s="85"/>
      <c r="DH198" s="85"/>
      <c r="DI198" s="85"/>
      <c r="DJ198" s="85"/>
      <c r="DK198" s="85"/>
      <c r="DL198" s="85"/>
      <c r="DM198" s="85"/>
      <c r="DN198" s="85"/>
      <c r="DO198" s="85"/>
      <c r="DP198" s="85"/>
    </row>
    <row r="199">
      <c r="A199" s="91"/>
      <c r="B199" s="91"/>
      <c r="C199" s="91"/>
      <c r="D199" s="91"/>
      <c r="E199" s="78"/>
      <c r="F199" s="15"/>
      <c r="G199" s="15"/>
      <c r="H199" s="91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92"/>
      <c r="BO199" s="92"/>
      <c r="BP199" s="92"/>
      <c r="BQ199" s="92"/>
      <c r="BR199" s="92"/>
      <c r="BS199" s="92"/>
      <c r="BT199" s="92"/>
      <c r="BU199" s="92"/>
      <c r="BV199" s="92"/>
      <c r="BW199" s="92"/>
      <c r="BX199" s="92"/>
      <c r="BY199" s="92"/>
      <c r="BZ199" s="92"/>
      <c r="CA199" s="92"/>
      <c r="CB199" s="92"/>
      <c r="CC199" s="92"/>
      <c r="CD199" s="92"/>
      <c r="CE199" s="92"/>
      <c r="CF199" s="92"/>
      <c r="CG199" s="92"/>
      <c r="CH199" s="92"/>
      <c r="CI199" s="92"/>
      <c r="CJ199" s="92"/>
      <c r="CK199" s="92"/>
      <c r="CL199" s="92"/>
      <c r="CM199" s="92"/>
      <c r="CN199" s="92"/>
      <c r="CO199" s="92"/>
      <c r="CP199" s="92"/>
      <c r="CQ199" s="92"/>
      <c r="CR199" s="92"/>
      <c r="CS199" s="92"/>
      <c r="CT199" s="92"/>
      <c r="CU199" s="92"/>
      <c r="CV199" s="92"/>
      <c r="CW199" s="92"/>
      <c r="CX199" s="85"/>
      <c r="CY199" s="85"/>
      <c r="CZ199" s="85"/>
      <c r="DA199" s="85"/>
      <c r="DB199" s="85"/>
      <c r="DC199" s="85"/>
      <c r="DD199" s="85"/>
      <c r="DE199" s="85"/>
      <c r="DF199" s="85"/>
      <c r="DG199" s="85"/>
      <c r="DH199" s="85"/>
      <c r="DI199" s="85"/>
      <c r="DJ199" s="85"/>
      <c r="DK199" s="85"/>
      <c r="DL199" s="85"/>
      <c r="DM199" s="85"/>
      <c r="DN199" s="85"/>
      <c r="DO199" s="85"/>
      <c r="DP199" s="85"/>
    </row>
    <row r="200">
      <c r="A200" s="91"/>
      <c r="B200" s="91"/>
      <c r="C200" s="91"/>
      <c r="D200" s="91"/>
      <c r="E200" s="78"/>
      <c r="F200" s="15"/>
      <c r="G200" s="15"/>
      <c r="H200" s="91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92"/>
      <c r="BO200" s="92"/>
      <c r="BP200" s="92"/>
      <c r="BQ200" s="92"/>
      <c r="BR200" s="92"/>
      <c r="BS200" s="92"/>
      <c r="BT200" s="92"/>
      <c r="BU200" s="92"/>
      <c r="BV200" s="92"/>
      <c r="BW200" s="92"/>
      <c r="BX200" s="92"/>
      <c r="BY200" s="92"/>
      <c r="BZ200" s="92"/>
      <c r="CA200" s="92"/>
      <c r="CB200" s="92"/>
      <c r="CC200" s="92"/>
      <c r="CD200" s="92"/>
      <c r="CE200" s="92"/>
      <c r="CF200" s="92"/>
      <c r="CG200" s="92"/>
      <c r="CH200" s="92"/>
      <c r="CI200" s="92"/>
      <c r="CJ200" s="92"/>
      <c r="CK200" s="92"/>
      <c r="CL200" s="92"/>
      <c r="CM200" s="92"/>
      <c r="CN200" s="92"/>
      <c r="CO200" s="92"/>
      <c r="CP200" s="92"/>
      <c r="CQ200" s="92"/>
      <c r="CR200" s="92"/>
      <c r="CS200" s="92"/>
      <c r="CT200" s="92"/>
      <c r="CU200" s="92"/>
      <c r="CV200" s="92"/>
      <c r="CW200" s="92"/>
      <c r="CX200" s="85"/>
      <c r="CY200" s="85"/>
      <c r="CZ200" s="85"/>
      <c r="DA200" s="85"/>
      <c r="DB200" s="85"/>
      <c r="DC200" s="85"/>
      <c r="DD200" s="85"/>
      <c r="DE200" s="85"/>
      <c r="DF200" s="85"/>
      <c r="DG200" s="85"/>
      <c r="DH200" s="85"/>
      <c r="DI200" s="85"/>
      <c r="DJ200" s="85"/>
      <c r="DK200" s="85"/>
      <c r="DL200" s="85"/>
      <c r="DM200" s="85"/>
      <c r="DN200" s="85"/>
      <c r="DO200" s="85"/>
      <c r="DP200" s="85"/>
    </row>
    <row r="201">
      <c r="A201" s="91"/>
      <c r="B201" s="91"/>
      <c r="C201" s="91"/>
      <c r="D201" s="91"/>
      <c r="E201" s="78"/>
      <c r="F201" s="15"/>
      <c r="G201" s="15"/>
      <c r="H201" s="91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92"/>
      <c r="BO201" s="92"/>
      <c r="BP201" s="92"/>
      <c r="BQ201" s="92"/>
      <c r="BR201" s="92"/>
      <c r="BS201" s="92"/>
      <c r="BT201" s="92"/>
      <c r="BU201" s="92"/>
      <c r="BV201" s="92"/>
      <c r="BW201" s="92"/>
      <c r="BX201" s="92"/>
      <c r="BY201" s="92"/>
      <c r="BZ201" s="92"/>
      <c r="CA201" s="92"/>
      <c r="CB201" s="92"/>
      <c r="CC201" s="92"/>
      <c r="CD201" s="92"/>
      <c r="CE201" s="92"/>
      <c r="CF201" s="92"/>
      <c r="CG201" s="92"/>
      <c r="CH201" s="92"/>
      <c r="CI201" s="92"/>
      <c r="CJ201" s="92"/>
      <c r="CK201" s="92"/>
      <c r="CL201" s="92"/>
      <c r="CM201" s="92"/>
      <c r="CN201" s="92"/>
      <c r="CO201" s="92"/>
      <c r="CP201" s="92"/>
      <c r="CQ201" s="92"/>
      <c r="CR201" s="92"/>
      <c r="CS201" s="92"/>
      <c r="CT201" s="92"/>
      <c r="CU201" s="92"/>
      <c r="CV201" s="92"/>
      <c r="CW201" s="92"/>
      <c r="CX201" s="85"/>
      <c r="CY201" s="85"/>
      <c r="CZ201" s="85"/>
      <c r="DA201" s="85"/>
      <c r="DB201" s="85"/>
      <c r="DC201" s="85"/>
      <c r="DD201" s="85"/>
      <c r="DE201" s="85"/>
      <c r="DF201" s="85"/>
      <c r="DG201" s="85"/>
      <c r="DH201" s="85"/>
      <c r="DI201" s="85"/>
      <c r="DJ201" s="85"/>
      <c r="DK201" s="85"/>
      <c r="DL201" s="85"/>
      <c r="DM201" s="85"/>
      <c r="DN201" s="85"/>
      <c r="DO201" s="85"/>
      <c r="DP201" s="85"/>
    </row>
    <row r="202">
      <c r="A202" s="91"/>
      <c r="B202" s="91"/>
      <c r="C202" s="91"/>
      <c r="D202" s="91"/>
      <c r="E202" s="78"/>
      <c r="F202" s="15"/>
      <c r="G202" s="15"/>
      <c r="H202" s="91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92"/>
      <c r="BO202" s="92"/>
      <c r="BP202" s="92"/>
      <c r="BQ202" s="92"/>
      <c r="BR202" s="92"/>
      <c r="BS202" s="92"/>
      <c r="BT202" s="92"/>
      <c r="BU202" s="92"/>
      <c r="BV202" s="92"/>
      <c r="BW202" s="92"/>
      <c r="BX202" s="92"/>
      <c r="BY202" s="92"/>
      <c r="BZ202" s="92"/>
      <c r="CA202" s="92"/>
      <c r="CB202" s="92"/>
      <c r="CC202" s="92"/>
      <c r="CD202" s="92"/>
      <c r="CE202" s="92"/>
      <c r="CF202" s="92"/>
      <c r="CG202" s="92"/>
      <c r="CH202" s="92"/>
      <c r="CI202" s="92"/>
      <c r="CJ202" s="92"/>
      <c r="CK202" s="92"/>
      <c r="CL202" s="92"/>
      <c r="CM202" s="92"/>
      <c r="CN202" s="92"/>
      <c r="CO202" s="92"/>
      <c r="CP202" s="92"/>
      <c r="CQ202" s="92"/>
      <c r="CR202" s="92"/>
      <c r="CS202" s="92"/>
      <c r="CT202" s="92"/>
      <c r="CU202" s="92"/>
      <c r="CV202" s="92"/>
      <c r="CW202" s="92"/>
      <c r="CX202" s="85"/>
      <c r="CY202" s="85"/>
      <c r="CZ202" s="85"/>
      <c r="DA202" s="85"/>
      <c r="DB202" s="85"/>
      <c r="DC202" s="85"/>
      <c r="DD202" s="85"/>
      <c r="DE202" s="85"/>
      <c r="DF202" s="85"/>
      <c r="DG202" s="85"/>
      <c r="DH202" s="85"/>
      <c r="DI202" s="85"/>
      <c r="DJ202" s="85"/>
      <c r="DK202" s="85"/>
      <c r="DL202" s="85"/>
      <c r="DM202" s="85"/>
      <c r="DN202" s="85"/>
      <c r="DO202" s="85"/>
      <c r="DP202" s="85"/>
    </row>
    <row r="203">
      <c r="A203" s="91"/>
      <c r="B203" s="91"/>
      <c r="C203" s="91"/>
      <c r="D203" s="91"/>
      <c r="E203" s="78"/>
      <c r="F203" s="15"/>
      <c r="G203" s="15"/>
      <c r="H203" s="91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92"/>
      <c r="BO203" s="92"/>
      <c r="BP203" s="92"/>
      <c r="BQ203" s="92"/>
      <c r="BR203" s="92"/>
      <c r="BS203" s="92"/>
      <c r="BT203" s="92"/>
      <c r="BU203" s="92"/>
      <c r="BV203" s="92"/>
      <c r="BW203" s="92"/>
      <c r="BX203" s="92"/>
      <c r="BY203" s="92"/>
      <c r="BZ203" s="92"/>
      <c r="CA203" s="92"/>
      <c r="CB203" s="92"/>
      <c r="CC203" s="92"/>
      <c r="CD203" s="92"/>
      <c r="CE203" s="92"/>
      <c r="CF203" s="92"/>
      <c r="CG203" s="92"/>
      <c r="CH203" s="92"/>
      <c r="CI203" s="92"/>
      <c r="CJ203" s="92"/>
      <c r="CK203" s="92"/>
      <c r="CL203" s="92"/>
      <c r="CM203" s="92"/>
      <c r="CN203" s="92"/>
      <c r="CO203" s="92"/>
      <c r="CP203" s="92"/>
      <c r="CQ203" s="92"/>
      <c r="CR203" s="92"/>
      <c r="CS203" s="92"/>
      <c r="CT203" s="92"/>
      <c r="CU203" s="92"/>
      <c r="CV203" s="92"/>
      <c r="CW203" s="92"/>
      <c r="CX203" s="85"/>
      <c r="CY203" s="85"/>
      <c r="CZ203" s="85"/>
      <c r="DA203" s="85"/>
      <c r="DB203" s="85"/>
      <c r="DC203" s="85"/>
      <c r="DD203" s="85"/>
      <c r="DE203" s="85"/>
      <c r="DF203" s="85"/>
      <c r="DG203" s="85"/>
      <c r="DH203" s="85"/>
      <c r="DI203" s="85"/>
      <c r="DJ203" s="85"/>
      <c r="DK203" s="85"/>
      <c r="DL203" s="85"/>
      <c r="DM203" s="85"/>
      <c r="DN203" s="85"/>
      <c r="DO203" s="85"/>
      <c r="DP203" s="85"/>
    </row>
    <row r="204">
      <c r="A204" s="91"/>
      <c r="B204" s="91"/>
      <c r="C204" s="91"/>
      <c r="D204" s="91"/>
      <c r="E204" s="78"/>
      <c r="F204" s="15"/>
      <c r="G204" s="15"/>
      <c r="H204" s="91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92"/>
      <c r="BO204" s="92"/>
      <c r="BP204" s="92"/>
      <c r="BQ204" s="92"/>
      <c r="BR204" s="92"/>
      <c r="BS204" s="92"/>
      <c r="BT204" s="92"/>
      <c r="BU204" s="92"/>
      <c r="BV204" s="92"/>
      <c r="BW204" s="92"/>
      <c r="BX204" s="92"/>
      <c r="BY204" s="92"/>
      <c r="BZ204" s="92"/>
      <c r="CA204" s="92"/>
      <c r="CB204" s="92"/>
      <c r="CC204" s="92"/>
      <c r="CD204" s="92"/>
      <c r="CE204" s="92"/>
      <c r="CF204" s="92"/>
      <c r="CG204" s="92"/>
      <c r="CH204" s="92"/>
      <c r="CI204" s="92"/>
      <c r="CJ204" s="92"/>
      <c r="CK204" s="92"/>
      <c r="CL204" s="92"/>
      <c r="CM204" s="92"/>
      <c r="CN204" s="92"/>
      <c r="CO204" s="92"/>
      <c r="CP204" s="92"/>
      <c r="CQ204" s="92"/>
      <c r="CR204" s="92"/>
      <c r="CS204" s="92"/>
      <c r="CT204" s="92"/>
      <c r="CU204" s="92"/>
      <c r="CV204" s="92"/>
      <c r="CW204" s="92"/>
      <c r="CX204" s="85"/>
      <c r="CY204" s="85"/>
      <c r="CZ204" s="85"/>
      <c r="DA204" s="85"/>
      <c r="DB204" s="85"/>
      <c r="DC204" s="85"/>
      <c r="DD204" s="85"/>
      <c r="DE204" s="85"/>
      <c r="DF204" s="85"/>
      <c r="DG204" s="85"/>
      <c r="DH204" s="85"/>
      <c r="DI204" s="85"/>
      <c r="DJ204" s="85"/>
      <c r="DK204" s="85"/>
      <c r="DL204" s="85"/>
      <c r="DM204" s="85"/>
      <c r="DN204" s="85"/>
      <c r="DO204" s="85"/>
      <c r="DP204" s="85"/>
    </row>
    <row r="205">
      <c r="A205" s="91"/>
      <c r="B205" s="91"/>
      <c r="C205" s="91"/>
      <c r="D205" s="91"/>
      <c r="E205" s="78"/>
      <c r="F205" s="15"/>
      <c r="G205" s="15"/>
      <c r="H205" s="91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92"/>
      <c r="BO205" s="92"/>
      <c r="BP205" s="92"/>
      <c r="BQ205" s="92"/>
      <c r="BR205" s="92"/>
      <c r="BS205" s="92"/>
      <c r="BT205" s="92"/>
      <c r="BU205" s="92"/>
      <c r="BV205" s="92"/>
      <c r="BW205" s="92"/>
      <c r="BX205" s="92"/>
      <c r="BY205" s="92"/>
      <c r="BZ205" s="92"/>
      <c r="CA205" s="92"/>
      <c r="CB205" s="92"/>
      <c r="CC205" s="92"/>
      <c r="CD205" s="92"/>
      <c r="CE205" s="92"/>
      <c r="CF205" s="92"/>
      <c r="CG205" s="92"/>
      <c r="CH205" s="92"/>
      <c r="CI205" s="92"/>
      <c r="CJ205" s="92"/>
      <c r="CK205" s="92"/>
      <c r="CL205" s="92"/>
      <c r="CM205" s="92"/>
      <c r="CN205" s="92"/>
      <c r="CO205" s="92"/>
      <c r="CP205" s="92"/>
      <c r="CQ205" s="92"/>
      <c r="CR205" s="92"/>
      <c r="CS205" s="92"/>
      <c r="CT205" s="92"/>
      <c r="CU205" s="92"/>
      <c r="CV205" s="92"/>
      <c r="CW205" s="92"/>
      <c r="CX205" s="85"/>
      <c r="CY205" s="85"/>
      <c r="CZ205" s="85"/>
      <c r="DA205" s="85"/>
      <c r="DB205" s="85"/>
      <c r="DC205" s="85"/>
      <c r="DD205" s="85"/>
      <c r="DE205" s="85"/>
      <c r="DF205" s="85"/>
      <c r="DG205" s="85"/>
      <c r="DH205" s="85"/>
      <c r="DI205" s="85"/>
      <c r="DJ205" s="85"/>
      <c r="DK205" s="85"/>
      <c r="DL205" s="85"/>
      <c r="DM205" s="85"/>
      <c r="DN205" s="85"/>
      <c r="DO205" s="85"/>
      <c r="DP205" s="85"/>
    </row>
    <row r="206">
      <c r="A206" s="91"/>
      <c r="B206" s="91"/>
      <c r="C206" s="91"/>
      <c r="D206" s="91"/>
      <c r="E206" s="78"/>
      <c r="F206" s="15"/>
      <c r="G206" s="15"/>
      <c r="H206" s="91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92"/>
      <c r="BO206" s="92"/>
      <c r="BP206" s="92"/>
      <c r="BQ206" s="92"/>
      <c r="BR206" s="92"/>
      <c r="BS206" s="92"/>
      <c r="BT206" s="92"/>
      <c r="BU206" s="92"/>
      <c r="BV206" s="92"/>
      <c r="BW206" s="92"/>
      <c r="BX206" s="92"/>
      <c r="BY206" s="92"/>
      <c r="BZ206" s="92"/>
      <c r="CA206" s="92"/>
      <c r="CB206" s="92"/>
      <c r="CC206" s="92"/>
      <c r="CD206" s="92"/>
      <c r="CE206" s="92"/>
      <c r="CF206" s="92"/>
      <c r="CG206" s="92"/>
      <c r="CH206" s="92"/>
      <c r="CI206" s="92"/>
      <c r="CJ206" s="92"/>
      <c r="CK206" s="92"/>
      <c r="CL206" s="92"/>
      <c r="CM206" s="92"/>
      <c r="CN206" s="92"/>
      <c r="CO206" s="92"/>
      <c r="CP206" s="92"/>
      <c r="CQ206" s="92"/>
      <c r="CR206" s="92"/>
      <c r="CS206" s="92"/>
      <c r="CT206" s="92"/>
      <c r="CU206" s="92"/>
      <c r="CV206" s="92"/>
      <c r="CW206" s="92"/>
      <c r="CX206" s="85"/>
      <c r="CY206" s="85"/>
      <c r="CZ206" s="85"/>
      <c r="DA206" s="85"/>
      <c r="DB206" s="85"/>
      <c r="DC206" s="85"/>
      <c r="DD206" s="85"/>
      <c r="DE206" s="85"/>
      <c r="DF206" s="85"/>
      <c r="DG206" s="85"/>
      <c r="DH206" s="85"/>
      <c r="DI206" s="85"/>
      <c r="DJ206" s="85"/>
      <c r="DK206" s="85"/>
      <c r="DL206" s="85"/>
      <c r="DM206" s="85"/>
      <c r="DN206" s="85"/>
      <c r="DO206" s="85"/>
      <c r="DP206" s="85"/>
    </row>
    <row r="207">
      <c r="A207" s="91"/>
      <c r="B207" s="91"/>
      <c r="C207" s="91"/>
      <c r="D207" s="91"/>
      <c r="E207" s="78"/>
      <c r="F207" s="15"/>
      <c r="G207" s="15"/>
      <c r="H207" s="91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92"/>
      <c r="BO207" s="92"/>
      <c r="BP207" s="92"/>
      <c r="BQ207" s="92"/>
      <c r="BR207" s="92"/>
      <c r="BS207" s="92"/>
      <c r="BT207" s="92"/>
      <c r="BU207" s="92"/>
      <c r="BV207" s="92"/>
      <c r="BW207" s="92"/>
      <c r="BX207" s="92"/>
      <c r="BY207" s="92"/>
      <c r="BZ207" s="92"/>
      <c r="CA207" s="92"/>
      <c r="CB207" s="92"/>
      <c r="CC207" s="92"/>
      <c r="CD207" s="92"/>
      <c r="CE207" s="92"/>
      <c r="CF207" s="92"/>
      <c r="CG207" s="92"/>
      <c r="CH207" s="92"/>
      <c r="CI207" s="92"/>
      <c r="CJ207" s="92"/>
      <c r="CK207" s="92"/>
      <c r="CL207" s="92"/>
      <c r="CM207" s="92"/>
      <c r="CN207" s="92"/>
      <c r="CO207" s="92"/>
      <c r="CP207" s="92"/>
      <c r="CQ207" s="92"/>
      <c r="CR207" s="92"/>
      <c r="CS207" s="92"/>
      <c r="CT207" s="92"/>
      <c r="CU207" s="92"/>
      <c r="CV207" s="92"/>
      <c r="CW207" s="92"/>
      <c r="CX207" s="85"/>
      <c r="CY207" s="85"/>
      <c r="CZ207" s="85"/>
      <c r="DA207" s="85"/>
      <c r="DB207" s="85"/>
      <c r="DC207" s="85"/>
      <c r="DD207" s="85"/>
      <c r="DE207" s="85"/>
      <c r="DF207" s="85"/>
      <c r="DG207" s="85"/>
      <c r="DH207" s="85"/>
      <c r="DI207" s="85"/>
      <c r="DJ207" s="85"/>
      <c r="DK207" s="85"/>
      <c r="DL207" s="85"/>
      <c r="DM207" s="85"/>
      <c r="DN207" s="85"/>
      <c r="DO207" s="85"/>
      <c r="DP207" s="85"/>
    </row>
    <row r="208">
      <c r="A208" s="91"/>
      <c r="B208" s="91"/>
      <c r="C208" s="91"/>
      <c r="D208" s="91"/>
      <c r="E208" s="78"/>
      <c r="F208" s="15"/>
      <c r="G208" s="15"/>
      <c r="H208" s="91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92"/>
      <c r="BO208" s="92"/>
      <c r="BP208" s="92"/>
      <c r="BQ208" s="92"/>
      <c r="BR208" s="92"/>
      <c r="BS208" s="92"/>
      <c r="BT208" s="92"/>
      <c r="BU208" s="92"/>
      <c r="BV208" s="92"/>
      <c r="BW208" s="92"/>
      <c r="BX208" s="92"/>
      <c r="BY208" s="92"/>
      <c r="BZ208" s="92"/>
      <c r="CA208" s="92"/>
      <c r="CB208" s="92"/>
      <c r="CC208" s="92"/>
      <c r="CD208" s="92"/>
      <c r="CE208" s="92"/>
      <c r="CF208" s="92"/>
      <c r="CG208" s="92"/>
      <c r="CH208" s="92"/>
      <c r="CI208" s="92"/>
      <c r="CJ208" s="92"/>
      <c r="CK208" s="92"/>
      <c r="CL208" s="92"/>
      <c r="CM208" s="92"/>
      <c r="CN208" s="92"/>
      <c r="CO208" s="92"/>
      <c r="CP208" s="92"/>
      <c r="CQ208" s="92"/>
      <c r="CR208" s="92"/>
      <c r="CS208" s="92"/>
      <c r="CT208" s="92"/>
      <c r="CU208" s="92"/>
      <c r="CV208" s="92"/>
      <c r="CW208" s="92"/>
      <c r="CX208" s="85"/>
      <c r="CY208" s="85"/>
      <c r="CZ208" s="85"/>
      <c r="DA208" s="85"/>
      <c r="DB208" s="85"/>
      <c r="DC208" s="85"/>
      <c r="DD208" s="85"/>
      <c r="DE208" s="85"/>
      <c r="DF208" s="85"/>
      <c r="DG208" s="85"/>
      <c r="DH208" s="85"/>
      <c r="DI208" s="85"/>
      <c r="DJ208" s="85"/>
      <c r="DK208" s="85"/>
      <c r="DL208" s="85"/>
      <c r="DM208" s="85"/>
      <c r="DN208" s="85"/>
      <c r="DO208" s="85"/>
      <c r="DP208" s="85"/>
    </row>
    <row r="209">
      <c r="A209" s="91"/>
      <c r="B209" s="91"/>
      <c r="C209" s="91"/>
      <c r="D209" s="91"/>
      <c r="E209" s="78"/>
      <c r="F209" s="15"/>
      <c r="G209" s="15"/>
      <c r="H209" s="91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92"/>
      <c r="BO209" s="92"/>
      <c r="BP209" s="92"/>
      <c r="BQ209" s="92"/>
      <c r="BR209" s="92"/>
      <c r="BS209" s="92"/>
      <c r="BT209" s="92"/>
      <c r="BU209" s="92"/>
      <c r="BV209" s="92"/>
      <c r="BW209" s="92"/>
      <c r="BX209" s="92"/>
      <c r="BY209" s="92"/>
      <c r="BZ209" s="92"/>
      <c r="CA209" s="92"/>
      <c r="CB209" s="92"/>
      <c r="CC209" s="92"/>
      <c r="CD209" s="92"/>
      <c r="CE209" s="92"/>
      <c r="CF209" s="92"/>
      <c r="CG209" s="92"/>
      <c r="CH209" s="92"/>
      <c r="CI209" s="92"/>
      <c r="CJ209" s="92"/>
      <c r="CK209" s="92"/>
      <c r="CL209" s="92"/>
      <c r="CM209" s="92"/>
      <c r="CN209" s="92"/>
      <c r="CO209" s="92"/>
      <c r="CP209" s="92"/>
      <c r="CQ209" s="92"/>
      <c r="CR209" s="92"/>
      <c r="CS209" s="92"/>
      <c r="CT209" s="92"/>
      <c r="CU209" s="92"/>
      <c r="CV209" s="92"/>
      <c r="CW209" s="92"/>
      <c r="CX209" s="85"/>
      <c r="CY209" s="85"/>
      <c r="CZ209" s="85"/>
      <c r="DA209" s="85"/>
      <c r="DB209" s="85"/>
      <c r="DC209" s="85"/>
      <c r="DD209" s="85"/>
      <c r="DE209" s="85"/>
      <c r="DF209" s="85"/>
      <c r="DG209" s="85"/>
      <c r="DH209" s="85"/>
      <c r="DI209" s="85"/>
      <c r="DJ209" s="85"/>
      <c r="DK209" s="85"/>
      <c r="DL209" s="85"/>
      <c r="DM209" s="85"/>
      <c r="DN209" s="85"/>
      <c r="DO209" s="85"/>
      <c r="DP209" s="85"/>
    </row>
    <row r="210">
      <c r="A210" s="91"/>
      <c r="B210" s="91"/>
      <c r="C210" s="91"/>
      <c r="D210" s="91"/>
      <c r="E210" s="78"/>
      <c r="F210" s="15"/>
      <c r="G210" s="15"/>
      <c r="H210" s="91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92"/>
      <c r="BO210" s="92"/>
      <c r="BP210" s="92"/>
      <c r="BQ210" s="92"/>
      <c r="BR210" s="92"/>
      <c r="BS210" s="92"/>
      <c r="BT210" s="92"/>
      <c r="BU210" s="92"/>
      <c r="BV210" s="92"/>
      <c r="BW210" s="92"/>
      <c r="BX210" s="92"/>
      <c r="BY210" s="92"/>
      <c r="BZ210" s="92"/>
      <c r="CA210" s="92"/>
      <c r="CB210" s="92"/>
      <c r="CC210" s="92"/>
      <c r="CD210" s="92"/>
      <c r="CE210" s="92"/>
      <c r="CF210" s="92"/>
      <c r="CG210" s="92"/>
      <c r="CH210" s="92"/>
      <c r="CI210" s="92"/>
      <c r="CJ210" s="92"/>
      <c r="CK210" s="92"/>
      <c r="CL210" s="92"/>
      <c r="CM210" s="92"/>
      <c r="CN210" s="92"/>
      <c r="CO210" s="92"/>
      <c r="CP210" s="92"/>
      <c r="CQ210" s="92"/>
      <c r="CR210" s="92"/>
      <c r="CS210" s="92"/>
      <c r="CT210" s="92"/>
      <c r="CU210" s="92"/>
      <c r="CV210" s="92"/>
      <c r="CW210" s="92"/>
      <c r="CX210" s="85"/>
      <c r="CY210" s="85"/>
      <c r="CZ210" s="85"/>
      <c r="DA210" s="85"/>
      <c r="DB210" s="85"/>
      <c r="DC210" s="85"/>
      <c r="DD210" s="85"/>
      <c r="DE210" s="85"/>
      <c r="DF210" s="85"/>
      <c r="DG210" s="85"/>
      <c r="DH210" s="85"/>
      <c r="DI210" s="85"/>
      <c r="DJ210" s="85"/>
      <c r="DK210" s="85"/>
      <c r="DL210" s="85"/>
      <c r="DM210" s="85"/>
      <c r="DN210" s="85"/>
      <c r="DO210" s="85"/>
      <c r="DP210" s="85"/>
    </row>
    <row r="211">
      <c r="A211" s="91"/>
      <c r="B211" s="91"/>
      <c r="C211" s="91"/>
      <c r="D211" s="91"/>
      <c r="E211" s="78"/>
      <c r="F211" s="15"/>
      <c r="G211" s="15"/>
      <c r="H211" s="91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92"/>
      <c r="BO211" s="92"/>
      <c r="BP211" s="92"/>
      <c r="BQ211" s="92"/>
      <c r="BR211" s="92"/>
      <c r="BS211" s="92"/>
      <c r="BT211" s="92"/>
      <c r="BU211" s="92"/>
      <c r="BV211" s="92"/>
      <c r="BW211" s="92"/>
      <c r="BX211" s="92"/>
      <c r="BY211" s="92"/>
      <c r="BZ211" s="92"/>
      <c r="CA211" s="92"/>
      <c r="CB211" s="92"/>
      <c r="CC211" s="92"/>
      <c r="CD211" s="92"/>
      <c r="CE211" s="92"/>
      <c r="CF211" s="92"/>
      <c r="CG211" s="92"/>
      <c r="CH211" s="92"/>
      <c r="CI211" s="92"/>
      <c r="CJ211" s="92"/>
      <c r="CK211" s="92"/>
      <c r="CL211" s="92"/>
      <c r="CM211" s="92"/>
      <c r="CN211" s="92"/>
      <c r="CO211" s="92"/>
      <c r="CP211" s="92"/>
      <c r="CQ211" s="92"/>
      <c r="CR211" s="92"/>
      <c r="CS211" s="92"/>
      <c r="CT211" s="92"/>
      <c r="CU211" s="92"/>
      <c r="CV211" s="92"/>
      <c r="CW211" s="92"/>
      <c r="CX211" s="85"/>
      <c r="CY211" s="85"/>
      <c r="CZ211" s="85"/>
      <c r="DA211" s="85"/>
      <c r="DB211" s="85"/>
      <c r="DC211" s="85"/>
      <c r="DD211" s="85"/>
      <c r="DE211" s="85"/>
      <c r="DF211" s="85"/>
      <c r="DG211" s="85"/>
      <c r="DH211" s="85"/>
      <c r="DI211" s="85"/>
      <c r="DJ211" s="85"/>
      <c r="DK211" s="85"/>
      <c r="DL211" s="85"/>
      <c r="DM211" s="85"/>
      <c r="DN211" s="85"/>
      <c r="DO211" s="85"/>
      <c r="DP211" s="85"/>
    </row>
    <row r="212">
      <c r="A212" s="91"/>
      <c r="B212" s="91"/>
      <c r="C212" s="91"/>
      <c r="D212" s="91"/>
      <c r="E212" s="78"/>
      <c r="F212" s="15"/>
      <c r="G212" s="15"/>
      <c r="H212" s="91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92"/>
      <c r="BO212" s="92"/>
      <c r="BP212" s="92"/>
      <c r="BQ212" s="92"/>
      <c r="BR212" s="92"/>
      <c r="BS212" s="92"/>
      <c r="BT212" s="92"/>
      <c r="BU212" s="92"/>
      <c r="BV212" s="92"/>
      <c r="BW212" s="92"/>
      <c r="BX212" s="92"/>
      <c r="BY212" s="92"/>
      <c r="BZ212" s="92"/>
      <c r="CA212" s="92"/>
      <c r="CB212" s="92"/>
      <c r="CC212" s="92"/>
      <c r="CD212" s="92"/>
      <c r="CE212" s="92"/>
      <c r="CF212" s="92"/>
      <c r="CG212" s="92"/>
      <c r="CH212" s="92"/>
      <c r="CI212" s="92"/>
      <c r="CJ212" s="92"/>
      <c r="CK212" s="92"/>
      <c r="CL212" s="92"/>
      <c r="CM212" s="92"/>
      <c r="CN212" s="92"/>
      <c r="CO212" s="92"/>
      <c r="CP212" s="92"/>
      <c r="CQ212" s="92"/>
      <c r="CR212" s="92"/>
      <c r="CS212" s="92"/>
      <c r="CT212" s="92"/>
      <c r="CU212" s="92"/>
      <c r="CV212" s="92"/>
      <c r="CW212" s="92"/>
      <c r="CX212" s="85"/>
      <c r="CY212" s="85"/>
      <c r="CZ212" s="85"/>
      <c r="DA212" s="85"/>
      <c r="DB212" s="85"/>
      <c r="DC212" s="85"/>
      <c r="DD212" s="85"/>
      <c r="DE212" s="85"/>
      <c r="DF212" s="85"/>
      <c r="DG212" s="85"/>
      <c r="DH212" s="85"/>
      <c r="DI212" s="85"/>
      <c r="DJ212" s="85"/>
      <c r="DK212" s="85"/>
      <c r="DL212" s="85"/>
      <c r="DM212" s="85"/>
      <c r="DN212" s="85"/>
      <c r="DO212" s="85"/>
      <c r="DP212" s="85"/>
    </row>
    <row r="213">
      <c r="A213" s="91"/>
      <c r="B213" s="91"/>
      <c r="C213" s="91"/>
      <c r="D213" s="91"/>
      <c r="E213" s="78"/>
      <c r="F213" s="15"/>
      <c r="G213" s="15"/>
      <c r="H213" s="91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92"/>
      <c r="BO213" s="92"/>
      <c r="BP213" s="92"/>
      <c r="BQ213" s="92"/>
      <c r="BR213" s="92"/>
      <c r="BS213" s="92"/>
      <c r="BT213" s="92"/>
      <c r="BU213" s="92"/>
      <c r="BV213" s="92"/>
      <c r="BW213" s="92"/>
      <c r="BX213" s="92"/>
      <c r="BY213" s="92"/>
      <c r="BZ213" s="92"/>
      <c r="CA213" s="92"/>
      <c r="CB213" s="92"/>
      <c r="CC213" s="92"/>
      <c r="CD213" s="92"/>
      <c r="CE213" s="92"/>
      <c r="CF213" s="92"/>
      <c r="CG213" s="92"/>
      <c r="CH213" s="92"/>
      <c r="CI213" s="92"/>
      <c r="CJ213" s="92"/>
      <c r="CK213" s="92"/>
      <c r="CL213" s="92"/>
      <c r="CM213" s="92"/>
      <c r="CN213" s="92"/>
      <c r="CO213" s="92"/>
      <c r="CP213" s="92"/>
      <c r="CQ213" s="92"/>
      <c r="CR213" s="92"/>
      <c r="CS213" s="92"/>
      <c r="CT213" s="92"/>
      <c r="CU213" s="92"/>
      <c r="CV213" s="92"/>
      <c r="CW213" s="92"/>
      <c r="CX213" s="85"/>
      <c r="CY213" s="85"/>
      <c r="CZ213" s="85"/>
      <c r="DA213" s="85"/>
      <c r="DB213" s="85"/>
      <c r="DC213" s="85"/>
      <c r="DD213" s="85"/>
      <c r="DE213" s="85"/>
      <c r="DF213" s="85"/>
      <c r="DG213" s="85"/>
      <c r="DH213" s="85"/>
      <c r="DI213" s="85"/>
      <c r="DJ213" s="85"/>
      <c r="DK213" s="85"/>
      <c r="DL213" s="85"/>
      <c r="DM213" s="85"/>
      <c r="DN213" s="85"/>
      <c r="DO213" s="85"/>
      <c r="DP213" s="85"/>
    </row>
    <row r="214">
      <c r="A214" s="91"/>
      <c r="B214" s="91"/>
      <c r="C214" s="91"/>
      <c r="D214" s="91"/>
      <c r="E214" s="78"/>
      <c r="F214" s="15"/>
      <c r="G214" s="15"/>
      <c r="H214" s="91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92"/>
      <c r="BO214" s="92"/>
      <c r="BP214" s="92"/>
      <c r="BQ214" s="92"/>
      <c r="BR214" s="92"/>
      <c r="BS214" s="92"/>
      <c r="BT214" s="92"/>
      <c r="BU214" s="92"/>
      <c r="BV214" s="92"/>
      <c r="BW214" s="92"/>
      <c r="BX214" s="92"/>
      <c r="BY214" s="92"/>
      <c r="BZ214" s="92"/>
      <c r="CA214" s="92"/>
      <c r="CB214" s="92"/>
      <c r="CC214" s="92"/>
      <c r="CD214" s="92"/>
      <c r="CE214" s="92"/>
      <c r="CF214" s="92"/>
      <c r="CG214" s="92"/>
      <c r="CH214" s="92"/>
      <c r="CI214" s="92"/>
      <c r="CJ214" s="92"/>
      <c r="CK214" s="92"/>
      <c r="CL214" s="92"/>
      <c r="CM214" s="92"/>
      <c r="CN214" s="92"/>
      <c r="CO214" s="92"/>
      <c r="CP214" s="92"/>
      <c r="CQ214" s="92"/>
      <c r="CR214" s="92"/>
      <c r="CS214" s="92"/>
      <c r="CT214" s="92"/>
      <c r="CU214" s="92"/>
      <c r="CV214" s="92"/>
      <c r="CW214" s="92"/>
      <c r="CX214" s="85"/>
      <c r="CY214" s="85"/>
      <c r="CZ214" s="85"/>
      <c r="DA214" s="85"/>
      <c r="DB214" s="85"/>
      <c r="DC214" s="85"/>
      <c r="DD214" s="85"/>
      <c r="DE214" s="85"/>
      <c r="DF214" s="85"/>
      <c r="DG214" s="85"/>
      <c r="DH214" s="85"/>
      <c r="DI214" s="85"/>
      <c r="DJ214" s="85"/>
      <c r="DK214" s="85"/>
      <c r="DL214" s="85"/>
      <c r="DM214" s="85"/>
      <c r="DN214" s="85"/>
      <c r="DO214" s="85"/>
      <c r="DP214" s="85"/>
    </row>
    <row r="215">
      <c r="A215" s="91"/>
      <c r="B215" s="91"/>
      <c r="C215" s="91"/>
      <c r="D215" s="91"/>
      <c r="E215" s="78"/>
      <c r="F215" s="15"/>
      <c r="G215" s="15"/>
      <c r="H215" s="91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92"/>
      <c r="BO215" s="92"/>
      <c r="BP215" s="92"/>
      <c r="BQ215" s="92"/>
      <c r="BR215" s="92"/>
      <c r="BS215" s="92"/>
      <c r="BT215" s="92"/>
      <c r="BU215" s="92"/>
      <c r="BV215" s="92"/>
      <c r="BW215" s="92"/>
      <c r="BX215" s="92"/>
      <c r="BY215" s="92"/>
      <c r="BZ215" s="92"/>
      <c r="CA215" s="92"/>
      <c r="CB215" s="92"/>
      <c r="CC215" s="92"/>
      <c r="CD215" s="92"/>
      <c r="CE215" s="92"/>
      <c r="CF215" s="92"/>
      <c r="CG215" s="92"/>
      <c r="CH215" s="92"/>
      <c r="CI215" s="92"/>
      <c r="CJ215" s="92"/>
      <c r="CK215" s="92"/>
      <c r="CL215" s="92"/>
      <c r="CM215" s="92"/>
      <c r="CN215" s="92"/>
      <c r="CO215" s="92"/>
      <c r="CP215" s="92"/>
      <c r="CQ215" s="92"/>
      <c r="CR215" s="92"/>
      <c r="CS215" s="92"/>
      <c r="CT215" s="92"/>
      <c r="CU215" s="92"/>
      <c r="CV215" s="92"/>
      <c r="CW215" s="92"/>
      <c r="CX215" s="85"/>
      <c r="CY215" s="85"/>
      <c r="CZ215" s="85"/>
      <c r="DA215" s="85"/>
      <c r="DB215" s="85"/>
      <c r="DC215" s="85"/>
      <c r="DD215" s="85"/>
      <c r="DE215" s="85"/>
      <c r="DF215" s="85"/>
      <c r="DG215" s="85"/>
      <c r="DH215" s="85"/>
      <c r="DI215" s="85"/>
      <c r="DJ215" s="85"/>
      <c r="DK215" s="85"/>
      <c r="DL215" s="85"/>
      <c r="DM215" s="85"/>
      <c r="DN215" s="85"/>
      <c r="DO215" s="85"/>
      <c r="DP215" s="85"/>
    </row>
    <row r="216">
      <c r="A216" s="91"/>
      <c r="B216" s="91"/>
      <c r="C216" s="91"/>
      <c r="D216" s="91"/>
      <c r="E216" s="78"/>
      <c r="F216" s="15"/>
      <c r="G216" s="15"/>
      <c r="H216" s="91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92"/>
      <c r="BO216" s="92"/>
      <c r="BP216" s="92"/>
      <c r="BQ216" s="92"/>
      <c r="BR216" s="92"/>
      <c r="BS216" s="92"/>
      <c r="BT216" s="92"/>
      <c r="BU216" s="92"/>
      <c r="BV216" s="92"/>
      <c r="BW216" s="92"/>
      <c r="BX216" s="92"/>
      <c r="BY216" s="92"/>
      <c r="BZ216" s="92"/>
      <c r="CA216" s="92"/>
      <c r="CB216" s="92"/>
      <c r="CC216" s="92"/>
      <c r="CD216" s="92"/>
      <c r="CE216" s="92"/>
      <c r="CF216" s="92"/>
      <c r="CG216" s="92"/>
      <c r="CH216" s="92"/>
      <c r="CI216" s="92"/>
      <c r="CJ216" s="92"/>
      <c r="CK216" s="92"/>
      <c r="CL216" s="92"/>
      <c r="CM216" s="92"/>
      <c r="CN216" s="92"/>
      <c r="CO216" s="92"/>
      <c r="CP216" s="92"/>
      <c r="CQ216" s="92"/>
      <c r="CR216" s="92"/>
      <c r="CS216" s="92"/>
      <c r="CT216" s="92"/>
      <c r="CU216" s="92"/>
      <c r="CV216" s="92"/>
      <c r="CW216" s="92"/>
      <c r="CX216" s="85"/>
      <c r="CY216" s="85"/>
      <c r="CZ216" s="85"/>
      <c r="DA216" s="85"/>
      <c r="DB216" s="85"/>
      <c r="DC216" s="85"/>
      <c r="DD216" s="85"/>
      <c r="DE216" s="85"/>
      <c r="DF216" s="85"/>
      <c r="DG216" s="85"/>
      <c r="DH216" s="85"/>
      <c r="DI216" s="85"/>
      <c r="DJ216" s="85"/>
      <c r="DK216" s="85"/>
      <c r="DL216" s="85"/>
      <c r="DM216" s="85"/>
      <c r="DN216" s="85"/>
      <c r="DO216" s="85"/>
      <c r="DP216" s="85"/>
    </row>
    <row r="217">
      <c r="A217" s="91"/>
      <c r="B217" s="91"/>
      <c r="C217" s="91"/>
      <c r="D217" s="91"/>
      <c r="E217" s="78"/>
      <c r="F217" s="15"/>
      <c r="G217" s="15"/>
      <c r="H217" s="91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92"/>
      <c r="BO217" s="92"/>
      <c r="BP217" s="92"/>
      <c r="BQ217" s="92"/>
      <c r="BR217" s="92"/>
      <c r="BS217" s="92"/>
      <c r="BT217" s="92"/>
      <c r="BU217" s="92"/>
      <c r="BV217" s="92"/>
      <c r="BW217" s="92"/>
      <c r="BX217" s="92"/>
      <c r="BY217" s="92"/>
      <c r="BZ217" s="92"/>
      <c r="CA217" s="92"/>
      <c r="CB217" s="92"/>
      <c r="CC217" s="92"/>
      <c r="CD217" s="92"/>
      <c r="CE217" s="92"/>
      <c r="CF217" s="92"/>
      <c r="CG217" s="92"/>
      <c r="CH217" s="92"/>
      <c r="CI217" s="92"/>
      <c r="CJ217" s="92"/>
      <c r="CK217" s="92"/>
      <c r="CL217" s="92"/>
      <c r="CM217" s="92"/>
      <c r="CN217" s="92"/>
      <c r="CO217" s="92"/>
      <c r="CP217" s="92"/>
      <c r="CQ217" s="92"/>
      <c r="CR217" s="92"/>
      <c r="CS217" s="92"/>
      <c r="CT217" s="92"/>
      <c r="CU217" s="92"/>
      <c r="CV217" s="92"/>
      <c r="CW217" s="92"/>
      <c r="CX217" s="85"/>
      <c r="CY217" s="85"/>
      <c r="CZ217" s="85"/>
      <c r="DA217" s="85"/>
      <c r="DB217" s="85"/>
      <c r="DC217" s="85"/>
      <c r="DD217" s="85"/>
      <c r="DE217" s="85"/>
      <c r="DF217" s="85"/>
      <c r="DG217" s="85"/>
      <c r="DH217" s="85"/>
      <c r="DI217" s="85"/>
      <c r="DJ217" s="85"/>
      <c r="DK217" s="85"/>
      <c r="DL217" s="85"/>
      <c r="DM217" s="85"/>
      <c r="DN217" s="85"/>
      <c r="DO217" s="85"/>
      <c r="DP217" s="85"/>
    </row>
    <row r="218">
      <c r="A218" s="91"/>
      <c r="B218" s="91"/>
      <c r="C218" s="91"/>
      <c r="D218" s="91"/>
      <c r="E218" s="78"/>
      <c r="F218" s="15"/>
      <c r="G218" s="15"/>
      <c r="H218" s="91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92"/>
      <c r="BO218" s="92"/>
      <c r="BP218" s="92"/>
      <c r="BQ218" s="92"/>
      <c r="BR218" s="92"/>
      <c r="BS218" s="92"/>
      <c r="BT218" s="92"/>
      <c r="BU218" s="92"/>
      <c r="BV218" s="92"/>
      <c r="BW218" s="92"/>
      <c r="BX218" s="92"/>
      <c r="BY218" s="92"/>
      <c r="BZ218" s="92"/>
      <c r="CA218" s="92"/>
      <c r="CB218" s="92"/>
      <c r="CC218" s="92"/>
      <c r="CD218" s="92"/>
      <c r="CE218" s="92"/>
      <c r="CF218" s="92"/>
      <c r="CG218" s="92"/>
      <c r="CH218" s="92"/>
      <c r="CI218" s="92"/>
      <c r="CJ218" s="92"/>
      <c r="CK218" s="92"/>
      <c r="CL218" s="92"/>
      <c r="CM218" s="92"/>
      <c r="CN218" s="92"/>
      <c r="CO218" s="92"/>
      <c r="CP218" s="92"/>
      <c r="CQ218" s="92"/>
      <c r="CR218" s="92"/>
      <c r="CS218" s="92"/>
      <c r="CT218" s="92"/>
      <c r="CU218" s="92"/>
      <c r="CV218" s="92"/>
      <c r="CW218" s="92"/>
      <c r="CX218" s="85"/>
      <c r="CY218" s="85"/>
      <c r="CZ218" s="85"/>
      <c r="DA218" s="85"/>
      <c r="DB218" s="85"/>
      <c r="DC218" s="85"/>
      <c r="DD218" s="85"/>
      <c r="DE218" s="85"/>
      <c r="DF218" s="85"/>
      <c r="DG218" s="85"/>
      <c r="DH218" s="85"/>
      <c r="DI218" s="85"/>
      <c r="DJ218" s="85"/>
      <c r="DK218" s="85"/>
      <c r="DL218" s="85"/>
      <c r="DM218" s="85"/>
      <c r="DN218" s="85"/>
      <c r="DO218" s="85"/>
      <c r="DP218" s="85"/>
    </row>
    <row r="219">
      <c r="A219" s="91"/>
      <c r="B219" s="91"/>
      <c r="C219" s="91"/>
      <c r="D219" s="91"/>
      <c r="E219" s="78"/>
      <c r="F219" s="15"/>
      <c r="G219" s="15"/>
      <c r="H219" s="91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92"/>
      <c r="BO219" s="92"/>
      <c r="BP219" s="92"/>
      <c r="BQ219" s="92"/>
      <c r="BR219" s="92"/>
      <c r="BS219" s="92"/>
      <c r="BT219" s="92"/>
      <c r="BU219" s="92"/>
      <c r="BV219" s="92"/>
      <c r="BW219" s="92"/>
      <c r="BX219" s="92"/>
      <c r="BY219" s="92"/>
      <c r="BZ219" s="92"/>
      <c r="CA219" s="92"/>
      <c r="CB219" s="92"/>
      <c r="CC219" s="92"/>
      <c r="CD219" s="92"/>
      <c r="CE219" s="92"/>
      <c r="CF219" s="92"/>
      <c r="CG219" s="92"/>
      <c r="CH219" s="92"/>
      <c r="CI219" s="92"/>
      <c r="CJ219" s="92"/>
      <c r="CK219" s="92"/>
      <c r="CL219" s="92"/>
      <c r="CM219" s="92"/>
      <c r="CN219" s="92"/>
      <c r="CO219" s="92"/>
      <c r="CP219" s="92"/>
      <c r="CQ219" s="92"/>
      <c r="CR219" s="92"/>
      <c r="CS219" s="92"/>
      <c r="CT219" s="92"/>
      <c r="CU219" s="92"/>
      <c r="CV219" s="92"/>
      <c r="CW219" s="92"/>
      <c r="CX219" s="85"/>
      <c r="CY219" s="85"/>
      <c r="CZ219" s="85"/>
      <c r="DA219" s="85"/>
      <c r="DB219" s="85"/>
      <c r="DC219" s="85"/>
      <c r="DD219" s="85"/>
      <c r="DE219" s="85"/>
      <c r="DF219" s="85"/>
      <c r="DG219" s="85"/>
      <c r="DH219" s="85"/>
      <c r="DI219" s="85"/>
      <c r="DJ219" s="85"/>
      <c r="DK219" s="85"/>
      <c r="DL219" s="85"/>
      <c r="DM219" s="85"/>
      <c r="DN219" s="85"/>
      <c r="DO219" s="85"/>
      <c r="DP219" s="85"/>
    </row>
    <row r="220">
      <c r="A220" s="91"/>
      <c r="B220" s="91"/>
      <c r="C220" s="91"/>
      <c r="D220" s="91"/>
      <c r="E220" s="78"/>
      <c r="F220" s="15"/>
      <c r="G220" s="15"/>
      <c r="H220" s="91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92"/>
      <c r="BO220" s="92"/>
      <c r="BP220" s="92"/>
      <c r="BQ220" s="92"/>
      <c r="BR220" s="92"/>
      <c r="BS220" s="92"/>
      <c r="BT220" s="92"/>
      <c r="BU220" s="92"/>
      <c r="BV220" s="92"/>
      <c r="BW220" s="92"/>
      <c r="BX220" s="92"/>
      <c r="BY220" s="92"/>
      <c r="BZ220" s="92"/>
      <c r="CA220" s="92"/>
      <c r="CB220" s="92"/>
      <c r="CC220" s="92"/>
      <c r="CD220" s="92"/>
      <c r="CE220" s="92"/>
      <c r="CF220" s="92"/>
      <c r="CG220" s="92"/>
      <c r="CH220" s="92"/>
      <c r="CI220" s="92"/>
      <c r="CJ220" s="92"/>
      <c r="CK220" s="92"/>
      <c r="CL220" s="92"/>
      <c r="CM220" s="92"/>
      <c r="CN220" s="92"/>
      <c r="CO220" s="92"/>
      <c r="CP220" s="92"/>
      <c r="CQ220" s="92"/>
      <c r="CR220" s="92"/>
      <c r="CS220" s="92"/>
      <c r="CT220" s="92"/>
      <c r="CU220" s="92"/>
      <c r="CV220" s="92"/>
      <c r="CW220" s="92"/>
      <c r="CX220" s="85"/>
      <c r="CY220" s="85"/>
      <c r="CZ220" s="85"/>
      <c r="DA220" s="85"/>
      <c r="DB220" s="85"/>
      <c r="DC220" s="85"/>
      <c r="DD220" s="85"/>
      <c r="DE220" s="85"/>
      <c r="DF220" s="85"/>
      <c r="DG220" s="85"/>
      <c r="DH220" s="85"/>
      <c r="DI220" s="85"/>
      <c r="DJ220" s="85"/>
      <c r="DK220" s="85"/>
      <c r="DL220" s="85"/>
      <c r="DM220" s="85"/>
      <c r="DN220" s="85"/>
      <c r="DO220" s="85"/>
      <c r="DP220" s="85"/>
    </row>
    <row r="221">
      <c r="A221" s="91"/>
      <c r="B221" s="91"/>
      <c r="C221" s="91"/>
      <c r="D221" s="91"/>
      <c r="E221" s="78"/>
      <c r="F221" s="15"/>
      <c r="G221" s="15"/>
      <c r="H221" s="91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92"/>
      <c r="BO221" s="92"/>
      <c r="BP221" s="92"/>
      <c r="BQ221" s="92"/>
      <c r="BR221" s="92"/>
      <c r="BS221" s="92"/>
      <c r="BT221" s="92"/>
      <c r="BU221" s="92"/>
      <c r="BV221" s="92"/>
      <c r="BW221" s="92"/>
      <c r="BX221" s="92"/>
      <c r="BY221" s="92"/>
      <c r="BZ221" s="92"/>
      <c r="CA221" s="92"/>
      <c r="CB221" s="92"/>
      <c r="CC221" s="92"/>
      <c r="CD221" s="92"/>
      <c r="CE221" s="92"/>
      <c r="CF221" s="92"/>
      <c r="CG221" s="92"/>
      <c r="CH221" s="92"/>
      <c r="CI221" s="92"/>
      <c r="CJ221" s="92"/>
      <c r="CK221" s="92"/>
      <c r="CL221" s="92"/>
      <c r="CM221" s="92"/>
      <c r="CN221" s="92"/>
      <c r="CO221" s="92"/>
      <c r="CP221" s="92"/>
      <c r="CQ221" s="92"/>
      <c r="CR221" s="92"/>
      <c r="CS221" s="92"/>
      <c r="CT221" s="92"/>
      <c r="CU221" s="92"/>
      <c r="CV221" s="92"/>
      <c r="CW221" s="92"/>
      <c r="CX221" s="85"/>
      <c r="CY221" s="85"/>
      <c r="CZ221" s="85"/>
      <c r="DA221" s="85"/>
      <c r="DB221" s="85"/>
      <c r="DC221" s="85"/>
      <c r="DD221" s="85"/>
      <c r="DE221" s="85"/>
      <c r="DF221" s="85"/>
      <c r="DG221" s="85"/>
      <c r="DH221" s="85"/>
      <c r="DI221" s="85"/>
      <c r="DJ221" s="85"/>
      <c r="DK221" s="85"/>
      <c r="DL221" s="85"/>
      <c r="DM221" s="85"/>
      <c r="DN221" s="85"/>
      <c r="DO221" s="85"/>
      <c r="DP221" s="85"/>
    </row>
    <row r="222">
      <c r="A222" s="91"/>
      <c r="B222" s="91"/>
      <c r="C222" s="91"/>
      <c r="D222" s="91"/>
      <c r="E222" s="78"/>
      <c r="F222" s="15"/>
      <c r="G222" s="15"/>
      <c r="H222" s="91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92"/>
      <c r="BO222" s="92"/>
      <c r="BP222" s="92"/>
      <c r="BQ222" s="92"/>
      <c r="BR222" s="92"/>
      <c r="BS222" s="92"/>
      <c r="BT222" s="92"/>
      <c r="BU222" s="92"/>
      <c r="BV222" s="92"/>
      <c r="BW222" s="92"/>
      <c r="BX222" s="92"/>
      <c r="BY222" s="92"/>
      <c r="BZ222" s="92"/>
      <c r="CA222" s="92"/>
      <c r="CB222" s="92"/>
      <c r="CC222" s="92"/>
      <c r="CD222" s="92"/>
      <c r="CE222" s="92"/>
      <c r="CF222" s="92"/>
      <c r="CG222" s="92"/>
      <c r="CH222" s="92"/>
      <c r="CI222" s="92"/>
      <c r="CJ222" s="92"/>
      <c r="CK222" s="92"/>
      <c r="CL222" s="92"/>
      <c r="CM222" s="92"/>
      <c r="CN222" s="92"/>
      <c r="CO222" s="92"/>
      <c r="CP222" s="92"/>
      <c r="CQ222" s="92"/>
      <c r="CR222" s="92"/>
      <c r="CS222" s="92"/>
      <c r="CT222" s="92"/>
      <c r="CU222" s="92"/>
      <c r="CV222" s="92"/>
      <c r="CW222" s="92"/>
      <c r="CX222" s="85"/>
      <c r="CY222" s="85"/>
      <c r="CZ222" s="85"/>
      <c r="DA222" s="85"/>
      <c r="DB222" s="85"/>
      <c r="DC222" s="85"/>
      <c r="DD222" s="85"/>
      <c r="DE222" s="85"/>
      <c r="DF222" s="85"/>
      <c r="DG222" s="85"/>
      <c r="DH222" s="85"/>
      <c r="DI222" s="85"/>
      <c r="DJ222" s="85"/>
      <c r="DK222" s="85"/>
      <c r="DL222" s="85"/>
      <c r="DM222" s="85"/>
      <c r="DN222" s="85"/>
      <c r="DO222" s="85"/>
      <c r="DP222" s="85"/>
    </row>
    <row r="223">
      <c r="A223" s="91"/>
      <c r="B223" s="91"/>
      <c r="C223" s="91"/>
      <c r="D223" s="91"/>
      <c r="E223" s="78"/>
      <c r="F223" s="15"/>
      <c r="G223" s="15"/>
      <c r="H223" s="91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92"/>
      <c r="BO223" s="92"/>
      <c r="BP223" s="92"/>
      <c r="BQ223" s="92"/>
      <c r="BR223" s="92"/>
      <c r="BS223" s="92"/>
      <c r="BT223" s="92"/>
      <c r="BU223" s="92"/>
      <c r="BV223" s="92"/>
      <c r="BW223" s="92"/>
      <c r="BX223" s="92"/>
      <c r="BY223" s="92"/>
      <c r="BZ223" s="92"/>
      <c r="CA223" s="92"/>
      <c r="CB223" s="92"/>
      <c r="CC223" s="92"/>
      <c r="CD223" s="92"/>
      <c r="CE223" s="92"/>
      <c r="CF223" s="92"/>
      <c r="CG223" s="92"/>
      <c r="CH223" s="92"/>
      <c r="CI223" s="92"/>
      <c r="CJ223" s="92"/>
      <c r="CK223" s="92"/>
      <c r="CL223" s="92"/>
      <c r="CM223" s="92"/>
      <c r="CN223" s="92"/>
      <c r="CO223" s="92"/>
      <c r="CP223" s="92"/>
      <c r="CQ223" s="92"/>
      <c r="CR223" s="92"/>
      <c r="CS223" s="92"/>
      <c r="CT223" s="92"/>
      <c r="CU223" s="92"/>
      <c r="CV223" s="92"/>
      <c r="CW223" s="92"/>
      <c r="CX223" s="85"/>
      <c r="CY223" s="85"/>
      <c r="CZ223" s="85"/>
      <c r="DA223" s="85"/>
      <c r="DB223" s="85"/>
      <c r="DC223" s="85"/>
      <c r="DD223" s="85"/>
      <c r="DE223" s="85"/>
      <c r="DF223" s="85"/>
      <c r="DG223" s="85"/>
      <c r="DH223" s="85"/>
      <c r="DI223" s="85"/>
      <c r="DJ223" s="85"/>
      <c r="DK223" s="85"/>
      <c r="DL223" s="85"/>
      <c r="DM223" s="85"/>
      <c r="DN223" s="85"/>
      <c r="DO223" s="85"/>
      <c r="DP223" s="85"/>
    </row>
    <row r="224">
      <c r="A224" s="91"/>
      <c r="B224" s="91"/>
      <c r="C224" s="91"/>
      <c r="D224" s="91"/>
      <c r="E224" s="78"/>
      <c r="F224" s="15"/>
      <c r="G224" s="15"/>
      <c r="H224" s="91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92"/>
      <c r="BO224" s="92"/>
      <c r="BP224" s="92"/>
      <c r="BQ224" s="92"/>
      <c r="BR224" s="92"/>
      <c r="BS224" s="92"/>
      <c r="BT224" s="92"/>
      <c r="BU224" s="92"/>
      <c r="BV224" s="92"/>
      <c r="BW224" s="92"/>
      <c r="BX224" s="92"/>
      <c r="BY224" s="92"/>
      <c r="BZ224" s="92"/>
      <c r="CA224" s="92"/>
      <c r="CB224" s="92"/>
      <c r="CC224" s="92"/>
      <c r="CD224" s="92"/>
      <c r="CE224" s="92"/>
      <c r="CF224" s="92"/>
      <c r="CG224" s="92"/>
      <c r="CH224" s="92"/>
      <c r="CI224" s="92"/>
      <c r="CJ224" s="92"/>
      <c r="CK224" s="92"/>
      <c r="CL224" s="92"/>
      <c r="CM224" s="92"/>
      <c r="CN224" s="92"/>
      <c r="CO224" s="92"/>
      <c r="CP224" s="92"/>
      <c r="CQ224" s="92"/>
      <c r="CR224" s="92"/>
      <c r="CS224" s="92"/>
      <c r="CT224" s="92"/>
      <c r="CU224" s="92"/>
      <c r="CV224" s="92"/>
      <c r="CW224" s="92"/>
      <c r="CX224" s="85"/>
      <c r="CY224" s="85"/>
      <c r="CZ224" s="85"/>
      <c r="DA224" s="85"/>
      <c r="DB224" s="85"/>
      <c r="DC224" s="85"/>
      <c r="DD224" s="85"/>
      <c r="DE224" s="85"/>
      <c r="DF224" s="85"/>
      <c r="DG224" s="85"/>
      <c r="DH224" s="85"/>
      <c r="DI224" s="85"/>
      <c r="DJ224" s="85"/>
      <c r="DK224" s="85"/>
      <c r="DL224" s="85"/>
      <c r="DM224" s="85"/>
      <c r="DN224" s="85"/>
      <c r="DO224" s="85"/>
      <c r="DP224" s="85"/>
    </row>
    <row r="225">
      <c r="A225" s="91"/>
      <c r="B225" s="91"/>
      <c r="C225" s="91"/>
      <c r="D225" s="91"/>
      <c r="E225" s="78"/>
      <c r="F225" s="15"/>
      <c r="G225" s="15"/>
      <c r="H225" s="91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92"/>
      <c r="BO225" s="92"/>
      <c r="BP225" s="92"/>
      <c r="BQ225" s="92"/>
      <c r="BR225" s="92"/>
      <c r="BS225" s="92"/>
      <c r="BT225" s="92"/>
      <c r="BU225" s="92"/>
      <c r="BV225" s="92"/>
      <c r="BW225" s="92"/>
      <c r="BX225" s="92"/>
      <c r="BY225" s="92"/>
      <c r="BZ225" s="92"/>
      <c r="CA225" s="92"/>
      <c r="CB225" s="92"/>
      <c r="CC225" s="92"/>
      <c r="CD225" s="92"/>
      <c r="CE225" s="92"/>
      <c r="CF225" s="92"/>
      <c r="CG225" s="92"/>
      <c r="CH225" s="92"/>
      <c r="CI225" s="92"/>
      <c r="CJ225" s="92"/>
      <c r="CK225" s="92"/>
      <c r="CL225" s="92"/>
      <c r="CM225" s="92"/>
      <c r="CN225" s="92"/>
      <c r="CO225" s="92"/>
      <c r="CP225" s="92"/>
      <c r="CQ225" s="92"/>
      <c r="CR225" s="92"/>
      <c r="CS225" s="92"/>
      <c r="CT225" s="92"/>
      <c r="CU225" s="92"/>
      <c r="CV225" s="92"/>
      <c r="CW225" s="92"/>
      <c r="CX225" s="85"/>
      <c r="CY225" s="85"/>
      <c r="CZ225" s="85"/>
      <c r="DA225" s="85"/>
      <c r="DB225" s="85"/>
      <c r="DC225" s="85"/>
      <c r="DD225" s="85"/>
      <c r="DE225" s="85"/>
      <c r="DF225" s="85"/>
      <c r="DG225" s="85"/>
      <c r="DH225" s="85"/>
      <c r="DI225" s="85"/>
      <c r="DJ225" s="85"/>
      <c r="DK225" s="85"/>
      <c r="DL225" s="85"/>
      <c r="DM225" s="85"/>
      <c r="DN225" s="85"/>
      <c r="DO225" s="85"/>
      <c r="DP225" s="85"/>
    </row>
    <row r="226">
      <c r="A226" s="91"/>
      <c r="B226" s="91"/>
      <c r="C226" s="91"/>
      <c r="D226" s="91"/>
      <c r="E226" s="78"/>
      <c r="F226" s="15"/>
      <c r="G226" s="15"/>
      <c r="H226" s="91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92"/>
      <c r="BO226" s="92"/>
      <c r="BP226" s="92"/>
      <c r="BQ226" s="92"/>
      <c r="BR226" s="92"/>
      <c r="BS226" s="92"/>
      <c r="BT226" s="92"/>
      <c r="BU226" s="92"/>
      <c r="BV226" s="92"/>
      <c r="BW226" s="92"/>
      <c r="BX226" s="92"/>
      <c r="BY226" s="92"/>
      <c r="BZ226" s="92"/>
      <c r="CA226" s="92"/>
      <c r="CB226" s="92"/>
      <c r="CC226" s="92"/>
      <c r="CD226" s="92"/>
      <c r="CE226" s="92"/>
      <c r="CF226" s="92"/>
      <c r="CG226" s="92"/>
      <c r="CH226" s="92"/>
      <c r="CI226" s="92"/>
      <c r="CJ226" s="92"/>
      <c r="CK226" s="92"/>
      <c r="CL226" s="92"/>
      <c r="CM226" s="92"/>
      <c r="CN226" s="92"/>
      <c r="CO226" s="92"/>
      <c r="CP226" s="92"/>
      <c r="CQ226" s="92"/>
      <c r="CR226" s="92"/>
      <c r="CS226" s="92"/>
      <c r="CT226" s="92"/>
      <c r="CU226" s="92"/>
      <c r="CV226" s="92"/>
      <c r="CW226" s="92"/>
      <c r="CX226" s="85"/>
      <c r="CY226" s="85"/>
      <c r="CZ226" s="85"/>
      <c r="DA226" s="85"/>
      <c r="DB226" s="85"/>
      <c r="DC226" s="85"/>
      <c r="DD226" s="85"/>
      <c r="DE226" s="85"/>
      <c r="DF226" s="85"/>
      <c r="DG226" s="85"/>
      <c r="DH226" s="85"/>
      <c r="DI226" s="85"/>
      <c r="DJ226" s="85"/>
      <c r="DK226" s="85"/>
      <c r="DL226" s="85"/>
      <c r="DM226" s="85"/>
      <c r="DN226" s="85"/>
      <c r="DO226" s="85"/>
      <c r="DP226" s="85"/>
    </row>
    <row r="227">
      <c r="A227" s="91"/>
      <c r="B227" s="91"/>
      <c r="C227" s="91"/>
      <c r="D227" s="91"/>
      <c r="E227" s="78"/>
      <c r="F227" s="15"/>
      <c r="G227" s="15"/>
      <c r="H227" s="91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92"/>
      <c r="BO227" s="92"/>
      <c r="BP227" s="92"/>
      <c r="BQ227" s="92"/>
      <c r="BR227" s="92"/>
      <c r="BS227" s="92"/>
      <c r="BT227" s="92"/>
      <c r="BU227" s="92"/>
      <c r="BV227" s="92"/>
      <c r="BW227" s="92"/>
      <c r="BX227" s="92"/>
      <c r="BY227" s="92"/>
      <c r="BZ227" s="92"/>
      <c r="CA227" s="92"/>
      <c r="CB227" s="92"/>
      <c r="CC227" s="92"/>
      <c r="CD227" s="92"/>
      <c r="CE227" s="92"/>
      <c r="CF227" s="92"/>
      <c r="CG227" s="92"/>
      <c r="CH227" s="92"/>
      <c r="CI227" s="92"/>
      <c r="CJ227" s="92"/>
      <c r="CK227" s="92"/>
      <c r="CL227" s="92"/>
      <c r="CM227" s="92"/>
      <c r="CN227" s="92"/>
      <c r="CO227" s="92"/>
      <c r="CP227" s="92"/>
      <c r="CQ227" s="92"/>
      <c r="CR227" s="92"/>
      <c r="CS227" s="92"/>
      <c r="CT227" s="92"/>
      <c r="CU227" s="92"/>
      <c r="CV227" s="92"/>
      <c r="CW227" s="92"/>
      <c r="CX227" s="85"/>
      <c r="CY227" s="85"/>
      <c r="CZ227" s="85"/>
      <c r="DA227" s="85"/>
      <c r="DB227" s="85"/>
      <c r="DC227" s="85"/>
      <c r="DD227" s="85"/>
      <c r="DE227" s="85"/>
      <c r="DF227" s="85"/>
      <c r="DG227" s="85"/>
      <c r="DH227" s="85"/>
      <c r="DI227" s="85"/>
      <c r="DJ227" s="85"/>
      <c r="DK227" s="85"/>
      <c r="DL227" s="85"/>
      <c r="DM227" s="85"/>
      <c r="DN227" s="85"/>
      <c r="DO227" s="85"/>
      <c r="DP227" s="85"/>
    </row>
    <row r="228">
      <c r="A228" s="91"/>
      <c r="B228" s="91"/>
      <c r="C228" s="91"/>
      <c r="D228" s="91"/>
      <c r="E228" s="78"/>
      <c r="F228" s="15"/>
      <c r="G228" s="15"/>
      <c r="H228" s="91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92"/>
      <c r="BO228" s="92"/>
      <c r="BP228" s="92"/>
      <c r="BQ228" s="92"/>
      <c r="BR228" s="92"/>
      <c r="BS228" s="92"/>
      <c r="BT228" s="92"/>
      <c r="BU228" s="92"/>
      <c r="BV228" s="92"/>
      <c r="BW228" s="92"/>
      <c r="BX228" s="92"/>
      <c r="BY228" s="92"/>
      <c r="BZ228" s="92"/>
      <c r="CA228" s="92"/>
      <c r="CB228" s="92"/>
      <c r="CC228" s="92"/>
      <c r="CD228" s="92"/>
      <c r="CE228" s="92"/>
      <c r="CF228" s="92"/>
      <c r="CG228" s="92"/>
      <c r="CH228" s="92"/>
      <c r="CI228" s="92"/>
      <c r="CJ228" s="92"/>
      <c r="CK228" s="92"/>
      <c r="CL228" s="92"/>
      <c r="CM228" s="92"/>
      <c r="CN228" s="92"/>
      <c r="CO228" s="92"/>
      <c r="CP228" s="92"/>
      <c r="CQ228" s="92"/>
      <c r="CR228" s="92"/>
      <c r="CS228" s="92"/>
      <c r="CT228" s="92"/>
      <c r="CU228" s="92"/>
      <c r="CV228" s="92"/>
      <c r="CW228" s="92"/>
      <c r="CX228" s="85"/>
      <c r="CY228" s="85"/>
      <c r="CZ228" s="85"/>
      <c r="DA228" s="85"/>
      <c r="DB228" s="85"/>
      <c r="DC228" s="85"/>
      <c r="DD228" s="85"/>
      <c r="DE228" s="85"/>
      <c r="DF228" s="85"/>
      <c r="DG228" s="85"/>
      <c r="DH228" s="85"/>
      <c r="DI228" s="85"/>
      <c r="DJ228" s="85"/>
      <c r="DK228" s="85"/>
      <c r="DL228" s="85"/>
      <c r="DM228" s="85"/>
      <c r="DN228" s="85"/>
      <c r="DO228" s="85"/>
      <c r="DP228" s="85"/>
    </row>
    <row r="229">
      <c r="A229" s="91"/>
      <c r="B229" s="91"/>
      <c r="C229" s="91"/>
      <c r="D229" s="91"/>
      <c r="E229" s="78"/>
      <c r="F229" s="15"/>
      <c r="G229" s="15"/>
      <c r="H229" s="91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92"/>
      <c r="BO229" s="92"/>
      <c r="BP229" s="92"/>
      <c r="BQ229" s="92"/>
      <c r="BR229" s="92"/>
      <c r="BS229" s="92"/>
      <c r="BT229" s="92"/>
      <c r="BU229" s="92"/>
      <c r="BV229" s="92"/>
      <c r="BW229" s="92"/>
      <c r="BX229" s="92"/>
      <c r="BY229" s="92"/>
      <c r="BZ229" s="92"/>
      <c r="CA229" s="92"/>
      <c r="CB229" s="92"/>
      <c r="CC229" s="92"/>
      <c r="CD229" s="92"/>
      <c r="CE229" s="92"/>
      <c r="CF229" s="92"/>
      <c r="CG229" s="92"/>
      <c r="CH229" s="92"/>
      <c r="CI229" s="92"/>
      <c r="CJ229" s="92"/>
      <c r="CK229" s="92"/>
      <c r="CL229" s="92"/>
      <c r="CM229" s="92"/>
      <c r="CN229" s="92"/>
      <c r="CO229" s="92"/>
      <c r="CP229" s="92"/>
      <c r="CQ229" s="92"/>
      <c r="CR229" s="92"/>
      <c r="CS229" s="92"/>
      <c r="CT229" s="92"/>
      <c r="CU229" s="92"/>
      <c r="CV229" s="92"/>
      <c r="CW229" s="92"/>
      <c r="CX229" s="85"/>
      <c r="CY229" s="85"/>
      <c r="CZ229" s="85"/>
      <c r="DA229" s="85"/>
      <c r="DB229" s="85"/>
      <c r="DC229" s="85"/>
      <c r="DD229" s="85"/>
      <c r="DE229" s="85"/>
      <c r="DF229" s="85"/>
      <c r="DG229" s="85"/>
      <c r="DH229" s="85"/>
      <c r="DI229" s="85"/>
      <c r="DJ229" s="85"/>
      <c r="DK229" s="85"/>
      <c r="DL229" s="85"/>
      <c r="DM229" s="85"/>
      <c r="DN229" s="85"/>
      <c r="DO229" s="85"/>
      <c r="DP229" s="85"/>
    </row>
    <row r="230">
      <c r="A230" s="91"/>
      <c r="B230" s="91"/>
      <c r="C230" s="91"/>
      <c r="D230" s="91"/>
      <c r="E230" s="78"/>
      <c r="F230" s="15"/>
      <c r="G230" s="15"/>
      <c r="H230" s="91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92"/>
      <c r="BO230" s="92"/>
      <c r="BP230" s="92"/>
      <c r="BQ230" s="92"/>
      <c r="BR230" s="92"/>
      <c r="BS230" s="92"/>
      <c r="BT230" s="92"/>
      <c r="BU230" s="92"/>
      <c r="BV230" s="92"/>
      <c r="BW230" s="92"/>
      <c r="BX230" s="92"/>
      <c r="BY230" s="92"/>
      <c r="BZ230" s="92"/>
      <c r="CA230" s="92"/>
      <c r="CB230" s="92"/>
      <c r="CC230" s="92"/>
      <c r="CD230" s="92"/>
      <c r="CE230" s="92"/>
      <c r="CF230" s="92"/>
      <c r="CG230" s="92"/>
      <c r="CH230" s="92"/>
      <c r="CI230" s="92"/>
      <c r="CJ230" s="92"/>
      <c r="CK230" s="92"/>
      <c r="CL230" s="92"/>
      <c r="CM230" s="92"/>
      <c r="CN230" s="92"/>
      <c r="CO230" s="92"/>
      <c r="CP230" s="92"/>
      <c r="CQ230" s="92"/>
      <c r="CR230" s="92"/>
      <c r="CS230" s="92"/>
      <c r="CT230" s="92"/>
      <c r="CU230" s="92"/>
      <c r="CV230" s="92"/>
      <c r="CW230" s="92"/>
      <c r="CX230" s="85"/>
      <c r="CY230" s="85"/>
      <c r="CZ230" s="85"/>
      <c r="DA230" s="85"/>
      <c r="DB230" s="85"/>
      <c r="DC230" s="85"/>
      <c r="DD230" s="85"/>
      <c r="DE230" s="85"/>
      <c r="DF230" s="85"/>
      <c r="DG230" s="85"/>
      <c r="DH230" s="85"/>
      <c r="DI230" s="85"/>
      <c r="DJ230" s="85"/>
      <c r="DK230" s="85"/>
      <c r="DL230" s="85"/>
      <c r="DM230" s="85"/>
      <c r="DN230" s="85"/>
      <c r="DO230" s="85"/>
      <c r="DP230" s="85"/>
    </row>
    <row r="231">
      <c r="A231" s="91"/>
      <c r="B231" s="91"/>
      <c r="C231" s="91"/>
      <c r="D231" s="91"/>
      <c r="E231" s="78"/>
      <c r="F231" s="15"/>
      <c r="G231" s="15"/>
      <c r="H231" s="91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92"/>
      <c r="BO231" s="92"/>
      <c r="BP231" s="92"/>
      <c r="BQ231" s="92"/>
      <c r="BR231" s="92"/>
      <c r="BS231" s="92"/>
      <c r="BT231" s="92"/>
      <c r="BU231" s="92"/>
      <c r="BV231" s="92"/>
      <c r="BW231" s="92"/>
      <c r="BX231" s="92"/>
      <c r="BY231" s="92"/>
      <c r="BZ231" s="92"/>
      <c r="CA231" s="92"/>
      <c r="CB231" s="92"/>
      <c r="CC231" s="92"/>
      <c r="CD231" s="92"/>
      <c r="CE231" s="92"/>
      <c r="CF231" s="92"/>
      <c r="CG231" s="92"/>
      <c r="CH231" s="92"/>
      <c r="CI231" s="92"/>
      <c r="CJ231" s="92"/>
      <c r="CK231" s="92"/>
      <c r="CL231" s="92"/>
      <c r="CM231" s="92"/>
      <c r="CN231" s="92"/>
      <c r="CO231" s="92"/>
      <c r="CP231" s="92"/>
      <c r="CQ231" s="92"/>
      <c r="CR231" s="92"/>
      <c r="CS231" s="92"/>
      <c r="CT231" s="92"/>
      <c r="CU231" s="92"/>
      <c r="CV231" s="92"/>
      <c r="CW231" s="92"/>
      <c r="CX231" s="85"/>
      <c r="CY231" s="85"/>
      <c r="CZ231" s="85"/>
      <c r="DA231" s="85"/>
      <c r="DB231" s="85"/>
      <c r="DC231" s="85"/>
      <c r="DD231" s="85"/>
      <c r="DE231" s="85"/>
      <c r="DF231" s="85"/>
      <c r="DG231" s="85"/>
      <c r="DH231" s="85"/>
      <c r="DI231" s="85"/>
      <c r="DJ231" s="85"/>
      <c r="DK231" s="85"/>
      <c r="DL231" s="85"/>
      <c r="DM231" s="85"/>
      <c r="DN231" s="85"/>
      <c r="DO231" s="85"/>
      <c r="DP231" s="85"/>
    </row>
    <row r="232">
      <c r="A232" s="91"/>
      <c r="B232" s="91"/>
      <c r="C232" s="91"/>
      <c r="D232" s="91"/>
      <c r="E232" s="78"/>
      <c r="F232" s="15"/>
      <c r="G232" s="15"/>
      <c r="H232" s="91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92"/>
      <c r="BO232" s="92"/>
      <c r="BP232" s="92"/>
      <c r="BQ232" s="92"/>
      <c r="BR232" s="92"/>
      <c r="BS232" s="92"/>
      <c r="BT232" s="92"/>
      <c r="BU232" s="92"/>
      <c r="BV232" s="92"/>
      <c r="BW232" s="92"/>
      <c r="BX232" s="92"/>
      <c r="BY232" s="92"/>
      <c r="BZ232" s="92"/>
      <c r="CA232" s="92"/>
      <c r="CB232" s="92"/>
      <c r="CC232" s="92"/>
      <c r="CD232" s="92"/>
      <c r="CE232" s="92"/>
      <c r="CF232" s="92"/>
      <c r="CG232" s="92"/>
      <c r="CH232" s="92"/>
      <c r="CI232" s="92"/>
      <c r="CJ232" s="92"/>
      <c r="CK232" s="92"/>
      <c r="CL232" s="92"/>
      <c r="CM232" s="92"/>
      <c r="CN232" s="92"/>
      <c r="CO232" s="92"/>
      <c r="CP232" s="92"/>
      <c r="CQ232" s="92"/>
      <c r="CR232" s="92"/>
      <c r="CS232" s="92"/>
      <c r="CT232" s="92"/>
      <c r="CU232" s="92"/>
      <c r="CV232" s="92"/>
      <c r="CW232" s="92"/>
      <c r="CX232" s="85"/>
      <c r="CY232" s="85"/>
      <c r="CZ232" s="85"/>
      <c r="DA232" s="85"/>
      <c r="DB232" s="85"/>
      <c r="DC232" s="85"/>
      <c r="DD232" s="85"/>
      <c r="DE232" s="85"/>
      <c r="DF232" s="85"/>
      <c r="DG232" s="85"/>
      <c r="DH232" s="85"/>
      <c r="DI232" s="85"/>
      <c r="DJ232" s="85"/>
      <c r="DK232" s="85"/>
      <c r="DL232" s="85"/>
      <c r="DM232" s="85"/>
      <c r="DN232" s="85"/>
      <c r="DO232" s="85"/>
      <c r="DP232" s="85"/>
    </row>
    <row r="233">
      <c r="A233" s="91"/>
      <c r="B233" s="91"/>
      <c r="C233" s="91"/>
      <c r="D233" s="91"/>
      <c r="E233" s="78"/>
      <c r="F233" s="15"/>
      <c r="G233" s="15"/>
      <c r="H233" s="91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92"/>
      <c r="BO233" s="92"/>
      <c r="BP233" s="92"/>
      <c r="BQ233" s="92"/>
      <c r="BR233" s="92"/>
      <c r="BS233" s="92"/>
      <c r="BT233" s="92"/>
      <c r="BU233" s="92"/>
      <c r="BV233" s="92"/>
      <c r="BW233" s="92"/>
      <c r="BX233" s="92"/>
      <c r="BY233" s="92"/>
      <c r="BZ233" s="92"/>
      <c r="CA233" s="92"/>
      <c r="CB233" s="92"/>
      <c r="CC233" s="92"/>
      <c r="CD233" s="92"/>
      <c r="CE233" s="92"/>
      <c r="CF233" s="92"/>
      <c r="CG233" s="92"/>
      <c r="CH233" s="92"/>
      <c r="CI233" s="92"/>
      <c r="CJ233" s="92"/>
      <c r="CK233" s="92"/>
      <c r="CL233" s="92"/>
      <c r="CM233" s="92"/>
      <c r="CN233" s="92"/>
      <c r="CO233" s="92"/>
      <c r="CP233" s="92"/>
      <c r="CQ233" s="92"/>
      <c r="CR233" s="92"/>
      <c r="CS233" s="92"/>
      <c r="CT233" s="92"/>
      <c r="CU233" s="92"/>
      <c r="CV233" s="92"/>
      <c r="CW233" s="92"/>
      <c r="CX233" s="85"/>
      <c r="CY233" s="85"/>
      <c r="CZ233" s="85"/>
      <c r="DA233" s="85"/>
      <c r="DB233" s="85"/>
      <c r="DC233" s="85"/>
      <c r="DD233" s="85"/>
      <c r="DE233" s="85"/>
      <c r="DF233" s="85"/>
      <c r="DG233" s="85"/>
      <c r="DH233" s="85"/>
      <c r="DI233" s="85"/>
      <c r="DJ233" s="85"/>
      <c r="DK233" s="85"/>
      <c r="DL233" s="85"/>
      <c r="DM233" s="85"/>
      <c r="DN233" s="85"/>
      <c r="DO233" s="85"/>
      <c r="DP233" s="85"/>
    </row>
    <row r="234">
      <c r="A234" s="91"/>
      <c r="B234" s="91"/>
      <c r="C234" s="91"/>
      <c r="D234" s="91"/>
      <c r="E234" s="78"/>
      <c r="F234" s="15"/>
      <c r="G234" s="15"/>
      <c r="H234" s="91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92"/>
      <c r="BO234" s="92"/>
      <c r="BP234" s="92"/>
      <c r="BQ234" s="92"/>
      <c r="BR234" s="92"/>
      <c r="BS234" s="92"/>
      <c r="BT234" s="92"/>
      <c r="BU234" s="92"/>
      <c r="BV234" s="92"/>
      <c r="BW234" s="92"/>
      <c r="BX234" s="92"/>
      <c r="BY234" s="92"/>
      <c r="BZ234" s="92"/>
      <c r="CA234" s="92"/>
      <c r="CB234" s="92"/>
      <c r="CC234" s="92"/>
      <c r="CD234" s="92"/>
      <c r="CE234" s="92"/>
      <c r="CF234" s="92"/>
      <c r="CG234" s="92"/>
      <c r="CH234" s="92"/>
      <c r="CI234" s="92"/>
      <c r="CJ234" s="92"/>
      <c r="CK234" s="92"/>
      <c r="CL234" s="92"/>
      <c r="CM234" s="92"/>
      <c r="CN234" s="92"/>
      <c r="CO234" s="92"/>
      <c r="CP234" s="92"/>
      <c r="CQ234" s="92"/>
      <c r="CR234" s="92"/>
      <c r="CS234" s="92"/>
      <c r="CT234" s="92"/>
      <c r="CU234" s="92"/>
      <c r="CV234" s="92"/>
      <c r="CW234" s="92"/>
      <c r="CX234" s="85"/>
      <c r="CY234" s="85"/>
      <c r="CZ234" s="85"/>
      <c r="DA234" s="85"/>
      <c r="DB234" s="85"/>
      <c r="DC234" s="85"/>
      <c r="DD234" s="85"/>
      <c r="DE234" s="85"/>
      <c r="DF234" s="85"/>
      <c r="DG234" s="85"/>
      <c r="DH234" s="85"/>
      <c r="DI234" s="85"/>
      <c r="DJ234" s="85"/>
      <c r="DK234" s="85"/>
      <c r="DL234" s="85"/>
      <c r="DM234" s="85"/>
      <c r="DN234" s="85"/>
      <c r="DO234" s="85"/>
      <c r="DP234" s="85"/>
    </row>
    <row r="235">
      <c r="A235" s="91"/>
      <c r="B235" s="91"/>
      <c r="C235" s="91"/>
      <c r="D235" s="91"/>
      <c r="E235" s="78"/>
      <c r="F235" s="15"/>
      <c r="G235" s="15"/>
      <c r="H235" s="91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92"/>
      <c r="BO235" s="92"/>
      <c r="BP235" s="92"/>
      <c r="BQ235" s="92"/>
      <c r="BR235" s="92"/>
      <c r="BS235" s="92"/>
      <c r="BT235" s="92"/>
      <c r="BU235" s="92"/>
      <c r="BV235" s="92"/>
      <c r="BW235" s="92"/>
      <c r="BX235" s="92"/>
      <c r="BY235" s="92"/>
      <c r="BZ235" s="92"/>
      <c r="CA235" s="92"/>
      <c r="CB235" s="92"/>
      <c r="CC235" s="92"/>
      <c r="CD235" s="92"/>
      <c r="CE235" s="92"/>
      <c r="CF235" s="92"/>
      <c r="CG235" s="92"/>
      <c r="CH235" s="92"/>
      <c r="CI235" s="92"/>
      <c r="CJ235" s="92"/>
      <c r="CK235" s="92"/>
      <c r="CL235" s="92"/>
      <c r="CM235" s="92"/>
      <c r="CN235" s="92"/>
      <c r="CO235" s="92"/>
      <c r="CP235" s="92"/>
      <c r="CQ235" s="92"/>
      <c r="CR235" s="92"/>
      <c r="CS235" s="92"/>
      <c r="CT235" s="92"/>
      <c r="CU235" s="92"/>
      <c r="CV235" s="92"/>
      <c r="CW235" s="92"/>
      <c r="CX235" s="85"/>
      <c r="CY235" s="85"/>
      <c r="CZ235" s="85"/>
      <c r="DA235" s="85"/>
      <c r="DB235" s="85"/>
      <c r="DC235" s="85"/>
      <c r="DD235" s="85"/>
      <c r="DE235" s="85"/>
      <c r="DF235" s="85"/>
      <c r="DG235" s="85"/>
      <c r="DH235" s="85"/>
      <c r="DI235" s="85"/>
      <c r="DJ235" s="85"/>
      <c r="DK235" s="85"/>
      <c r="DL235" s="85"/>
      <c r="DM235" s="85"/>
      <c r="DN235" s="85"/>
      <c r="DO235" s="85"/>
      <c r="DP235" s="85"/>
    </row>
    <row r="236">
      <c r="A236" s="91"/>
      <c r="B236" s="91"/>
      <c r="C236" s="91"/>
      <c r="D236" s="91"/>
      <c r="E236" s="78"/>
      <c r="F236" s="15"/>
      <c r="G236" s="15"/>
      <c r="H236" s="91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92"/>
      <c r="BO236" s="92"/>
      <c r="BP236" s="92"/>
      <c r="BQ236" s="92"/>
      <c r="BR236" s="92"/>
      <c r="BS236" s="92"/>
      <c r="BT236" s="92"/>
      <c r="BU236" s="92"/>
      <c r="BV236" s="92"/>
      <c r="BW236" s="92"/>
      <c r="BX236" s="92"/>
      <c r="BY236" s="92"/>
      <c r="BZ236" s="92"/>
      <c r="CA236" s="92"/>
      <c r="CB236" s="92"/>
      <c r="CC236" s="92"/>
      <c r="CD236" s="92"/>
      <c r="CE236" s="92"/>
      <c r="CF236" s="92"/>
      <c r="CG236" s="92"/>
      <c r="CH236" s="92"/>
      <c r="CI236" s="92"/>
      <c r="CJ236" s="92"/>
      <c r="CK236" s="92"/>
      <c r="CL236" s="92"/>
      <c r="CM236" s="92"/>
      <c r="CN236" s="92"/>
      <c r="CO236" s="92"/>
      <c r="CP236" s="92"/>
      <c r="CQ236" s="92"/>
      <c r="CR236" s="92"/>
      <c r="CS236" s="92"/>
      <c r="CT236" s="92"/>
      <c r="CU236" s="92"/>
      <c r="CV236" s="92"/>
      <c r="CW236" s="92"/>
      <c r="CX236" s="85"/>
      <c r="CY236" s="85"/>
      <c r="CZ236" s="85"/>
      <c r="DA236" s="85"/>
      <c r="DB236" s="85"/>
      <c r="DC236" s="85"/>
      <c r="DD236" s="85"/>
      <c r="DE236" s="85"/>
      <c r="DF236" s="85"/>
      <c r="DG236" s="85"/>
      <c r="DH236" s="85"/>
      <c r="DI236" s="85"/>
      <c r="DJ236" s="85"/>
      <c r="DK236" s="85"/>
      <c r="DL236" s="85"/>
      <c r="DM236" s="85"/>
      <c r="DN236" s="85"/>
      <c r="DO236" s="85"/>
      <c r="DP236" s="85"/>
    </row>
    <row r="237">
      <c r="A237" s="91"/>
      <c r="B237" s="91"/>
      <c r="C237" s="91"/>
      <c r="D237" s="91"/>
      <c r="E237" s="78"/>
      <c r="F237" s="15"/>
      <c r="G237" s="15"/>
      <c r="H237" s="91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92"/>
      <c r="BO237" s="92"/>
      <c r="BP237" s="92"/>
      <c r="BQ237" s="92"/>
      <c r="BR237" s="92"/>
      <c r="BS237" s="92"/>
      <c r="BT237" s="92"/>
      <c r="BU237" s="92"/>
      <c r="BV237" s="92"/>
      <c r="BW237" s="92"/>
      <c r="BX237" s="92"/>
      <c r="BY237" s="92"/>
      <c r="BZ237" s="92"/>
      <c r="CA237" s="92"/>
      <c r="CB237" s="92"/>
      <c r="CC237" s="92"/>
      <c r="CD237" s="92"/>
      <c r="CE237" s="92"/>
      <c r="CF237" s="92"/>
      <c r="CG237" s="92"/>
      <c r="CH237" s="92"/>
      <c r="CI237" s="92"/>
      <c r="CJ237" s="92"/>
      <c r="CK237" s="92"/>
      <c r="CL237" s="92"/>
      <c r="CM237" s="92"/>
      <c r="CN237" s="92"/>
      <c r="CO237" s="92"/>
      <c r="CP237" s="92"/>
      <c r="CQ237" s="92"/>
      <c r="CR237" s="92"/>
      <c r="CS237" s="92"/>
      <c r="CT237" s="92"/>
      <c r="CU237" s="92"/>
      <c r="CV237" s="92"/>
      <c r="CW237" s="92"/>
      <c r="CX237" s="85"/>
      <c r="CY237" s="85"/>
      <c r="CZ237" s="85"/>
      <c r="DA237" s="85"/>
      <c r="DB237" s="85"/>
      <c r="DC237" s="85"/>
      <c r="DD237" s="85"/>
      <c r="DE237" s="85"/>
      <c r="DF237" s="85"/>
      <c r="DG237" s="85"/>
      <c r="DH237" s="85"/>
      <c r="DI237" s="85"/>
      <c r="DJ237" s="85"/>
      <c r="DK237" s="85"/>
      <c r="DL237" s="85"/>
      <c r="DM237" s="85"/>
      <c r="DN237" s="85"/>
      <c r="DO237" s="85"/>
      <c r="DP237" s="85"/>
    </row>
    <row r="238">
      <c r="A238" s="91"/>
      <c r="B238" s="91"/>
      <c r="C238" s="91"/>
      <c r="D238" s="91"/>
      <c r="E238" s="78"/>
      <c r="F238" s="15"/>
      <c r="G238" s="15"/>
      <c r="H238" s="91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92"/>
      <c r="BO238" s="92"/>
      <c r="BP238" s="92"/>
      <c r="BQ238" s="92"/>
      <c r="BR238" s="92"/>
      <c r="BS238" s="92"/>
      <c r="BT238" s="92"/>
      <c r="BU238" s="92"/>
      <c r="BV238" s="92"/>
      <c r="BW238" s="92"/>
      <c r="BX238" s="92"/>
      <c r="BY238" s="92"/>
      <c r="BZ238" s="92"/>
      <c r="CA238" s="92"/>
      <c r="CB238" s="92"/>
      <c r="CC238" s="92"/>
      <c r="CD238" s="92"/>
      <c r="CE238" s="92"/>
      <c r="CF238" s="92"/>
      <c r="CG238" s="92"/>
      <c r="CH238" s="92"/>
      <c r="CI238" s="92"/>
      <c r="CJ238" s="92"/>
      <c r="CK238" s="92"/>
      <c r="CL238" s="92"/>
      <c r="CM238" s="92"/>
      <c r="CN238" s="92"/>
      <c r="CO238" s="92"/>
      <c r="CP238" s="92"/>
      <c r="CQ238" s="92"/>
      <c r="CR238" s="92"/>
      <c r="CS238" s="92"/>
      <c r="CT238" s="92"/>
      <c r="CU238" s="92"/>
      <c r="CV238" s="92"/>
      <c r="CW238" s="92"/>
      <c r="CX238" s="85"/>
      <c r="CY238" s="85"/>
      <c r="CZ238" s="85"/>
      <c r="DA238" s="85"/>
      <c r="DB238" s="85"/>
      <c r="DC238" s="85"/>
      <c r="DD238" s="85"/>
      <c r="DE238" s="85"/>
      <c r="DF238" s="85"/>
      <c r="DG238" s="85"/>
      <c r="DH238" s="85"/>
      <c r="DI238" s="85"/>
      <c r="DJ238" s="85"/>
      <c r="DK238" s="85"/>
      <c r="DL238" s="85"/>
      <c r="DM238" s="85"/>
      <c r="DN238" s="85"/>
      <c r="DO238" s="85"/>
      <c r="DP238" s="85"/>
    </row>
    <row r="239">
      <c r="A239" s="91"/>
      <c r="B239" s="91"/>
      <c r="C239" s="91"/>
      <c r="D239" s="91"/>
      <c r="E239" s="78"/>
      <c r="F239" s="15"/>
      <c r="G239" s="15"/>
      <c r="H239" s="91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92"/>
      <c r="BO239" s="92"/>
      <c r="BP239" s="92"/>
      <c r="BQ239" s="92"/>
      <c r="BR239" s="92"/>
      <c r="BS239" s="92"/>
      <c r="BT239" s="92"/>
      <c r="BU239" s="92"/>
      <c r="BV239" s="92"/>
      <c r="BW239" s="92"/>
      <c r="BX239" s="92"/>
      <c r="BY239" s="92"/>
      <c r="BZ239" s="92"/>
      <c r="CA239" s="92"/>
      <c r="CB239" s="92"/>
      <c r="CC239" s="92"/>
      <c r="CD239" s="92"/>
      <c r="CE239" s="92"/>
      <c r="CF239" s="92"/>
      <c r="CG239" s="92"/>
      <c r="CH239" s="92"/>
      <c r="CI239" s="92"/>
      <c r="CJ239" s="92"/>
      <c r="CK239" s="92"/>
      <c r="CL239" s="92"/>
      <c r="CM239" s="92"/>
      <c r="CN239" s="92"/>
      <c r="CO239" s="92"/>
      <c r="CP239" s="92"/>
      <c r="CQ239" s="92"/>
      <c r="CR239" s="92"/>
      <c r="CS239" s="92"/>
      <c r="CT239" s="92"/>
      <c r="CU239" s="92"/>
      <c r="CV239" s="92"/>
      <c r="CW239" s="92"/>
      <c r="CX239" s="85"/>
      <c r="CY239" s="85"/>
      <c r="CZ239" s="85"/>
      <c r="DA239" s="85"/>
      <c r="DB239" s="85"/>
      <c r="DC239" s="85"/>
      <c r="DD239" s="85"/>
      <c r="DE239" s="85"/>
      <c r="DF239" s="85"/>
      <c r="DG239" s="85"/>
      <c r="DH239" s="85"/>
      <c r="DI239" s="85"/>
      <c r="DJ239" s="85"/>
      <c r="DK239" s="85"/>
      <c r="DL239" s="85"/>
      <c r="DM239" s="85"/>
      <c r="DN239" s="85"/>
      <c r="DO239" s="85"/>
      <c r="DP239" s="85"/>
    </row>
    <row r="240">
      <c r="A240" s="91"/>
      <c r="B240" s="91"/>
      <c r="C240" s="91"/>
      <c r="D240" s="91"/>
      <c r="E240" s="78"/>
      <c r="F240" s="15"/>
      <c r="G240" s="15"/>
      <c r="H240" s="91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92"/>
      <c r="BO240" s="92"/>
      <c r="BP240" s="92"/>
      <c r="BQ240" s="92"/>
      <c r="BR240" s="92"/>
      <c r="BS240" s="92"/>
      <c r="BT240" s="92"/>
      <c r="BU240" s="92"/>
      <c r="BV240" s="92"/>
      <c r="BW240" s="92"/>
      <c r="BX240" s="92"/>
      <c r="BY240" s="92"/>
      <c r="BZ240" s="92"/>
      <c r="CA240" s="92"/>
      <c r="CB240" s="92"/>
      <c r="CC240" s="92"/>
      <c r="CD240" s="92"/>
      <c r="CE240" s="92"/>
      <c r="CF240" s="92"/>
      <c r="CG240" s="92"/>
      <c r="CH240" s="92"/>
      <c r="CI240" s="92"/>
      <c r="CJ240" s="92"/>
      <c r="CK240" s="92"/>
      <c r="CL240" s="92"/>
      <c r="CM240" s="92"/>
      <c r="CN240" s="92"/>
      <c r="CO240" s="92"/>
      <c r="CP240" s="92"/>
      <c r="CQ240" s="92"/>
      <c r="CR240" s="92"/>
      <c r="CS240" s="92"/>
      <c r="CT240" s="92"/>
      <c r="CU240" s="92"/>
      <c r="CV240" s="92"/>
      <c r="CW240" s="92"/>
      <c r="CX240" s="85"/>
      <c r="CY240" s="85"/>
      <c r="CZ240" s="85"/>
      <c r="DA240" s="85"/>
      <c r="DB240" s="85"/>
      <c r="DC240" s="85"/>
      <c r="DD240" s="85"/>
      <c r="DE240" s="85"/>
      <c r="DF240" s="85"/>
      <c r="DG240" s="85"/>
      <c r="DH240" s="85"/>
      <c r="DI240" s="85"/>
      <c r="DJ240" s="85"/>
      <c r="DK240" s="85"/>
      <c r="DL240" s="85"/>
      <c r="DM240" s="85"/>
      <c r="DN240" s="85"/>
      <c r="DO240" s="85"/>
      <c r="DP240" s="85"/>
    </row>
    <row r="241">
      <c r="A241" s="91"/>
      <c r="B241" s="91"/>
      <c r="C241" s="91"/>
      <c r="D241" s="91"/>
      <c r="E241" s="78"/>
      <c r="F241" s="15"/>
      <c r="G241" s="15"/>
      <c r="H241" s="91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92"/>
      <c r="BO241" s="92"/>
      <c r="BP241" s="92"/>
      <c r="BQ241" s="92"/>
      <c r="BR241" s="92"/>
      <c r="BS241" s="92"/>
      <c r="BT241" s="92"/>
      <c r="BU241" s="92"/>
      <c r="BV241" s="92"/>
      <c r="BW241" s="92"/>
      <c r="BX241" s="92"/>
      <c r="BY241" s="92"/>
      <c r="BZ241" s="92"/>
      <c r="CA241" s="92"/>
      <c r="CB241" s="92"/>
      <c r="CC241" s="92"/>
      <c r="CD241" s="92"/>
      <c r="CE241" s="92"/>
      <c r="CF241" s="92"/>
      <c r="CG241" s="92"/>
      <c r="CH241" s="92"/>
      <c r="CI241" s="92"/>
      <c r="CJ241" s="92"/>
      <c r="CK241" s="92"/>
      <c r="CL241" s="92"/>
      <c r="CM241" s="92"/>
      <c r="CN241" s="92"/>
      <c r="CO241" s="92"/>
      <c r="CP241" s="92"/>
      <c r="CQ241" s="92"/>
      <c r="CR241" s="92"/>
      <c r="CS241" s="92"/>
      <c r="CT241" s="92"/>
      <c r="CU241" s="92"/>
      <c r="CV241" s="92"/>
      <c r="CW241" s="92"/>
      <c r="CX241" s="85"/>
      <c r="CY241" s="85"/>
      <c r="CZ241" s="85"/>
      <c r="DA241" s="85"/>
      <c r="DB241" s="85"/>
      <c r="DC241" s="85"/>
      <c r="DD241" s="85"/>
      <c r="DE241" s="85"/>
      <c r="DF241" s="85"/>
      <c r="DG241" s="85"/>
      <c r="DH241" s="85"/>
      <c r="DI241" s="85"/>
      <c r="DJ241" s="85"/>
      <c r="DK241" s="85"/>
      <c r="DL241" s="85"/>
      <c r="DM241" s="85"/>
      <c r="DN241" s="85"/>
      <c r="DO241" s="85"/>
      <c r="DP241" s="85"/>
    </row>
    <row r="242">
      <c r="A242" s="91"/>
      <c r="B242" s="91"/>
      <c r="C242" s="91"/>
      <c r="D242" s="91"/>
      <c r="E242" s="78"/>
      <c r="F242" s="15"/>
      <c r="G242" s="15"/>
      <c r="H242" s="91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92"/>
      <c r="BO242" s="92"/>
      <c r="BP242" s="92"/>
      <c r="BQ242" s="92"/>
      <c r="BR242" s="92"/>
      <c r="BS242" s="92"/>
      <c r="BT242" s="92"/>
      <c r="BU242" s="92"/>
      <c r="BV242" s="92"/>
      <c r="BW242" s="92"/>
      <c r="BX242" s="92"/>
      <c r="BY242" s="92"/>
      <c r="BZ242" s="92"/>
      <c r="CA242" s="92"/>
      <c r="CB242" s="92"/>
      <c r="CC242" s="92"/>
      <c r="CD242" s="92"/>
      <c r="CE242" s="92"/>
      <c r="CF242" s="92"/>
      <c r="CG242" s="92"/>
      <c r="CH242" s="92"/>
      <c r="CI242" s="92"/>
      <c r="CJ242" s="92"/>
      <c r="CK242" s="92"/>
      <c r="CL242" s="92"/>
      <c r="CM242" s="92"/>
      <c r="CN242" s="92"/>
      <c r="CO242" s="92"/>
      <c r="CP242" s="92"/>
      <c r="CQ242" s="92"/>
      <c r="CR242" s="92"/>
      <c r="CS242" s="92"/>
      <c r="CT242" s="92"/>
      <c r="CU242" s="92"/>
      <c r="CV242" s="92"/>
      <c r="CW242" s="92"/>
      <c r="CX242" s="85"/>
      <c r="CY242" s="85"/>
      <c r="CZ242" s="85"/>
      <c r="DA242" s="85"/>
      <c r="DB242" s="85"/>
      <c r="DC242" s="85"/>
      <c r="DD242" s="85"/>
      <c r="DE242" s="85"/>
      <c r="DF242" s="85"/>
      <c r="DG242" s="85"/>
      <c r="DH242" s="85"/>
      <c r="DI242" s="85"/>
      <c r="DJ242" s="85"/>
      <c r="DK242" s="85"/>
      <c r="DL242" s="85"/>
      <c r="DM242" s="85"/>
      <c r="DN242" s="85"/>
      <c r="DO242" s="85"/>
      <c r="DP242" s="85"/>
    </row>
    <row r="243">
      <c r="A243" s="91"/>
      <c r="B243" s="91"/>
      <c r="C243" s="91"/>
      <c r="D243" s="91"/>
      <c r="E243" s="78"/>
      <c r="F243" s="15"/>
      <c r="G243" s="15"/>
      <c r="H243" s="91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92"/>
      <c r="BO243" s="92"/>
      <c r="BP243" s="92"/>
      <c r="BQ243" s="92"/>
      <c r="BR243" s="92"/>
      <c r="BS243" s="92"/>
      <c r="BT243" s="92"/>
      <c r="BU243" s="92"/>
      <c r="BV243" s="92"/>
      <c r="BW243" s="92"/>
      <c r="BX243" s="92"/>
      <c r="BY243" s="92"/>
      <c r="BZ243" s="92"/>
      <c r="CA243" s="92"/>
      <c r="CB243" s="92"/>
      <c r="CC243" s="92"/>
      <c r="CD243" s="92"/>
      <c r="CE243" s="92"/>
      <c r="CF243" s="92"/>
      <c r="CG243" s="92"/>
      <c r="CH243" s="92"/>
      <c r="CI243" s="92"/>
      <c r="CJ243" s="92"/>
      <c r="CK243" s="92"/>
      <c r="CL243" s="92"/>
      <c r="CM243" s="92"/>
      <c r="CN243" s="92"/>
      <c r="CO243" s="92"/>
      <c r="CP243" s="92"/>
      <c r="CQ243" s="92"/>
      <c r="CR243" s="92"/>
      <c r="CS243" s="92"/>
      <c r="CT243" s="92"/>
      <c r="CU243" s="92"/>
      <c r="CV243" s="92"/>
      <c r="CW243" s="92"/>
      <c r="CX243" s="85"/>
      <c r="CY243" s="85"/>
      <c r="CZ243" s="85"/>
      <c r="DA243" s="85"/>
      <c r="DB243" s="85"/>
      <c r="DC243" s="85"/>
      <c r="DD243" s="85"/>
      <c r="DE243" s="85"/>
      <c r="DF243" s="85"/>
      <c r="DG243" s="85"/>
      <c r="DH243" s="85"/>
      <c r="DI243" s="85"/>
      <c r="DJ243" s="85"/>
      <c r="DK243" s="85"/>
      <c r="DL243" s="85"/>
      <c r="DM243" s="85"/>
      <c r="DN243" s="85"/>
      <c r="DO243" s="85"/>
      <c r="DP243" s="85"/>
    </row>
    <row r="244">
      <c r="A244" s="91"/>
      <c r="B244" s="91"/>
      <c r="C244" s="91"/>
      <c r="D244" s="91"/>
      <c r="E244" s="78"/>
      <c r="F244" s="15"/>
      <c r="G244" s="15"/>
      <c r="H244" s="91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92"/>
      <c r="BO244" s="92"/>
      <c r="BP244" s="92"/>
      <c r="BQ244" s="92"/>
      <c r="BR244" s="92"/>
      <c r="BS244" s="92"/>
      <c r="BT244" s="92"/>
      <c r="BU244" s="92"/>
      <c r="BV244" s="92"/>
      <c r="BW244" s="92"/>
      <c r="BX244" s="92"/>
      <c r="BY244" s="92"/>
      <c r="BZ244" s="92"/>
      <c r="CA244" s="92"/>
      <c r="CB244" s="92"/>
      <c r="CC244" s="92"/>
      <c r="CD244" s="92"/>
      <c r="CE244" s="92"/>
      <c r="CF244" s="92"/>
      <c r="CG244" s="92"/>
      <c r="CH244" s="92"/>
      <c r="CI244" s="92"/>
      <c r="CJ244" s="92"/>
      <c r="CK244" s="92"/>
      <c r="CL244" s="92"/>
      <c r="CM244" s="92"/>
      <c r="CN244" s="92"/>
      <c r="CO244" s="92"/>
      <c r="CP244" s="92"/>
      <c r="CQ244" s="92"/>
      <c r="CR244" s="92"/>
      <c r="CS244" s="92"/>
      <c r="CT244" s="92"/>
      <c r="CU244" s="92"/>
      <c r="CV244" s="92"/>
      <c r="CW244" s="92"/>
      <c r="CX244" s="85"/>
      <c r="CY244" s="85"/>
      <c r="CZ244" s="85"/>
      <c r="DA244" s="85"/>
      <c r="DB244" s="85"/>
      <c r="DC244" s="85"/>
      <c r="DD244" s="85"/>
      <c r="DE244" s="85"/>
      <c r="DF244" s="85"/>
      <c r="DG244" s="85"/>
      <c r="DH244" s="85"/>
      <c r="DI244" s="85"/>
      <c r="DJ244" s="85"/>
      <c r="DK244" s="85"/>
      <c r="DL244" s="85"/>
      <c r="DM244" s="85"/>
      <c r="DN244" s="85"/>
      <c r="DO244" s="85"/>
      <c r="DP244" s="85"/>
    </row>
    <row r="245">
      <c r="A245" s="91"/>
      <c r="B245" s="91"/>
      <c r="C245" s="91"/>
      <c r="D245" s="91"/>
      <c r="E245" s="78"/>
      <c r="F245" s="15"/>
      <c r="G245" s="15"/>
      <c r="H245" s="91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92"/>
      <c r="BO245" s="92"/>
      <c r="BP245" s="92"/>
      <c r="BQ245" s="92"/>
      <c r="BR245" s="92"/>
      <c r="BS245" s="92"/>
      <c r="BT245" s="92"/>
      <c r="BU245" s="92"/>
      <c r="BV245" s="92"/>
      <c r="BW245" s="92"/>
      <c r="BX245" s="92"/>
      <c r="BY245" s="92"/>
      <c r="BZ245" s="92"/>
      <c r="CA245" s="92"/>
      <c r="CB245" s="92"/>
      <c r="CC245" s="92"/>
      <c r="CD245" s="92"/>
      <c r="CE245" s="92"/>
      <c r="CF245" s="92"/>
      <c r="CG245" s="92"/>
      <c r="CH245" s="92"/>
      <c r="CI245" s="92"/>
      <c r="CJ245" s="92"/>
      <c r="CK245" s="92"/>
      <c r="CL245" s="92"/>
      <c r="CM245" s="92"/>
      <c r="CN245" s="92"/>
      <c r="CO245" s="92"/>
      <c r="CP245" s="92"/>
      <c r="CQ245" s="92"/>
      <c r="CR245" s="92"/>
      <c r="CS245" s="92"/>
      <c r="CT245" s="92"/>
      <c r="CU245" s="92"/>
      <c r="CV245" s="92"/>
      <c r="CW245" s="92"/>
      <c r="CX245" s="85"/>
      <c r="CY245" s="85"/>
      <c r="CZ245" s="85"/>
      <c r="DA245" s="85"/>
      <c r="DB245" s="85"/>
      <c r="DC245" s="85"/>
      <c r="DD245" s="85"/>
      <c r="DE245" s="85"/>
      <c r="DF245" s="85"/>
      <c r="DG245" s="85"/>
      <c r="DH245" s="85"/>
      <c r="DI245" s="85"/>
      <c r="DJ245" s="85"/>
      <c r="DK245" s="85"/>
      <c r="DL245" s="85"/>
      <c r="DM245" s="85"/>
      <c r="DN245" s="85"/>
      <c r="DO245" s="85"/>
      <c r="DP245" s="85"/>
    </row>
    <row r="246">
      <c r="A246" s="91"/>
      <c r="B246" s="91"/>
      <c r="C246" s="91"/>
      <c r="D246" s="91"/>
      <c r="E246" s="78"/>
      <c r="F246" s="15"/>
      <c r="G246" s="15"/>
      <c r="H246" s="91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92"/>
      <c r="BO246" s="92"/>
      <c r="BP246" s="92"/>
      <c r="BQ246" s="92"/>
      <c r="BR246" s="92"/>
      <c r="BS246" s="92"/>
      <c r="BT246" s="92"/>
      <c r="BU246" s="92"/>
      <c r="BV246" s="92"/>
      <c r="BW246" s="92"/>
      <c r="BX246" s="92"/>
      <c r="BY246" s="92"/>
      <c r="BZ246" s="92"/>
      <c r="CA246" s="92"/>
      <c r="CB246" s="92"/>
      <c r="CC246" s="92"/>
      <c r="CD246" s="92"/>
      <c r="CE246" s="92"/>
      <c r="CF246" s="92"/>
      <c r="CG246" s="92"/>
      <c r="CH246" s="92"/>
      <c r="CI246" s="92"/>
      <c r="CJ246" s="92"/>
      <c r="CK246" s="92"/>
      <c r="CL246" s="92"/>
      <c r="CM246" s="92"/>
      <c r="CN246" s="92"/>
      <c r="CO246" s="92"/>
      <c r="CP246" s="92"/>
      <c r="CQ246" s="92"/>
      <c r="CR246" s="92"/>
      <c r="CS246" s="92"/>
      <c r="CT246" s="92"/>
      <c r="CU246" s="92"/>
      <c r="CV246" s="92"/>
      <c r="CW246" s="92"/>
      <c r="CX246" s="85"/>
      <c r="CY246" s="85"/>
      <c r="CZ246" s="85"/>
      <c r="DA246" s="85"/>
      <c r="DB246" s="85"/>
      <c r="DC246" s="85"/>
      <c r="DD246" s="85"/>
      <c r="DE246" s="85"/>
      <c r="DF246" s="85"/>
      <c r="DG246" s="85"/>
      <c r="DH246" s="85"/>
      <c r="DI246" s="85"/>
      <c r="DJ246" s="85"/>
      <c r="DK246" s="85"/>
      <c r="DL246" s="85"/>
      <c r="DM246" s="85"/>
      <c r="DN246" s="85"/>
      <c r="DO246" s="85"/>
      <c r="DP246" s="85"/>
    </row>
    <row r="247">
      <c r="A247" s="91"/>
      <c r="B247" s="91"/>
      <c r="C247" s="91"/>
      <c r="D247" s="91"/>
      <c r="E247" s="78"/>
      <c r="F247" s="15"/>
      <c r="G247" s="15"/>
      <c r="H247" s="91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92"/>
      <c r="BO247" s="92"/>
      <c r="BP247" s="92"/>
      <c r="BQ247" s="92"/>
      <c r="BR247" s="92"/>
      <c r="BS247" s="92"/>
      <c r="BT247" s="92"/>
      <c r="BU247" s="92"/>
      <c r="BV247" s="92"/>
      <c r="BW247" s="92"/>
      <c r="BX247" s="92"/>
      <c r="BY247" s="92"/>
      <c r="BZ247" s="92"/>
      <c r="CA247" s="92"/>
      <c r="CB247" s="92"/>
      <c r="CC247" s="92"/>
      <c r="CD247" s="92"/>
      <c r="CE247" s="92"/>
      <c r="CF247" s="92"/>
      <c r="CG247" s="92"/>
      <c r="CH247" s="92"/>
      <c r="CI247" s="92"/>
      <c r="CJ247" s="92"/>
      <c r="CK247" s="92"/>
      <c r="CL247" s="92"/>
      <c r="CM247" s="92"/>
      <c r="CN247" s="92"/>
      <c r="CO247" s="92"/>
      <c r="CP247" s="92"/>
      <c r="CQ247" s="92"/>
      <c r="CR247" s="92"/>
      <c r="CS247" s="92"/>
      <c r="CT247" s="92"/>
      <c r="CU247" s="92"/>
      <c r="CV247" s="92"/>
      <c r="CW247" s="92"/>
      <c r="CX247" s="85"/>
      <c r="CY247" s="85"/>
      <c r="CZ247" s="85"/>
      <c r="DA247" s="85"/>
      <c r="DB247" s="85"/>
      <c r="DC247" s="85"/>
      <c r="DD247" s="85"/>
      <c r="DE247" s="85"/>
      <c r="DF247" s="85"/>
      <c r="DG247" s="85"/>
      <c r="DH247" s="85"/>
      <c r="DI247" s="85"/>
      <c r="DJ247" s="85"/>
      <c r="DK247" s="85"/>
      <c r="DL247" s="85"/>
      <c r="DM247" s="85"/>
      <c r="DN247" s="85"/>
      <c r="DO247" s="85"/>
      <c r="DP247" s="85"/>
    </row>
    <row r="248">
      <c r="A248" s="91"/>
      <c r="B248" s="91"/>
      <c r="C248" s="91"/>
      <c r="D248" s="91"/>
      <c r="E248" s="78"/>
      <c r="F248" s="15"/>
      <c r="G248" s="15"/>
      <c r="H248" s="91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92"/>
      <c r="BO248" s="92"/>
      <c r="BP248" s="92"/>
      <c r="BQ248" s="92"/>
      <c r="BR248" s="92"/>
      <c r="BS248" s="92"/>
      <c r="BT248" s="92"/>
      <c r="BU248" s="92"/>
      <c r="BV248" s="92"/>
      <c r="BW248" s="92"/>
      <c r="BX248" s="92"/>
      <c r="BY248" s="92"/>
      <c r="BZ248" s="92"/>
      <c r="CA248" s="92"/>
      <c r="CB248" s="92"/>
      <c r="CC248" s="92"/>
      <c r="CD248" s="92"/>
      <c r="CE248" s="92"/>
      <c r="CF248" s="92"/>
      <c r="CG248" s="92"/>
      <c r="CH248" s="92"/>
      <c r="CI248" s="92"/>
      <c r="CJ248" s="92"/>
      <c r="CK248" s="92"/>
      <c r="CL248" s="92"/>
      <c r="CM248" s="92"/>
      <c r="CN248" s="92"/>
      <c r="CO248" s="92"/>
      <c r="CP248" s="92"/>
      <c r="CQ248" s="92"/>
      <c r="CR248" s="92"/>
      <c r="CS248" s="92"/>
      <c r="CT248" s="92"/>
      <c r="CU248" s="92"/>
      <c r="CV248" s="92"/>
      <c r="CW248" s="92"/>
      <c r="CX248" s="85"/>
      <c r="CY248" s="85"/>
      <c r="CZ248" s="85"/>
      <c r="DA248" s="85"/>
      <c r="DB248" s="85"/>
      <c r="DC248" s="85"/>
      <c r="DD248" s="85"/>
      <c r="DE248" s="85"/>
      <c r="DF248" s="85"/>
      <c r="DG248" s="85"/>
      <c r="DH248" s="85"/>
      <c r="DI248" s="85"/>
      <c r="DJ248" s="85"/>
      <c r="DK248" s="85"/>
      <c r="DL248" s="85"/>
      <c r="DM248" s="85"/>
      <c r="DN248" s="85"/>
      <c r="DO248" s="85"/>
      <c r="DP248" s="85"/>
    </row>
    <row r="249">
      <c r="A249" s="91"/>
      <c r="B249" s="91"/>
      <c r="C249" s="91"/>
      <c r="D249" s="91"/>
      <c r="E249" s="78"/>
      <c r="F249" s="15"/>
      <c r="G249" s="15"/>
      <c r="H249" s="91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92"/>
      <c r="BO249" s="92"/>
      <c r="BP249" s="92"/>
      <c r="BQ249" s="92"/>
      <c r="BR249" s="92"/>
      <c r="BS249" s="92"/>
      <c r="BT249" s="92"/>
      <c r="BU249" s="92"/>
      <c r="BV249" s="92"/>
      <c r="BW249" s="92"/>
      <c r="BX249" s="92"/>
      <c r="BY249" s="92"/>
      <c r="BZ249" s="92"/>
      <c r="CA249" s="92"/>
      <c r="CB249" s="92"/>
      <c r="CC249" s="92"/>
      <c r="CD249" s="92"/>
      <c r="CE249" s="92"/>
      <c r="CF249" s="92"/>
      <c r="CG249" s="92"/>
      <c r="CH249" s="92"/>
      <c r="CI249" s="92"/>
      <c r="CJ249" s="92"/>
      <c r="CK249" s="92"/>
      <c r="CL249" s="92"/>
      <c r="CM249" s="92"/>
      <c r="CN249" s="92"/>
      <c r="CO249" s="92"/>
      <c r="CP249" s="92"/>
      <c r="CQ249" s="92"/>
      <c r="CR249" s="92"/>
      <c r="CS249" s="92"/>
      <c r="CT249" s="92"/>
      <c r="CU249" s="92"/>
      <c r="CV249" s="92"/>
      <c r="CW249" s="92"/>
      <c r="CX249" s="85"/>
      <c r="CY249" s="85"/>
      <c r="CZ249" s="85"/>
      <c r="DA249" s="85"/>
      <c r="DB249" s="85"/>
      <c r="DC249" s="85"/>
      <c r="DD249" s="85"/>
      <c r="DE249" s="85"/>
      <c r="DF249" s="85"/>
      <c r="DG249" s="85"/>
      <c r="DH249" s="85"/>
      <c r="DI249" s="85"/>
      <c r="DJ249" s="85"/>
      <c r="DK249" s="85"/>
      <c r="DL249" s="85"/>
      <c r="DM249" s="85"/>
      <c r="DN249" s="85"/>
      <c r="DO249" s="85"/>
      <c r="DP249" s="85"/>
    </row>
    <row r="250">
      <c r="A250" s="91"/>
      <c r="B250" s="91"/>
      <c r="C250" s="91"/>
      <c r="D250" s="91"/>
      <c r="E250" s="78"/>
      <c r="F250" s="15"/>
      <c r="G250" s="15"/>
      <c r="H250" s="91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92"/>
      <c r="BO250" s="92"/>
      <c r="BP250" s="92"/>
      <c r="BQ250" s="92"/>
      <c r="BR250" s="92"/>
      <c r="BS250" s="92"/>
      <c r="BT250" s="92"/>
      <c r="BU250" s="92"/>
      <c r="BV250" s="92"/>
      <c r="BW250" s="92"/>
      <c r="BX250" s="92"/>
      <c r="BY250" s="92"/>
      <c r="BZ250" s="92"/>
      <c r="CA250" s="92"/>
      <c r="CB250" s="92"/>
      <c r="CC250" s="92"/>
      <c r="CD250" s="92"/>
      <c r="CE250" s="92"/>
      <c r="CF250" s="92"/>
      <c r="CG250" s="92"/>
      <c r="CH250" s="92"/>
      <c r="CI250" s="92"/>
      <c r="CJ250" s="92"/>
      <c r="CK250" s="92"/>
      <c r="CL250" s="92"/>
      <c r="CM250" s="92"/>
      <c r="CN250" s="92"/>
      <c r="CO250" s="92"/>
      <c r="CP250" s="92"/>
      <c r="CQ250" s="92"/>
      <c r="CR250" s="92"/>
      <c r="CS250" s="92"/>
      <c r="CT250" s="92"/>
      <c r="CU250" s="92"/>
      <c r="CV250" s="92"/>
      <c r="CW250" s="92"/>
      <c r="CX250" s="85"/>
      <c r="CY250" s="85"/>
      <c r="CZ250" s="85"/>
      <c r="DA250" s="85"/>
      <c r="DB250" s="85"/>
      <c r="DC250" s="85"/>
      <c r="DD250" s="85"/>
      <c r="DE250" s="85"/>
      <c r="DF250" s="85"/>
      <c r="DG250" s="85"/>
      <c r="DH250" s="85"/>
      <c r="DI250" s="85"/>
      <c r="DJ250" s="85"/>
      <c r="DK250" s="85"/>
      <c r="DL250" s="85"/>
      <c r="DM250" s="85"/>
      <c r="DN250" s="85"/>
      <c r="DO250" s="85"/>
      <c r="DP250" s="85"/>
    </row>
    <row r="251">
      <c r="A251" s="91"/>
      <c r="B251" s="91"/>
      <c r="C251" s="91"/>
      <c r="D251" s="91"/>
      <c r="E251" s="78"/>
      <c r="F251" s="15"/>
      <c r="G251" s="15"/>
      <c r="H251" s="91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92"/>
      <c r="BO251" s="92"/>
      <c r="BP251" s="92"/>
      <c r="BQ251" s="92"/>
      <c r="BR251" s="92"/>
      <c r="BS251" s="92"/>
      <c r="BT251" s="92"/>
      <c r="BU251" s="92"/>
      <c r="BV251" s="92"/>
      <c r="BW251" s="92"/>
      <c r="BX251" s="92"/>
      <c r="BY251" s="92"/>
      <c r="BZ251" s="92"/>
      <c r="CA251" s="92"/>
      <c r="CB251" s="92"/>
      <c r="CC251" s="92"/>
      <c r="CD251" s="92"/>
      <c r="CE251" s="92"/>
      <c r="CF251" s="92"/>
      <c r="CG251" s="92"/>
      <c r="CH251" s="92"/>
      <c r="CI251" s="92"/>
      <c r="CJ251" s="92"/>
      <c r="CK251" s="92"/>
      <c r="CL251" s="92"/>
      <c r="CM251" s="92"/>
      <c r="CN251" s="92"/>
      <c r="CO251" s="92"/>
      <c r="CP251" s="92"/>
      <c r="CQ251" s="92"/>
      <c r="CR251" s="92"/>
      <c r="CS251" s="92"/>
      <c r="CT251" s="92"/>
      <c r="CU251" s="92"/>
      <c r="CV251" s="92"/>
      <c r="CW251" s="92"/>
      <c r="CX251" s="85"/>
      <c r="CY251" s="85"/>
      <c r="CZ251" s="85"/>
      <c r="DA251" s="85"/>
      <c r="DB251" s="85"/>
      <c r="DC251" s="85"/>
      <c r="DD251" s="85"/>
      <c r="DE251" s="85"/>
      <c r="DF251" s="85"/>
      <c r="DG251" s="85"/>
      <c r="DH251" s="85"/>
      <c r="DI251" s="85"/>
      <c r="DJ251" s="85"/>
      <c r="DK251" s="85"/>
      <c r="DL251" s="85"/>
      <c r="DM251" s="85"/>
      <c r="DN251" s="85"/>
      <c r="DO251" s="85"/>
      <c r="DP251" s="85"/>
    </row>
    <row r="252">
      <c r="A252" s="91"/>
      <c r="B252" s="91"/>
      <c r="C252" s="91"/>
      <c r="D252" s="91"/>
      <c r="E252" s="78"/>
      <c r="F252" s="15"/>
      <c r="G252" s="15"/>
      <c r="H252" s="91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92"/>
      <c r="BO252" s="92"/>
      <c r="BP252" s="92"/>
      <c r="BQ252" s="92"/>
      <c r="BR252" s="92"/>
      <c r="BS252" s="92"/>
      <c r="BT252" s="92"/>
      <c r="BU252" s="92"/>
      <c r="BV252" s="92"/>
      <c r="BW252" s="92"/>
      <c r="BX252" s="92"/>
      <c r="BY252" s="92"/>
      <c r="BZ252" s="92"/>
      <c r="CA252" s="92"/>
      <c r="CB252" s="92"/>
      <c r="CC252" s="92"/>
      <c r="CD252" s="92"/>
      <c r="CE252" s="92"/>
      <c r="CF252" s="92"/>
      <c r="CG252" s="92"/>
      <c r="CH252" s="92"/>
      <c r="CI252" s="92"/>
      <c r="CJ252" s="92"/>
      <c r="CK252" s="92"/>
      <c r="CL252" s="92"/>
      <c r="CM252" s="92"/>
      <c r="CN252" s="92"/>
      <c r="CO252" s="92"/>
      <c r="CP252" s="92"/>
      <c r="CQ252" s="92"/>
      <c r="CR252" s="92"/>
      <c r="CS252" s="92"/>
      <c r="CT252" s="92"/>
      <c r="CU252" s="92"/>
      <c r="CV252" s="92"/>
      <c r="CW252" s="92"/>
      <c r="CX252" s="85"/>
      <c r="CY252" s="85"/>
      <c r="CZ252" s="85"/>
      <c r="DA252" s="85"/>
      <c r="DB252" s="85"/>
      <c r="DC252" s="85"/>
      <c r="DD252" s="85"/>
      <c r="DE252" s="85"/>
      <c r="DF252" s="85"/>
      <c r="DG252" s="85"/>
      <c r="DH252" s="85"/>
      <c r="DI252" s="85"/>
      <c r="DJ252" s="85"/>
      <c r="DK252" s="85"/>
      <c r="DL252" s="85"/>
      <c r="DM252" s="85"/>
      <c r="DN252" s="85"/>
      <c r="DO252" s="85"/>
      <c r="DP252" s="85"/>
    </row>
    <row r="253">
      <c r="A253" s="91"/>
      <c r="B253" s="91"/>
      <c r="C253" s="91"/>
      <c r="D253" s="91"/>
      <c r="E253" s="78"/>
      <c r="F253" s="15"/>
      <c r="G253" s="15"/>
      <c r="H253" s="91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92"/>
      <c r="BO253" s="92"/>
      <c r="BP253" s="92"/>
      <c r="BQ253" s="92"/>
      <c r="BR253" s="92"/>
      <c r="BS253" s="92"/>
      <c r="BT253" s="92"/>
      <c r="BU253" s="92"/>
      <c r="BV253" s="92"/>
      <c r="BW253" s="92"/>
      <c r="BX253" s="92"/>
      <c r="BY253" s="92"/>
      <c r="BZ253" s="92"/>
      <c r="CA253" s="92"/>
      <c r="CB253" s="92"/>
      <c r="CC253" s="92"/>
      <c r="CD253" s="92"/>
      <c r="CE253" s="92"/>
      <c r="CF253" s="92"/>
      <c r="CG253" s="92"/>
      <c r="CH253" s="92"/>
      <c r="CI253" s="92"/>
      <c r="CJ253" s="92"/>
      <c r="CK253" s="92"/>
      <c r="CL253" s="92"/>
      <c r="CM253" s="92"/>
      <c r="CN253" s="92"/>
      <c r="CO253" s="92"/>
      <c r="CP253" s="92"/>
      <c r="CQ253" s="92"/>
      <c r="CR253" s="92"/>
      <c r="CS253" s="92"/>
      <c r="CT253" s="92"/>
      <c r="CU253" s="92"/>
      <c r="CV253" s="92"/>
      <c r="CW253" s="92"/>
      <c r="CX253" s="85"/>
      <c r="CY253" s="85"/>
      <c r="CZ253" s="85"/>
      <c r="DA253" s="85"/>
      <c r="DB253" s="85"/>
      <c r="DC253" s="85"/>
      <c r="DD253" s="85"/>
      <c r="DE253" s="85"/>
      <c r="DF253" s="85"/>
      <c r="DG253" s="85"/>
      <c r="DH253" s="85"/>
      <c r="DI253" s="85"/>
      <c r="DJ253" s="85"/>
      <c r="DK253" s="85"/>
      <c r="DL253" s="85"/>
      <c r="DM253" s="85"/>
      <c r="DN253" s="85"/>
      <c r="DO253" s="85"/>
      <c r="DP253" s="85"/>
    </row>
    <row r="254">
      <c r="A254" s="91"/>
      <c r="B254" s="91"/>
      <c r="C254" s="91"/>
      <c r="D254" s="91"/>
      <c r="E254" s="78"/>
      <c r="F254" s="15"/>
      <c r="G254" s="15"/>
      <c r="H254" s="91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92"/>
      <c r="BO254" s="92"/>
      <c r="BP254" s="92"/>
      <c r="BQ254" s="92"/>
      <c r="BR254" s="92"/>
      <c r="BS254" s="92"/>
      <c r="BT254" s="92"/>
      <c r="BU254" s="92"/>
      <c r="BV254" s="92"/>
      <c r="BW254" s="92"/>
      <c r="BX254" s="92"/>
      <c r="BY254" s="92"/>
      <c r="BZ254" s="92"/>
      <c r="CA254" s="92"/>
      <c r="CB254" s="92"/>
      <c r="CC254" s="92"/>
      <c r="CD254" s="92"/>
      <c r="CE254" s="92"/>
      <c r="CF254" s="92"/>
      <c r="CG254" s="92"/>
      <c r="CH254" s="92"/>
      <c r="CI254" s="92"/>
      <c r="CJ254" s="92"/>
      <c r="CK254" s="92"/>
      <c r="CL254" s="92"/>
      <c r="CM254" s="92"/>
      <c r="CN254" s="92"/>
      <c r="CO254" s="92"/>
      <c r="CP254" s="92"/>
      <c r="CQ254" s="92"/>
      <c r="CR254" s="92"/>
      <c r="CS254" s="92"/>
      <c r="CT254" s="92"/>
      <c r="CU254" s="92"/>
      <c r="CV254" s="92"/>
      <c r="CW254" s="92"/>
      <c r="CX254" s="85"/>
      <c r="CY254" s="85"/>
      <c r="CZ254" s="85"/>
      <c r="DA254" s="85"/>
      <c r="DB254" s="85"/>
      <c r="DC254" s="85"/>
      <c r="DD254" s="85"/>
      <c r="DE254" s="85"/>
      <c r="DF254" s="85"/>
      <c r="DG254" s="85"/>
      <c r="DH254" s="85"/>
      <c r="DI254" s="85"/>
      <c r="DJ254" s="85"/>
      <c r="DK254" s="85"/>
      <c r="DL254" s="85"/>
      <c r="DM254" s="85"/>
      <c r="DN254" s="85"/>
      <c r="DO254" s="85"/>
      <c r="DP254" s="85"/>
    </row>
    <row r="255">
      <c r="A255" s="91"/>
      <c r="B255" s="91"/>
      <c r="C255" s="91"/>
      <c r="D255" s="91"/>
      <c r="E255" s="78"/>
      <c r="F255" s="15"/>
      <c r="G255" s="15"/>
      <c r="H255" s="91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92"/>
      <c r="BO255" s="92"/>
      <c r="BP255" s="92"/>
      <c r="BQ255" s="92"/>
      <c r="BR255" s="92"/>
      <c r="BS255" s="92"/>
      <c r="BT255" s="92"/>
      <c r="BU255" s="92"/>
      <c r="BV255" s="92"/>
      <c r="BW255" s="92"/>
      <c r="BX255" s="92"/>
      <c r="BY255" s="92"/>
      <c r="BZ255" s="92"/>
      <c r="CA255" s="92"/>
      <c r="CB255" s="92"/>
      <c r="CC255" s="92"/>
      <c r="CD255" s="92"/>
      <c r="CE255" s="92"/>
      <c r="CF255" s="92"/>
      <c r="CG255" s="92"/>
      <c r="CH255" s="92"/>
      <c r="CI255" s="92"/>
      <c r="CJ255" s="92"/>
      <c r="CK255" s="92"/>
      <c r="CL255" s="92"/>
      <c r="CM255" s="92"/>
      <c r="CN255" s="92"/>
      <c r="CO255" s="92"/>
      <c r="CP255" s="92"/>
      <c r="CQ255" s="92"/>
      <c r="CR255" s="92"/>
      <c r="CS255" s="92"/>
      <c r="CT255" s="92"/>
      <c r="CU255" s="92"/>
      <c r="CV255" s="92"/>
      <c r="CW255" s="92"/>
      <c r="CX255" s="85"/>
      <c r="CY255" s="85"/>
      <c r="CZ255" s="85"/>
      <c r="DA255" s="85"/>
      <c r="DB255" s="85"/>
      <c r="DC255" s="85"/>
      <c r="DD255" s="85"/>
      <c r="DE255" s="85"/>
      <c r="DF255" s="85"/>
      <c r="DG255" s="85"/>
      <c r="DH255" s="85"/>
      <c r="DI255" s="85"/>
      <c r="DJ255" s="85"/>
      <c r="DK255" s="85"/>
      <c r="DL255" s="85"/>
      <c r="DM255" s="85"/>
      <c r="DN255" s="85"/>
      <c r="DO255" s="85"/>
      <c r="DP255" s="85"/>
    </row>
    <row r="256">
      <c r="A256" s="91"/>
      <c r="B256" s="91"/>
      <c r="C256" s="91"/>
      <c r="D256" s="91"/>
      <c r="E256" s="78"/>
      <c r="F256" s="15"/>
      <c r="G256" s="15"/>
      <c r="H256" s="91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92"/>
      <c r="BO256" s="92"/>
      <c r="BP256" s="92"/>
      <c r="BQ256" s="92"/>
      <c r="BR256" s="92"/>
      <c r="BS256" s="92"/>
      <c r="BT256" s="92"/>
      <c r="BU256" s="92"/>
      <c r="BV256" s="92"/>
      <c r="BW256" s="92"/>
      <c r="BX256" s="92"/>
      <c r="BY256" s="92"/>
      <c r="BZ256" s="92"/>
      <c r="CA256" s="92"/>
      <c r="CB256" s="92"/>
      <c r="CC256" s="92"/>
      <c r="CD256" s="92"/>
      <c r="CE256" s="92"/>
      <c r="CF256" s="92"/>
      <c r="CG256" s="92"/>
      <c r="CH256" s="92"/>
      <c r="CI256" s="92"/>
      <c r="CJ256" s="92"/>
      <c r="CK256" s="92"/>
      <c r="CL256" s="92"/>
      <c r="CM256" s="92"/>
      <c r="CN256" s="92"/>
      <c r="CO256" s="92"/>
      <c r="CP256" s="92"/>
      <c r="CQ256" s="92"/>
      <c r="CR256" s="92"/>
      <c r="CS256" s="92"/>
      <c r="CT256" s="92"/>
      <c r="CU256" s="92"/>
      <c r="CV256" s="92"/>
      <c r="CW256" s="92"/>
      <c r="CX256" s="85"/>
      <c r="CY256" s="85"/>
      <c r="CZ256" s="85"/>
      <c r="DA256" s="85"/>
      <c r="DB256" s="85"/>
      <c r="DC256" s="85"/>
      <c r="DD256" s="85"/>
      <c r="DE256" s="85"/>
      <c r="DF256" s="85"/>
      <c r="DG256" s="85"/>
      <c r="DH256" s="85"/>
      <c r="DI256" s="85"/>
      <c r="DJ256" s="85"/>
      <c r="DK256" s="85"/>
      <c r="DL256" s="85"/>
      <c r="DM256" s="85"/>
      <c r="DN256" s="85"/>
      <c r="DO256" s="85"/>
      <c r="DP256" s="85"/>
    </row>
    <row r="257">
      <c r="A257" s="91"/>
      <c r="B257" s="91"/>
      <c r="C257" s="91"/>
      <c r="D257" s="91"/>
      <c r="E257" s="78"/>
      <c r="F257" s="15"/>
      <c r="G257" s="15"/>
      <c r="H257" s="91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92"/>
      <c r="BO257" s="92"/>
      <c r="BP257" s="92"/>
      <c r="BQ257" s="92"/>
      <c r="BR257" s="92"/>
      <c r="BS257" s="92"/>
      <c r="BT257" s="92"/>
      <c r="BU257" s="92"/>
      <c r="BV257" s="92"/>
      <c r="BW257" s="92"/>
      <c r="BX257" s="92"/>
      <c r="BY257" s="92"/>
      <c r="BZ257" s="92"/>
      <c r="CA257" s="92"/>
      <c r="CB257" s="92"/>
      <c r="CC257" s="92"/>
      <c r="CD257" s="92"/>
      <c r="CE257" s="92"/>
      <c r="CF257" s="92"/>
      <c r="CG257" s="92"/>
      <c r="CH257" s="92"/>
      <c r="CI257" s="92"/>
      <c r="CJ257" s="92"/>
      <c r="CK257" s="92"/>
      <c r="CL257" s="92"/>
      <c r="CM257" s="92"/>
      <c r="CN257" s="92"/>
      <c r="CO257" s="92"/>
      <c r="CP257" s="92"/>
      <c r="CQ257" s="92"/>
      <c r="CR257" s="92"/>
      <c r="CS257" s="92"/>
      <c r="CT257" s="92"/>
      <c r="CU257" s="92"/>
      <c r="CV257" s="92"/>
      <c r="CW257" s="92"/>
      <c r="CX257" s="85"/>
      <c r="CY257" s="85"/>
      <c r="CZ257" s="85"/>
      <c r="DA257" s="85"/>
      <c r="DB257" s="85"/>
      <c r="DC257" s="85"/>
      <c r="DD257" s="85"/>
      <c r="DE257" s="85"/>
      <c r="DF257" s="85"/>
      <c r="DG257" s="85"/>
      <c r="DH257" s="85"/>
      <c r="DI257" s="85"/>
      <c r="DJ257" s="85"/>
      <c r="DK257" s="85"/>
      <c r="DL257" s="85"/>
      <c r="DM257" s="85"/>
      <c r="DN257" s="85"/>
      <c r="DO257" s="85"/>
      <c r="DP257" s="85"/>
    </row>
    <row r="258">
      <c r="A258" s="91"/>
      <c r="B258" s="91"/>
      <c r="C258" s="91"/>
      <c r="D258" s="91"/>
      <c r="E258" s="78"/>
      <c r="F258" s="15"/>
      <c r="G258" s="15"/>
      <c r="H258" s="91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92"/>
      <c r="BO258" s="92"/>
      <c r="BP258" s="92"/>
      <c r="BQ258" s="92"/>
      <c r="BR258" s="92"/>
      <c r="BS258" s="92"/>
      <c r="BT258" s="92"/>
      <c r="BU258" s="92"/>
      <c r="BV258" s="92"/>
      <c r="BW258" s="92"/>
      <c r="BX258" s="92"/>
      <c r="BY258" s="92"/>
      <c r="BZ258" s="92"/>
      <c r="CA258" s="92"/>
      <c r="CB258" s="92"/>
      <c r="CC258" s="92"/>
      <c r="CD258" s="92"/>
      <c r="CE258" s="92"/>
      <c r="CF258" s="92"/>
      <c r="CG258" s="92"/>
      <c r="CH258" s="92"/>
      <c r="CI258" s="92"/>
      <c r="CJ258" s="92"/>
      <c r="CK258" s="92"/>
      <c r="CL258" s="92"/>
      <c r="CM258" s="92"/>
      <c r="CN258" s="92"/>
      <c r="CO258" s="92"/>
      <c r="CP258" s="92"/>
      <c r="CQ258" s="92"/>
      <c r="CR258" s="92"/>
      <c r="CS258" s="92"/>
      <c r="CT258" s="92"/>
      <c r="CU258" s="92"/>
      <c r="CV258" s="92"/>
      <c r="CW258" s="92"/>
      <c r="CX258" s="85"/>
      <c r="CY258" s="85"/>
      <c r="CZ258" s="85"/>
      <c r="DA258" s="85"/>
      <c r="DB258" s="85"/>
      <c r="DC258" s="85"/>
      <c r="DD258" s="85"/>
      <c r="DE258" s="85"/>
      <c r="DF258" s="85"/>
      <c r="DG258" s="85"/>
      <c r="DH258" s="85"/>
      <c r="DI258" s="85"/>
      <c r="DJ258" s="85"/>
      <c r="DK258" s="85"/>
      <c r="DL258" s="85"/>
      <c r="DM258" s="85"/>
      <c r="DN258" s="85"/>
      <c r="DO258" s="85"/>
      <c r="DP258" s="85"/>
    </row>
    <row r="259">
      <c r="A259" s="91"/>
      <c r="B259" s="91"/>
      <c r="C259" s="91"/>
      <c r="D259" s="91"/>
      <c r="E259" s="78"/>
      <c r="F259" s="15"/>
      <c r="G259" s="15"/>
      <c r="H259" s="91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92"/>
      <c r="BO259" s="92"/>
      <c r="BP259" s="92"/>
      <c r="BQ259" s="92"/>
      <c r="BR259" s="92"/>
      <c r="BS259" s="92"/>
      <c r="BT259" s="92"/>
      <c r="BU259" s="92"/>
      <c r="BV259" s="92"/>
      <c r="BW259" s="92"/>
      <c r="BX259" s="92"/>
      <c r="BY259" s="92"/>
      <c r="BZ259" s="92"/>
      <c r="CA259" s="92"/>
      <c r="CB259" s="92"/>
      <c r="CC259" s="92"/>
      <c r="CD259" s="92"/>
      <c r="CE259" s="92"/>
      <c r="CF259" s="92"/>
      <c r="CG259" s="92"/>
      <c r="CH259" s="92"/>
      <c r="CI259" s="92"/>
      <c r="CJ259" s="92"/>
      <c r="CK259" s="92"/>
      <c r="CL259" s="92"/>
      <c r="CM259" s="92"/>
      <c r="CN259" s="92"/>
      <c r="CO259" s="92"/>
      <c r="CP259" s="92"/>
      <c r="CQ259" s="92"/>
      <c r="CR259" s="92"/>
      <c r="CS259" s="92"/>
      <c r="CT259" s="92"/>
      <c r="CU259" s="92"/>
      <c r="CV259" s="92"/>
      <c r="CW259" s="92"/>
      <c r="CX259" s="85"/>
      <c r="CY259" s="85"/>
      <c r="CZ259" s="85"/>
      <c r="DA259" s="85"/>
      <c r="DB259" s="85"/>
      <c r="DC259" s="85"/>
      <c r="DD259" s="85"/>
      <c r="DE259" s="85"/>
      <c r="DF259" s="85"/>
      <c r="DG259" s="85"/>
      <c r="DH259" s="85"/>
      <c r="DI259" s="85"/>
      <c r="DJ259" s="85"/>
      <c r="DK259" s="85"/>
      <c r="DL259" s="85"/>
      <c r="DM259" s="85"/>
      <c r="DN259" s="85"/>
      <c r="DO259" s="85"/>
      <c r="DP259" s="85"/>
    </row>
    <row r="260">
      <c r="A260" s="91"/>
      <c r="B260" s="91"/>
      <c r="C260" s="91"/>
      <c r="D260" s="91"/>
      <c r="E260" s="78"/>
      <c r="F260" s="15"/>
      <c r="G260" s="15"/>
      <c r="H260" s="91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92"/>
      <c r="BO260" s="92"/>
      <c r="BP260" s="92"/>
      <c r="BQ260" s="92"/>
      <c r="BR260" s="92"/>
      <c r="BS260" s="92"/>
      <c r="BT260" s="92"/>
      <c r="BU260" s="92"/>
      <c r="BV260" s="92"/>
      <c r="BW260" s="92"/>
      <c r="BX260" s="92"/>
      <c r="BY260" s="92"/>
      <c r="BZ260" s="92"/>
      <c r="CA260" s="92"/>
      <c r="CB260" s="92"/>
      <c r="CC260" s="92"/>
      <c r="CD260" s="92"/>
      <c r="CE260" s="92"/>
      <c r="CF260" s="92"/>
      <c r="CG260" s="92"/>
      <c r="CH260" s="92"/>
      <c r="CI260" s="92"/>
      <c r="CJ260" s="92"/>
      <c r="CK260" s="92"/>
      <c r="CL260" s="92"/>
      <c r="CM260" s="92"/>
      <c r="CN260" s="92"/>
      <c r="CO260" s="92"/>
      <c r="CP260" s="92"/>
      <c r="CQ260" s="92"/>
      <c r="CR260" s="92"/>
      <c r="CS260" s="92"/>
      <c r="CT260" s="92"/>
      <c r="CU260" s="92"/>
      <c r="CV260" s="92"/>
      <c r="CW260" s="92"/>
      <c r="CX260" s="85"/>
      <c r="CY260" s="85"/>
      <c r="CZ260" s="85"/>
      <c r="DA260" s="85"/>
      <c r="DB260" s="85"/>
      <c r="DC260" s="85"/>
      <c r="DD260" s="85"/>
      <c r="DE260" s="85"/>
      <c r="DF260" s="85"/>
      <c r="DG260" s="85"/>
      <c r="DH260" s="85"/>
      <c r="DI260" s="85"/>
      <c r="DJ260" s="85"/>
      <c r="DK260" s="85"/>
      <c r="DL260" s="85"/>
      <c r="DM260" s="85"/>
      <c r="DN260" s="85"/>
      <c r="DO260" s="85"/>
      <c r="DP260" s="85"/>
    </row>
    <row r="261">
      <c r="A261" s="91"/>
      <c r="B261" s="91"/>
      <c r="C261" s="91"/>
      <c r="D261" s="91"/>
      <c r="E261" s="78"/>
      <c r="F261" s="15"/>
      <c r="G261" s="15"/>
      <c r="H261" s="91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92"/>
      <c r="BO261" s="92"/>
      <c r="BP261" s="92"/>
      <c r="BQ261" s="92"/>
      <c r="BR261" s="92"/>
      <c r="BS261" s="92"/>
      <c r="BT261" s="92"/>
      <c r="BU261" s="92"/>
      <c r="BV261" s="92"/>
      <c r="BW261" s="92"/>
      <c r="BX261" s="92"/>
      <c r="BY261" s="92"/>
      <c r="BZ261" s="92"/>
      <c r="CA261" s="92"/>
      <c r="CB261" s="92"/>
      <c r="CC261" s="92"/>
      <c r="CD261" s="92"/>
      <c r="CE261" s="92"/>
      <c r="CF261" s="92"/>
      <c r="CG261" s="92"/>
      <c r="CH261" s="92"/>
      <c r="CI261" s="92"/>
      <c r="CJ261" s="92"/>
      <c r="CK261" s="92"/>
      <c r="CL261" s="92"/>
      <c r="CM261" s="92"/>
      <c r="CN261" s="92"/>
      <c r="CO261" s="92"/>
      <c r="CP261" s="92"/>
      <c r="CQ261" s="92"/>
      <c r="CR261" s="92"/>
      <c r="CS261" s="92"/>
      <c r="CT261" s="92"/>
      <c r="CU261" s="92"/>
      <c r="CV261" s="92"/>
      <c r="CW261" s="92"/>
      <c r="CX261" s="85"/>
      <c r="CY261" s="85"/>
      <c r="CZ261" s="85"/>
      <c r="DA261" s="85"/>
      <c r="DB261" s="85"/>
      <c r="DC261" s="85"/>
      <c r="DD261" s="85"/>
      <c r="DE261" s="85"/>
      <c r="DF261" s="85"/>
      <c r="DG261" s="85"/>
      <c r="DH261" s="85"/>
      <c r="DI261" s="85"/>
      <c r="DJ261" s="85"/>
      <c r="DK261" s="85"/>
      <c r="DL261" s="85"/>
      <c r="DM261" s="85"/>
      <c r="DN261" s="85"/>
      <c r="DO261" s="85"/>
      <c r="DP261" s="85"/>
    </row>
    <row r="262">
      <c r="A262" s="91"/>
      <c r="B262" s="91"/>
      <c r="C262" s="91"/>
      <c r="D262" s="91"/>
      <c r="E262" s="78"/>
      <c r="F262" s="15"/>
      <c r="G262" s="15"/>
      <c r="H262" s="91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92"/>
      <c r="BO262" s="92"/>
      <c r="BP262" s="92"/>
      <c r="BQ262" s="92"/>
      <c r="BR262" s="92"/>
      <c r="BS262" s="92"/>
      <c r="BT262" s="92"/>
      <c r="BU262" s="92"/>
      <c r="BV262" s="92"/>
      <c r="BW262" s="92"/>
      <c r="BX262" s="92"/>
      <c r="BY262" s="92"/>
      <c r="BZ262" s="92"/>
      <c r="CA262" s="92"/>
      <c r="CB262" s="92"/>
      <c r="CC262" s="92"/>
      <c r="CD262" s="92"/>
      <c r="CE262" s="92"/>
      <c r="CF262" s="92"/>
      <c r="CG262" s="92"/>
      <c r="CH262" s="92"/>
      <c r="CI262" s="92"/>
      <c r="CJ262" s="92"/>
      <c r="CK262" s="92"/>
      <c r="CL262" s="92"/>
      <c r="CM262" s="92"/>
      <c r="CN262" s="92"/>
      <c r="CO262" s="92"/>
      <c r="CP262" s="92"/>
      <c r="CQ262" s="92"/>
      <c r="CR262" s="92"/>
      <c r="CS262" s="92"/>
      <c r="CT262" s="92"/>
      <c r="CU262" s="92"/>
      <c r="CV262" s="92"/>
      <c r="CW262" s="92"/>
      <c r="CX262" s="85"/>
      <c r="CY262" s="85"/>
      <c r="CZ262" s="85"/>
      <c r="DA262" s="85"/>
      <c r="DB262" s="85"/>
      <c r="DC262" s="85"/>
      <c r="DD262" s="85"/>
      <c r="DE262" s="85"/>
      <c r="DF262" s="85"/>
      <c r="DG262" s="85"/>
      <c r="DH262" s="85"/>
      <c r="DI262" s="85"/>
      <c r="DJ262" s="85"/>
      <c r="DK262" s="85"/>
      <c r="DL262" s="85"/>
      <c r="DM262" s="85"/>
      <c r="DN262" s="85"/>
      <c r="DO262" s="85"/>
      <c r="DP262" s="85"/>
    </row>
    <row r="263">
      <c r="A263" s="91"/>
      <c r="B263" s="91"/>
      <c r="C263" s="91"/>
      <c r="D263" s="91"/>
      <c r="E263" s="78"/>
      <c r="F263" s="15"/>
      <c r="G263" s="15"/>
      <c r="H263" s="91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92"/>
      <c r="BO263" s="92"/>
      <c r="BP263" s="92"/>
      <c r="BQ263" s="92"/>
      <c r="BR263" s="92"/>
      <c r="BS263" s="92"/>
      <c r="BT263" s="92"/>
      <c r="BU263" s="92"/>
      <c r="BV263" s="92"/>
      <c r="BW263" s="92"/>
      <c r="BX263" s="92"/>
      <c r="BY263" s="92"/>
      <c r="BZ263" s="92"/>
      <c r="CA263" s="92"/>
      <c r="CB263" s="92"/>
      <c r="CC263" s="92"/>
      <c r="CD263" s="92"/>
      <c r="CE263" s="92"/>
      <c r="CF263" s="92"/>
      <c r="CG263" s="92"/>
      <c r="CH263" s="92"/>
      <c r="CI263" s="92"/>
      <c r="CJ263" s="92"/>
      <c r="CK263" s="92"/>
      <c r="CL263" s="92"/>
      <c r="CM263" s="92"/>
      <c r="CN263" s="92"/>
      <c r="CO263" s="92"/>
      <c r="CP263" s="92"/>
      <c r="CQ263" s="92"/>
      <c r="CR263" s="92"/>
      <c r="CS263" s="92"/>
      <c r="CT263" s="92"/>
      <c r="CU263" s="92"/>
      <c r="CV263" s="92"/>
      <c r="CW263" s="92"/>
      <c r="CX263" s="85"/>
      <c r="CY263" s="85"/>
      <c r="CZ263" s="85"/>
      <c r="DA263" s="85"/>
      <c r="DB263" s="85"/>
      <c r="DC263" s="85"/>
      <c r="DD263" s="85"/>
      <c r="DE263" s="85"/>
      <c r="DF263" s="85"/>
      <c r="DG263" s="85"/>
      <c r="DH263" s="85"/>
      <c r="DI263" s="85"/>
      <c r="DJ263" s="85"/>
      <c r="DK263" s="85"/>
      <c r="DL263" s="85"/>
      <c r="DM263" s="85"/>
      <c r="DN263" s="85"/>
      <c r="DO263" s="85"/>
      <c r="DP263" s="85"/>
    </row>
    <row r="264">
      <c r="A264" s="91"/>
      <c r="B264" s="91"/>
      <c r="C264" s="91"/>
      <c r="D264" s="91"/>
      <c r="E264" s="78"/>
      <c r="F264" s="15"/>
      <c r="G264" s="15"/>
      <c r="H264" s="91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92"/>
      <c r="BO264" s="92"/>
      <c r="BP264" s="92"/>
      <c r="BQ264" s="92"/>
      <c r="BR264" s="92"/>
      <c r="BS264" s="92"/>
      <c r="BT264" s="92"/>
      <c r="BU264" s="92"/>
      <c r="BV264" s="92"/>
      <c r="BW264" s="92"/>
      <c r="BX264" s="92"/>
      <c r="BY264" s="92"/>
      <c r="BZ264" s="92"/>
      <c r="CA264" s="92"/>
      <c r="CB264" s="92"/>
      <c r="CC264" s="92"/>
      <c r="CD264" s="92"/>
      <c r="CE264" s="92"/>
      <c r="CF264" s="92"/>
      <c r="CG264" s="92"/>
      <c r="CH264" s="92"/>
      <c r="CI264" s="92"/>
      <c r="CJ264" s="92"/>
      <c r="CK264" s="92"/>
      <c r="CL264" s="92"/>
      <c r="CM264" s="92"/>
      <c r="CN264" s="92"/>
      <c r="CO264" s="92"/>
      <c r="CP264" s="92"/>
      <c r="CQ264" s="92"/>
      <c r="CR264" s="92"/>
      <c r="CS264" s="92"/>
      <c r="CT264" s="92"/>
      <c r="CU264" s="92"/>
      <c r="CV264" s="92"/>
      <c r="CW264" s="92"/>
      <c r="CX264" s="85"/>
      <c r="CY264" s="85"/>
      <c r="CZ264" s="85"/>
      <c r="DA264" s="85"/>
      <c r="DB264" s="85"/>
      <c r="DC264" s="85"/>
      <c r="DD264" s="85"/>
      <c r="DE264" s="85"/>
      <c r="DF264" s="85"/>
      <c r="DG264" s="85"/>
      <c r="DH264" s="85"/>
      <c r="DI264" s="85"/>
      <c r="DJ264" s="85"/>
      <c r="DK264" s="85"/>
      <c r="DL264" s="85"/>
      <c r="DM264" s="85"/>
      <c r="DN264" s="85"/>
      <c r="DO264" s="85"/>
      <c r="DP264" s="85"/>
    </row>
    <row r="265">
      <c r="A265" s="91"/>
      <c r="B265" s="91"/>
      <c r="C265" s="91"/>
      <c r="D265" s="91"/>
      <c r="E265" s="78"/>
      <c r="F265" s="15"/>
      <c r="G265" s="15"/>
      <c r="H265" s="91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92"/>
      <c r="BO265" s="92"/>
      <c r="BP265" s="92"/>
      <c r="BQ265" s="92"/>
      <c r="BR265" s="92"/>
      <c r="BS265" s="92"/>
      <c r="BT265" s="92"/>
      <c r="BU265" s="92"/>
      <c r="BV265" s="92"/>
      <c r="BW265" s="92"/>
      <c r="BX265" s="92"/>
      <c r="BY265" s="92"/>
      <c r="BZ265" s="92"/>
      <c r="CA265" s="92"/>
      <c r="CB265" s="92"/>
      <c r="CC265" s="92"/>
      <c r="CD265" s="92"/>
      <c r="CE265" s="92"/>
      <c r="CF265" s="92"/>
      <c r="CG265" s="92"/>
      <c r="CH265" s="92"/>
      <c r="CI265" s="92"/>
      <c r="CJ265" s="92"/>
      <c r="CK265" s="92"/>
      <c r="CL265" s="92"/>
      <c r="CM265" s="92"/>
      <c r="CN265" s="92"/>
      <c r="CO265" s="92"/>
      <c r="CP265" s="92"/>
      <c r="CQ265" s="92"/>
      <c r="CR265" s="92"/>
      <c r="CS265" s="92"/>
      <c r="CT265" s="92"/>
      <c r="CU265" s="92"/>
      <c r="CV265" s="92"/>
      <c r="CW265" s="92"/>
      <c r="CX265" s="85"/>
      <c r="CY265" s="85"/>
      <c r="CZ265" s="85"/>
      <c r="DA265" s="85"/>
      <c r="DB265" s="85"/>
      <c r="DC265" s="85"/>
      <c r="DD265" s="85"/>
      <c r="DE265" s="85"/>
      <c r="DF265" s="85"/>
      <c r="DG265" s="85"/>
      <c r="DH265" s="85"/>
      <c r="DI265" s="85"/>
      <c r="DJ265" s="85"/>
      <c r="DK265" s="85"/>
      <c r="DL265" s="85"/>
      <c r="DM265" s="85"/>
      <c r="DN265" s="85"/>
      <c r="DO265" s="85"/>
      <c r="DP265" s="85"/>
    </row>
    <row r="266">
      <c r="A266" s="91"/>
      <c r="B266" s="91"/>
      <c r="C266" s="91"/>
      <c r="D266" s="91"/>
      <c r="E266" s="78"/>
      <c r="F266" s="15"/>
      <c r="G266" s="15"/>
      <c r="H266" s="91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92"/>
      <c r="BO266" s="92"/>
      <c r="BP266" s="92"/>
      <c r="BQ266" s="92"/>
      <c r="BR266" s="92"/>
      <c r="BS266" s="92"/>
      <c r="BT266" s="92"/>
      <c r="BU266" s="92"/>
      <c r="BV266" s="92"/>
      <c r="BW266" s="92"/>
      <c r="BX266" s="92"/>
      <c r="BY266" s="92"/>
      <c r="BZ266" s="92"/>
      <c r="CA266" s="92"/>
      <c r="CB266" s="92"/>
      <c r="CC266" s="92"/>
      <c r="CD266" s="92"/>
      <c r="CE266" s="92"/>
      <c r="CF266" s="92"/>
      <c r="CG266" s="92"/>
      <c r="CH266" s="92"/>
      <c r="CI266" s="92"/>
      <c r="CJ266" s="92"/>
      <c r="CK266" s="92"/>
      <c r="CL266" s="92"/>
      <c r="CM266" s="92"/>
      <c r="CN266" s="92"/>
      <c r="CO266" s="92"/>
      <c r="CP266" s="92"/>
      <c r="CQ266" s="92"/>
      <c r="CR266" s="92"/>
      <c r="CS266" s="92"/>
      <c r="CT266" s="92"/>
      <c r="CU266" s="92"/>
      <c r="CV266" s="92"/>
      <c r="CW266" s="92"/>
      <c r="CX266" s="85"/>
      <c r="CY266" s="85"/>
      <c r="CZ266" s="85"/>
      <c r="DA266" s="85"/>
      <c r="DB266" s="85"/>
      <c r="DC266" s="85"/>
      <c r="DD266" s="85"/>
      <c r="DE266" s="85"/>
      <c r="DF266" s="85"/>
      <c r="DG266" s="85"/>
      <c r="DH266" s="85"/>
      <c r="DI266" s="85"/>
      <c r="DJ266" s="85"/>
      <c r="DK266" s="85"/>
      <c r="DL266" s="85"/>
      <c r="DM266" s="85"/>
      <c r="DN266" s="85"/>
      <c r="DO266" s="85"/>
      <c r="DP266" s="85"/>
    </row>
    <row r="267">
      <c r="A267" s="91"/>
      <c r="B267" s="91"/>
      <c r="C267" s="91"/>
      <c r="D267" s="91"/>
      <c r="E267" s="78"/>
      <c r="F267" s="15"/>
      <c r="G267" s="15"/>
      <c r="H267" s="91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92"/>
      <c r="BO267" s="92"/>
      <c r="BP267" s="92"/>
      <c r="BQ267" s="92"/>
      <c r="BR267" s="92"/>
      <c r="BS267" s="92"/>
      <c r="BT267" s="92"/>
      <c r="BU267" s="92"/>
      <c r="BV267" s="92"/>
      <c r="BW267" s="92"/>
      <c r="BX267" s="92"/>
      <c r="BY267" s="92"/>
      <c r="BZ267" s="92"/>
      <c r="CA267" s="92"/>
      <c r="CB267" s="92"/>
      <c r="CC267" s="92"/>
      <c r="CD267" s="92"/>
      <c r="CE267" s="92"/>
      <c r="CF267" s="92"/>
      <c r="CG267" s="92"/>
      <c r="CH267" s="92"/>
      <c r="CI267" s="92"/>
      <c r="CJ267" s="92"/>
      <c r="CK267" s="92"/>
      <c r="CL267" s="92"/>
      <c r="CM267" s="92"/>
      <c r="CN267" s="92"/>
      <c r="CO267" s="92"/>
      <c r="CP267" s="92"/>
      <c r="CQ267" s="92"/>
      <c r="CR267" s="92"/>
      <c r="CS267" s="92"/>
      <c r="CT267" s="92"/>
      <c r="CU267" s="92"/>
      <c r="CV267" s="92"/>
      <c r="CW267" s="92"/>
      <c r="CX267" s="85"/>
      <c r="CY267" s="85"/>
      <c r="CZ267" s="85"/>
      <c r="DA267" s="85"/>
      <c r="DB267" s="85"/>
      <c r="DC267" s="85"/>
      <c r="DD267" s="85"/>
      <c r="DE267" s="85"/>
      <c r="DF267" s="85"/>
      <c r="DG267" s="85"/>
      <c r="DH267" s="85"/>
      <c r="DI267" s="85"/>
      <c r="DJ267" s="85"/>
      <c r="DK267" s="85"/>
      <c r="DL267" s="85"/>
      <c r="DM267" s="85"/>
      <c r="DN267" s="85"/>
      <c r="DO267" s="85"/>
      <c r="DP267" s="85"/>
    </row>
    <row r="268">
      <c r="A268" s="91"/>
      <c r="B268" s="91"/>
      <c r="C268" s="91"/>
      <c r="D268" s="91"/>
      <c r="E268" s="78"/>
      <c r="F268" s="15"/>
      <c r="G268" s="15"/>
      <c r="H268" s="91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92"/>
      <c r="BO268" s="92"/>
      <c r="BP268" s="92"/>
      <c r="BQ268" s="92"/>
      <c r="BR268" s="92"/>
      <c r="BS268" s="92"/>
      <c r="BT268" s="92"/>
      <c r="BU268" s="92"/>
      <c r="BV268" s="92"/>
      <c r="BW268" s="92"/>
      <c r="BX268" s="92"/>
      <c r="BY268" s="92"/>
      <c r="BZ268" s="92"/>
      <c r="CA268" s="92"/>
      <c r="CB268" s="92"/>
      <c r="CC268" s="92"/>
      <c r="CD268" s="92"/>
      <c r="CE268" s="92"/>
      <c r="CF268" s="92"/>
      <c r="CG268" s="92"/>
      <c r="CH268" s="92"/>
      <c r="CI268" s="92"/>
      <c r="CJ268" s="92"/>
      <c r="CK268" s="92"/>
      <c r="CL268" s="92"/>
      <c r="CM268" s="92"/>
      <c r="CN268" s="92"/>
      <c r="CO268" s="92"/>
      <c r="CP268" s="92"/>
      <c r="CQ268" s="92"/>
      <c r="CR268" s="92"/>
      <c r="CS268" s="92"/>
      <c r="CT268" s="92"/>
      <c r="CU268" s="92"/>
      <c r="CV268" s="92"/>
      <c r="CW268" s="92"/>
      <c r="CX268" s="85"/>
      <c r="CY268" s="85"/>
      <c r="CZ268" s="85"/>
      <c r="DA268" s="85"/>
      <c r="DB268" s="85"/>
      <c r="DC268" s="85"/>
      <c r="DD268" s="85"/>
      <c r="DE268" s="85"/>
      <c r="DF268" s="85"/>
      <c r="DG268" s="85"/>
      <c r="DH268" s="85"/>
      <c r="DI268" s="85"/>
      <c r="DJ268" s="85"/>
      <c r="DK268" s="85"/>
      <c r="DL268" s="85"/>
      <c r="DM268" s="85"/>
      <c r="DN268" s="85"/>
      <c r="DO268" s="85"/>
      <c r="DP268" s="85"/>
    </row>
    <row r="269">
      <c r="A269" s="91"/>
      <c r="B269" s="91"/>
      <c r="C269" s="91"/>
      <c r="D269" s="91"/>
      <c r="E269" s="78"/>
      <c r="F269" s="15"/>
      <c r="G269" s="15"/>
      <c r="H269" s="91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92"/>
      <c r="BO269" s="92"/>
      <c r="BP269" s="92"/>
      <c r="BQ269" s="92"/>
      <c r="BR269" s="92"/>
      <c r="BS269" s="92"/>
      <c r="BT269" s="92"/>
      <c r="BU269" s="92"/>
      <c r="BV269" s="92"/>
      <c r="BW269" s="92"/>
      <c r="BX269" s="92"/>
      <c r="BY269" s="92"/>
      <c r="BZ269" s="92"/>
      <c r="CA269" s="92"/>
      <c r="CB269" s="92"/>
      <c r="CC269" s="92"/>
      <c r="CD269" s="92"/>
      <c r="CE269" s="92"/>
      <c r="CF269" s="92"/>
      <c r="CG269" s="92"/>
      <c r="CH269" s="92"/>
      <c r="CI269" s="92"/>
      <c r="CJ269" s="92"/>
      <c r="CK269" s="92"/>
      <c r="CL269" s="92"/>
      <c r="CM269" s="92"/>
      <c r="CN269" s="92"/>
      <c r="CO269" s="92"/>
      <c r="CP269" s="92"/>
      <c r="CQ269" s="92"/>
      <c r="CR269" s="92"/>
      <c r="CS269" s="92"/>
      <c r="CT269" s="92"/>
      <c r="CU269" s="92"/>
      <c r="CV269" s="92"/>
      <c r="CW269" s="92"/>
      <c r="CX269" s="85"/>
      <c r="CY269" s="85"/>
      <c r="CZ269" s="85"/>
      <c r="DA269" s="85"/>
      <c r="DB269" s="85"/>
      <c r="DC269" s="85"/>
      <c r="DD269" s="85"/>
      <c r="DE269" s="85"/>
      <c r="DF269" s="85"/>
      <c r="DG269" s="85"/>
      <c r="DH269" s="85"/>
      <c r="DI269" s="85"/>
      <c r="DJ269" s="85"/>
      <c r="DK269" s="85"/>
      <c r="DL269" s="85"/>
      <c r="DM269" s="85"/>
      <c r="DN269" s="85"/>
      <c r="DO269" s="85"/>
      <c r="DP269" s="85"/>
    </row>
    <row r="270">
      <c r="A270" s="91"/>
      <c r="B270" s="91"/>
      <c r="C270" s="91"/>
      <c r="D270" s="91"/>
      <c r="E270" s="78"/>
      <c r="F270" s="15"/>
      <c r="G270" s="15"/>
      <c r="H270" s="91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92"/>
      <c r="BO270" s="92"/>
      <c r="BP270" s="92"/>
      <c r="BQ270" s="92"/>
      <c r="BR270" s="92"/>
      <c r="BS270" s="92"/>
      <c r="BT270" s="92"/>
      <c r="BU270" s="92"/>
      <c r="BV270" s="92"/>
      <c r="BW270" s="92"/>
      <c r="BX270" s="92"/>
      <c r="BY270" s="92"/>
      <c r="BZ270" s="92"/>
      <c r="CA270" s="92"/>
      <c r="CB270" s="92"/>
      <c r="CC270" s="92"/>
      <c r="CD270" s="92"/>
      <c r="CE270" s="92"/>
      <c r="CF270" s="92"/>
      <c r="CG270" s="92"/>
      <c r="CH270" s="92"/>
      <c r="CI270" s="92"/>
      <c r="CJ270" s="92"/>
      <c r="CK270" s="92"/>
      <c r="CL270" s="92"/>
      <c r="CM270" s="92"/>
      <c r="CN270" s="92"/>
      <c r="CO270" s="92"/>
      <c r="CP270" s="92"/>
      <c r="CQ270" s="92"/>
      <c r="CR270" s="92"/>
      <c r="CS270" s="92"/>
      <c r="CT270" s="92"/>
      <c r="CU270" s="92"/>
      <c r="CV270" s="92"/>
      <c r="CW270" s="92"/>
      <c r="CX270" s="85"/>
      <c r="CY270" s="85"/>
      <c r="CZ270" s="85"/>
      <c r="DA270" s="85"/>
      <c r="DB270" s="85"/>
      <c r="DC270" s="85"/>
      <c r="DD270" s="85"/>
      <c r="DE270" s="85"/>
      <c r="DF270" s="85"/>
      <c r="DG270" s="85"/>
      <c r="DH270" s="85"/>
      <c r="DI270" s="85"/>
      <c r="DJ270" s="85"/>
      <c r="DK270" s="85"/>
      <c r="DL270" s="85"/>
      <c r="DM270" s="85"/>
      <c r="DN270" s="85"/>
      <c r="DO270" s="85"/>
      <c r="DP270" s="85"/>
    </row>
    <row r="271">
      <c r="A271" s="91"/>
      <c r="B271" s="91"/>
      <c r="C271" s="91"/>
      <c r="D271" s="91"/>
      <c r="E271" s="78"/>
      <c r="F271" s="15"/>
      <c r="G271" s="15"/>
      <c r="H271" s="91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92"/>
      <c r="BO271" s="92"/>
      <c r="BP271" s="92"/>
      <c r="BQ271" s="92"/>
      <c r="BR271" s="92"/>
      <c r="BS271" s="92"/>
      <c r="BT271" s="92"/>
      <c r="BU271" s="92"/>
      <c r="BV271" s="92"/>
      <c r="BW271" s="92"/>
      <c r="BX271" s="92"/>
      <c r="BY271" s="92"/>
      <c r="BZ271" s="92"/>
      <c r="CA271" s="92"/>
      <c r="CB271" s="92"/>
      <c r="CC271" s="92"/>
      <c r="CD271" s="92"/>
      <c r="CE271" s="92"/>
      <c r="CF271" s="92"/>
      <c r="CG271" s="92"/>
      <c r="CH271" s="92"/>
      <c r="CI271" s="92"/>
      <c r="CJ271" s="92"/>
      <c r="CK271" s="92"/>
      <c r="CL271" s="92"/>
      <c r="CM271" s="92"/>
      <c r="CN271" s="92"/>
      <c r="CO271" s="92"/>
      <c r="CP271" s="92"/>
      <c r="CQ271" s="92"/>
      <c r="CR271" s="92"/>
      <c r="CS271" s="92"/>
      <c r="CT271" s="92"/>
      <c r="CU271" s="92"/>
      <c r="CV271" s="92"/>
      <c r="CW271" s="92"/>
      <c r="CX271" s="85"/>
      <c r="CY271" s="85"/>
      <c r="CZ271" s="85"/>
      <c r="DA271" s="85"/>
      <c r="DB271" s="85"/>
      <c r="DC271" s="85"/>
      <c r="DD271" s="85"/>
      <c r="DE271" s="85"/>
      <c r="DF271" s="85"/>
      <c r="DG271" s="85"/>
      <c r="DH271" s="85"/>
      <c r="DI271" s="85"/>
      <c r="DJ271" s="85"/>
      <c r="DK271" s="85"/>
      <c r="DL271" s="85"/>
      <c r="DM271" s="85"/>
      <c r="DN271" s="85"/>
      <c r="DO271" s="85"/>
      <c r="DP271" s="85"/>
    </row>
    <row r="272">
      <c r="A272" s="91"/>
      <c r="B272" s="91"/>
      <c r="C272" s="91"/>
      <c r="D272" s="91"/>
      <c r="E272" s="78"/>
      <c r="F272" s="15"/>
      <c r="G272" s="15"/>
      <c r="H272" s="91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92"/>
      <c r="BO272" s="92"/>
      <c r="BP272" s="92"/>
      <c r="BQ272" s="92"/>
      <c r="BR272" s="92"/>
      <c r="BS272" s="92"/>
      <c r="BT272" s="92"/>
      <c r="BU272" s="92"/>
      <c r="BV272" s="92"/>
      <c r="BW272" s="92"/>
      <c r="BX272" s="92"/>
      <c r="BY272" s="92"/>
      <c r="BZ272" s="92"/>
      <c r="CA272" s="92"/>
      <c r="CB272" s="92"/>
      <c r="CC272" s="92"/>
      <c r="CD272" s="92"/>
      <c r="CE272" s="92"/>
      <c r="CF272" s="92"/>
      <c r="CG272" s="92"/>
      <c r="CH272" s="92"/>
      <c r="CI272" s="92"/>
      <c r="CJ272" s="92"/>
      <c r="CK272" s="92"/>
      <c r="CL272" s="92"/>
      <c r="CM272" s="92"/>
      <c r="CN272" s="92"/>
      <c r="CO272" s="92"/>
      <c r="CP272" s="92"/>
      <c r="CQ272" s="92"/>
      <c r="CR272" s="92"/>
      <c r="CS272" s="92"/>
      <c r="CT272" s="92"/>
      <c r="CU272" s="92"/>
      <c r="CV272" s="92"/>
      <c r="CW272" s="92"/>
      <c r="CX272" s="85"/>
      <c r="CY272" s="85"/>
      <c r="CZ272" s="85"/>
      <c r="DA272" s="85"/>
      <c r="DB272" s="85"/>
      <c r="DC272" s="85"/>
      <c r="DD272" s="85"/>
      <c r="DE272" s="85"/>
      <c r="DF272" s="85"/>
      <c r="DG272" s="85"/>
      <c r="DH272" s="85"/>
      <c r="DI272" s="85"/>
      <c r="DJ272" s="85"/>
      <c r="DK272" s="85"/>
      <c r="DL272" s="85"/>
      <c r="DM272" s="85"/>
      <c r="DN272" s="85"/>
      <c r="DO272" s="85"/>
      <c r="DP272" s="85"/>
    </row>
    <row r="273">
      <c r="A273" s="91"/>
      <c r="B273" s="91"/>
      <c r="C273" s="91"/>
      <c r="D273" s="91"/>
      <c r="E273" s="78"/>
      <c r="F273" s="15"/>
      <c r="G273" s="15"/>
      <c r="H273" s="91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92"/>
      <c r="BO273" s="92"/>
      <c r="BP273" s="92"/>
      <c r="BQ273" s="92"/>
      <c r="BR273" s="92"/>
      <c r="BS273" s="92"/>
      <c r="BT273" s="92"/>
      <c r="BU273" s="92"/>
      <c r="BV273" s="92"/>
      <c r="BW273" s="92"/>
      <c r="BX273" s="92"/>
      <c r="BY273" s="92"/>
      <c r="BZ273" s="92"/>
      <c r="CA273" s="92"/>
      <c r="CB273" s="92"/>
      <c r="CC273" s="92"/>
      <c r="CD273" s="92"/>
      <c r="CE273" s="92"/>
      <c r="CF273" s="92"/>
      <c r="CG273" s="92"/>
      <c r="CH273" s="92"/>
      <c r="CI273" s="92"/>
      <c r="CJ273" s="92"/>
      <c r="CK273" s="92"/>
      <c r="CL273" s="92"/>
      <c r="CM273" s="92"/>
      <c r="CN273" s="92"/>
      <c r="CO273" s="92"/>
      <c r="CP273" s="92"/>
      <c r="CQ273" s="92"/>
      <c r="CR273" s="92"/>
      <c r="CS273" s="92"/>
      <c r="CT273" s="92"/>
      <c r="CU273" s="92"/>
      <c r="CV273" s="92"/>
      <c r="CW273" s="92"/>
      <c r="CX273" s="85"/>
      <c r="CY273" s="85"/>
      <c r="CZ273" s="85"/>
      <c r="DA273" s="85"/>
      <c r="DB273" s="85"/>
      <c r="DC273" s="85"/>
      <c r="DD273" s="85"/>
      <c r="DE273" s="85"/>
      <c r="DF273" s="85"/>
      <c r="DG273" s="85"/>
      <c r="DH273" s="85"/>
      <c r="DI273" s="85"/>
      <c r="DJ273" s="85"/>
      <c r="DK273" s="85"/>
      <c r="DL273" s="85"/>
      <c r="DM273" s="85"/>
      <c r="DN273" s="85"/>
      <c r="DO273" s="85"/>
      <c r="DP273" s="85"/>
    </row>
    <row r="274">
      <c r="A274" s="91"/>
      <c r="B274" s="91"/>
      <c r="C274" s="91"/>
      <c r="D274" s="91"/>
      <c r="E274" s="78"/>
      <c r="F274" s="15"/>
      <c r="G274" s="15"/>
      <c r="H274" s="91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92"/>
      <c r="BO274" s="92"/>
      <c r="BP274" s="92"/>
      <c r="BQ274" s="92"/>
      <c r="BR274" s="92"/>
      <c r="BS274" s="92"/>
      <c r="BT274" s="92"/>
      <c r="BU274" s="92"/>
      <c r="BV274" s="92"/>
      <c r="BW274" s="92"/>
      <c r="BX274" s="92"/>
      <c r="BY274" s="92"/>
      <c r="BZ274" s="92"/>
      <c r="CA274" s="92"/>
      <c r="CB274" s="92"/>
      <c r="CC274" s="92"/>
      <c r="CD274" s="92"/>
      <c r="CE274" s="92"/>
      <c r="CF274" s="92"/>
      <c r="CG274" s="92"/>
      <c r="CH274" s="92"/>
      <c r="CI274" s="92"/>
      <c r="CJ274" s="92"/>
      <c r="CK274" s="92"/>
      <c r="CL274" s="92"/>
      <c r="CM274" s="92"/>
      <c r="CN274" s="92"/>
      <c r="CO274" s="92"/>
      <c r="CP274" s="92"/>
      <c r="CQ274" s="92"/>
      <c r="CR274" s="92"/>
      <c r="CS274" s="92"/>
      <c r="CT274" s="92"/>
      <c r="CU274" s="92"/>
      <c r="CV274" s="92"/>
      <c r="CW274" s="92"/>
      <c r="CX274" s="85"/>
      <c r="CY274" s="85"/>
      <c r="CZ274" s="85"/>
      <c r="DA274" s="85"/>
      <c r="DB274" s="85"/>
      <c r="DC274" s="85"/>
      <c r="DD274" s="85"/>
      <c r="DE274" s="85"/>
      <c r="DF274" s="85"/>
      <c r="DG274" s="85"/>
      <c r="DH274" s="85"/>
      <c r="DI274" s="85"/>
      <c r="DJ274" s="85"/>
      <c r="DK274" s="85"/>
      <c r="DL274" s="85"/>
      <c r="DM274" s="85"/>
      <c r="DN274" s="85"/>
      <c r="DO274" s="85"/>
      <c r="DP274" s="85"/>
    </row>
    <row r="275">
      <c r="A275" s="91"/>
      <c r="B275" s="91"/>
      <c r="C275" s="91"/>
      <c r="D275" s="91"/>
      <c r="E275" s="78"/>
      <c r="F275" s="15"/>
      <c r="G275" s="15"/>
      <c r="H275" s="91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92"/>
      <c r="BO275" s="92"/>
      <c r="BP275" s="92"/>
      <c r="BQ275" s="92"/>
      <c r="BR275" s="92"/>
      <c r="BS275" s="92"/>
      <c r="BT275" s="92"/>
      <c r="BU275" s="92"/>
      <c r="BV275" s="92"/>
      <c r="BW275" s="92"/>
      <c r="BX275" s="92"/>
      <c r="BY275" s="92"/>
      <c r="BZ275" s="92"/>
      <c r="CA275" s="92"/>
      <c r="CB275" s="92"/>
      <c r="CC275" s="92"/>
      <c r="CD275" s="92"/>
      <c r="CE275" s="92"/>
      <c r="CF275" s="92"/>
      <c r="CG275" s="92"/>
      <c r="CH275" s="92"/>
      <c r="CI275" s="92"/>
      <c r="CJ275" s="92"/>
      <c r="CK275" s="92"/>
      <c r="CL275" s="92"/>
      <c r="CM275" s="92"/>
      <c r="CN275" s="92"/>
      <c r="CO275" s="92"/>
      <c r="CP275" s="92"/>
      <c r="CQ275" s="92"/>
      <c r="CR275" s="92"/>
      <c r="CS275" s="92"/>
      <c r="CT275" s="92"/>
      <c r="CU275" s="92"/>
      <c r="CV275" s="92"/>
      <c r="CW275" s="92"/>
      <c r="CX275" s="85"/>
      <c r="CY275" s="85"/>
      <c r="CZ275" s="85"/>
      <c r="DA275" s="85"/>
      <c r="DB275" s="85"/>
      <c r="DC275" s="85"/>
      <c r="DD275" s="85"/>
      <c r="DE275" s="85"/>
      <c r="DF275" s="85"/>
      <c r="DG275" s="85"/>
      <c r="DH275" s="85"/>
      <c r="DI275" s="85"/>
      <c r="DJ275" s="85"/>
      <c r="DK275" s="85"/>
      <c r="DL275" s="85"/>
      <c r="DM275" s="85"/>
      <c r="DN275" s="85"/>
      <c r="DO275" s="85"/>
      <c r="DP275" s="85"/>
    </row>
    <row r="276">
      <c r="A276" s="91"/>
      <c r="B276" s="91"/>
      <c r="C276" s="91"/>
      <c r="D276" s="91"/>
      <c r="E276" s="78"/>
      <c r="F276" s="15"/>
      <c r="G276" s="15"/>
      <c r="H276" s="91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92"/>
      <c r="BO276" s="92"/>
      <c r="BP276" s="92"/>
      <c r="BQ276" s="92"/>
      <c r="BR276" s="92"/>
      <c r="BS276" s="92"/>
      <c r="BT276" s="92"/>
      <c r="BU276" s="92"/>
      <c r="BV276" s="92"/>
      <c r="BW276" s="92"/>
      <c r="BX276" s="92"/>
      <c r="BY276" s="92"/>
      <c r="BZ276" s="92"/>
      <c r="CA276" s="92"/>
      <c r="CB276" s="92"/>
      <c r="CC276" s="92"/>
      <c r="CD276" s="92"/>
      <c r="CE276" s="92"/>
      <c r="CF276" s="92"/>
      <c r="CG276" s="92"/>
      <c r="CH276" s="92"/>
      <c r="CI276" s="92"/>
      <c r="CJ276" s="92"/>
      <c r="CK276" s="92"/>
      <c r="CL276" s="92"/>
      <c r="CM276" s="92"/>
      <c r="CN276" s="92"/>
      <c r="CO276" s="92"/>
      <c r="CP276" s="92"/>
      <c r="CQ276" s="92"/>
      <c r="CR276" s="92"/>
      <c r="CS276" s="92"/>
      <c r="CT276" s="92"/>
      <c r="CU276" s="92"/>
      <c r="CV276" s="92"/>
      <c r="CW276" s="92"/>
      <c r="CX276" s="85"/>
      <c r="CY276" s="85"/>
      <c r="CZ276" s="85"/>
      <c r="DA276" s="85"/>
      <c r="DB276" s="85"/>
      <c r="DC276" s="85"/>
      <c r="DD276" s="85"/>
      <c r="DE276" s="85"/>
      <c r="DF276" s="85"/>
      <c r="DG276" s="85"/>
      <c r="DH276" s="85"/>
      <c r="DI276" s="85"/>
      <c r="DJ276" s="85"/>
      <c r="DK276" s="85"/>
      <c r="DL276" s="85"/>
      <c r="DM276" s="85"/>
      <c r="DN276" s="85"/>
      <c r="DO276" s="85"/>
      <c r="DP276" s="85"/>
    </row>
    <row r="277">
      <c r="A277" s="91"/>
      <c r="B277" s="91"/>
      <c r="C277" s="91"/>
      <c r="D277" s="91"/>
      <c r="E277" s="78"/>
      <c r="F277" s="15"/>
      <c r="G277" s="15"/>
      <c r="H277" s="91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92"/>
      <c r="BO277" s="92"/>
      <c r="BP277" s="92"/>
      <c r="BQ277" s="92"/>
      <c r="BR277" s="92"/>
      <c r="BS277" s="92"/>
      <c r="BT277" s="92"/>
      <c r="BU277" s="92"/>
      <c r="BV277" s="92"/>
      <c r="BW277" s="92"/>
      <c r="BX277" s="92"/>
      <c r="BY277" s="92"/>
      <c r="BZ277" s="92"/>
      <c r="CA277" s="92"/>
      <c r="CB277" s="92"/>
      <c r="CC277" s="92"/>
      <c r="CD277" s="92"/>
      <c r="CE277" s="92"/>
      <c r="CF277" s="92"/>
      <c r="CG277" s="92"/>
      <c r="CH277" s="92"/>
      <c r="CI277" s="92"/>
      <c r="CJ277" s="92"/>
      <c r="CK277" s="92"/>
      <c r="CL277" s="92"/>
      <c r="CM277" s="92"/>
      <c r="CN277" s="92"/>
      <c r="CO277" s="92"/>
      <c r="CP277" s="92"/>
      <c r="CQ277" s="92"/>
      <c r="CR277" s="92"/>
      <c r="CS277" s="92"/>
      <c r="CT277" s="92"/>
      <c r="CU277" s="92"/>
      <c r="CV277" s="92"/>
      <c r="CW277" s="92"/>
      <c r="CX277" s="85"/>
      <c r="CY277" s="85"/>
      <c r="CZ277" s="85"/>
      <c r="DA277" s="85"/>
      <c r="DB277" s="85"/>
      <c r="DC277" s="85"/>
      <c r="DD277" s="85"/>
      <c r="DE277" s="85"/>
      <c r="DF277" s="85"/>
      <c r="DG277" s="85"/>
      <c r="DH277" s="85"/>
      <c r="DI277" s="85"/>
      <c r="DJ277" s="85"/>
      <c r="DK277" s="85"/>
      <c r="DL277" s="85"/>
      <c r="DM277" s="85"/>
      <c r="DN277" s="85"/>
      <c r="DO277" s="85"/>
      <c r="DP277" s="85"/>
    </row>
    <row r="278">
      <c r="A278" s="91"/>
      <c r="B278" s="91"/>
      <c r="C278" s="91"/>
      <c r="D278" s="91"/>
      <c r="E278" s="78"/>
      <c r="F278" s="15"/>
      <c r="G278" s="15"/>
      <c r="H278" s="91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92"/>
      <c r="BO278" s="92"/>
      <c r="BP278" s="92"/>
      <c r="BQ278" s="92"/>
      <c r="BR278" s="92"/>
      <c r="BS278" s="92"/>
      <c r="BT278" s="92"/>
      <c r="BU278" s="92"/>
      <c r="BV278" s="92"/>
      <c r="BW278" s="92"/>
      <c r="BX278" s="92"/>
      <c r="BY278" s="92"/>
      <c r="BZ278" s="92"/>
      <c r="CA278" s="92"/>
      <c r="CB278" s="92"/>
      <c r="CC278" s="92"/>
      <c r="CD278" s="92"/>
      <c r="CE278" s="92"/>
      <c r="CF278" s="92"/>
      <c r="CG278" s="92"/>
      <c r="CH278" s="92"/>
      <c r="CI278" s="92"/>
      <c r="CJ278" s="92"/>
      <c r="CK278" s="92"/>
      <c r="CL278" s="92"/>
      <c r="CM278" s="92"/>
      <c r="CN278" s="92"/>
      <c r="CO278" s="92"/>
      <c r="CP278" s="92"/>
      <c r="CQ278" s="92"/>
      <c r="CR278" s="92"/>
      <c r="CS278" s="92"/>
      <c r="CT278" s="92"/>
      <c r="CU278" s="92"/>
      <c r="CV278" s="92"/>
      <c r="CW278" s="92"/>
      <c r="CX278" s="85"/>
      <c r="CY278" s="85"/>
      <c r="CZ278" s="85"/>
      <c r="DA278" s="85"/>
      <c r="DB278" s="85"/>
      <c r="DC278" s="85"/>
      <c r="DD278" s="85"/>
      <c r="DE278" s="85"/>
      <c r="DF278" s="85"/>
      <c r="DG278" s="85"/>
      <c r="DH278" s="85"/>
      <c r="DI278" s="85"/>
      <c r="DJ278" s="85"/>
      <c r="DK278" s="85"/>
      <c r="DL278" s="85"/>
      <c r="DM278" s="85"/>
      <c r="DN278" s="85"/>
      <c r="DO278" s="85"/>
      <c r="DP278" s="85"/>
    </row>
    <row r="279">
      <c r="A279" s="91"/>
      <c r="B279" s="91"/>
      <c r="C279" s="91"/>
      <c r="D279" s="91"/>
      <c r="E279" s="78"/>
      <c r="F279" s="15"/>
      <c r="G279" s="15"/>
      <c r="H279" s="91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92"/>
      <c r="BO279" s="92"/>
      <c r="BP279" s="92"/>
      <c r="BQ279" s="92"/>
      <c r="BR279" s="92"/>
      <c r="BS279" s="92"/>
      <c r="BT279" s="92"/>
      <c r="BU279" s="92"/>
      <c r="BV279" s="92"/>
      <c r="BW279" s="92"/>
      <c r="BX279" s="92"/>
      <c r="BY279" s="92"/>
      <c r="BZ279" s="92"/>
      <c r="CA279" s="92"/>
      <c r="CB279" s="92"/>
      <c r="CC279" s="92"/>
      <c r="CD279" s="92"/>
      <c r="CE279" s="92"/>
      <c r="CF279" s="92"/>
      <c r="CG279" s="92"/>
      <c r="CH279" s="92"/>
      <c r="CI279" s="92"/>
      <c r="CJ279" s="92"/>
      <c r="CK279" s="92"/>
      <c r="CL279" s="92"/>
      <c r="CM279" s="92"/>
      <c r="CN279" s="92"/>
      <c r="CO279" s="92"/>
      <c r="CP279" s="92"/>
      <c r="CQ279" s="92"/>
      <c r="CR279" s="92"/>
      <c r="CS279" s="92"/>
      <c r="CT279" s="92"/>
      <c r="CU279" s="92"/>
      <c r="CV279" s="92"/>
      <c r="CW279" s="92"/>
      <c r="CX279" s="85"/>
      <c r="CY279" s="85"/>
      <c r="CZ279" s="85"/>
      <c r="DA279" s="85"/>
      <c r="DB279" s="85"/>
      <c r="DC279" s="85"/>
      <c r="DD279" s="85"/>
      <c r="DE279" s="85"/>
      <c r="DF279" s="85"/>
      <c r="DG279" s="85"/>
      <c r="DH279" s="85"/>
      <c r="DI279" s="85"/>
      <c r="DJ279" s="85"/>
      <c r="DK279" s="85"/>
      <c r="DL279" s="85"/>
      <c r="DM279" s="85"/>
      <c r="DN279" s="85"/>
      <c r="DO279" s="85"/>
      <c r="DP279" s="85"/>
    </row>
    <row r="280">
      <c r="A280" s="91"/>
      <c r="B280" s="91"/>
      <c r="C280" s="91"/>
      <c r="D280" s="91"/>
      <c r="E280" s="78"/>
      <c r="F280" s="15"/>
      <c r="G280" s="15"/>
      <c r="H280" s="91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92"/>
      <c r="BO280" s="92"/>
      <c r="BP280" s="92"/>
      <c r="BQ280" s="92"/>
      <c r="BR280" s="92"/>
      <c r="BS280" s="92"/>
      <c r="BT280" s="92"/>
      <c r="BU280" s="92"/>
      <c r="BV280" s="92"/>
      <c r="BW280" s="92"/>
      <c r="BX280" s="92"/>
      <c r="BY280" s="92"/>
      <c r="BZ280" s="92"/>
      <c r="CA280" s="92"/>
      <c r="CB280" s="92"/>
      <c r="CC280" s="92"/>
      <c r="CD280" s="92"/>
      <c r="CE280" s="92"/>
      <c r="CF280" s="92"/>
      <c r="CG280" s="92"/>
      <c r="CH280" s="92"/>
      <c r="CI280" s="92"/>
      <c r="CJ280" s="92"/>
      <c r="CK280" s="92"/>
      <c r="CL280" s="92"/>
      <c r="CM280" s="92"/>
      <c r="CN280" s="92"/>
      <c r="CO280" s="92"/>
      <c r="CP280" s="92"/>
      <c r="CQ280" s="92"/>
      <c r="CR280" s="92"/>
      <c r="CS280" s="92"/>
      <c r="CT280" s="92"/>
      <c r="CU280" s="92"/>
      <c r="CV280" s="92"/>
      <c r="CW280" s="92"/>
      <c r="CX280" s="85"/>
      <c r="CY280" s="85"/>
      <c r="CZ280" s="85"/>
      <c r="DA280" s="85"/>
      <c r="DB280" s="85"/>
      <c r="DC280" s="85"/>
      <c r="DD280" s="85"/>
      <c r="DE280" s="85"/>
      <c r="DF280" s="85"/>
      <c r="DG280" s="85"/>
      <c r="DH280" s="85"/>
      <c r="DI280" s="85"/>
      <c r="DJ280" s="85"/>
      <c r="DK280" s="85"/>
      <c r="DL280" s="85"/>
      <c r="DM280" s="85"/>
      <c r="DN280" s="85"/>
      <c r="DO280" s="85"/>
      <c r="DP280" s="85"/>
    </row>
    <row r="281">
      <c r="A281" s="91"/>
      <c r="B281" s="91"/>
      <c r="C281" s="91"/>
      <c r="D281" s="91"/>
      <c r="E281" s="78"/>
      <c r="F281" s="15"/>
      <c r="G281" s="15"/>
      <c r="H281" s="91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92"/>
      <c r="BO281" s="92"/>
      <c r="BP281" s="92"/>
      <c r="BQ281" s="92"/>
      <c r="BR281" s="92"/>
      <c r="BS281" s="92"/>
      <c r="BT281" s="92"/>
      <c r="BU281" s="92"/>
      <c r="BV281" s="92"/>
      <c r="BW281" s="92"/>
      <c r="BX281" s="92"/>
      <c r="BY281" s="92"/>
      <c r="BZ281" s="92"/>
      <c r="CA281" s="92"/>
      <c r="CB281" s="92"/>
      <c r="CC281" s="92"/>
      <c r="CD281" s="92"/>
      <c r="CE281" s="92"/>
      <c r="CF281" s="92"/>
      <c r="CG281" s="92"/>
      <c r="CH281" s="92"/>
      <c r="CI281" s="92"/>
      <c r="CJ281" s="92"/>
      <c r="CK281" s="92"/>
      <c r="CL281" s="92"/>
      <c r="CM281" s="92"/>
      <c r="CN281" s="92"/>
      <c r="CO281" s="92"/>
      <c r="CP281" s="92"/>
      <c r="CQ281" s="92"/>
      <c r="CR281" s="92"/>
      <c r="CS281" s="92"/>
      <c r="CT281" s="92"/>
      <c r="CU281" s="92"/>
      <c r="CV281" s="92"/>
      <c r="CW281" s="92"/>
      <c r="CX281" s="85"/>
      <c r="CY281" s="85"/>
      <c r="CZ281" s="85"/>
      <c r="DA281" s="85"/>
      <c r="DB281" s="85"/>
      <c r="DC281" s="85"/>
      <c r="DD281" s="85"/>
      <c r="DE281" s="85"/>
      <c r="DF281" s="85"/>
      <c r="DG281" s="85"/>
      <c r="DH281" s="85"/>
      <c r="DI281" s="85"/>
      <c r="DJ281" s="85"/>
      <c r="DK281" s="85"/>
      <c r="DL281" s="85"/>
      <c r="DM281" s="85"/>
      <c r="DN281" s="85"/>
      <c r="DO281" s="85"/>
      <c r="DP281" s="85"/>
    </row>
    <row r="282">
      <c r="A282" s="91"/>
      <c r="B282" s="91"/>
      <c r="C282" s="91"/>
      <c r="D282" s="91"/>
      <c r="E282" s="78"/>
      <c r="F282" s="15"/>
      <c r="G282" s="15"/>
      <c r="H282" s="91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92"/>
      <c r="BO282" s="92"/>
      <c r="BP282" s="92"/>
      <c r="BQ282" s="92"/>
      <c r="BR282" s="92"/>
      <c r="BS282" s="92"/>
      <c r="BT282" s="92"/>
      <c r="BU282" s="92"/>
      <c r="BV282" s="92"/>
      <c r="BW282" s="92"/>
      <c r="BX282" s="92"/>
      <c r="BY282" s="92"/>
      <c r="BZ282" s="92"/>
      <c r="CA282" s="92"/>
      <c r="CB282" s="92"/>
      <c r="CC282" s="92"/>
      <c r="CD282" s="92"/>
      <c r="CE282" s="92"/>
      <c r="CF282" s="92"/>
      <c r="CG282" s="92"/>
      <c r="CH282" s="92"/>
      <c r="CI282" s="92"/>
      <c r="CJ282" s="92"/>
      <c r="CK282" s="92"/>
      <c r="CL282" s="92"/>
      <c r="CM282" s="92"/>
      <c r="CN282" s="92"/>
      <c r="CO282" s="92"/>
      <c r="CP282" s="92"/>
      <c r="CQ282" s="92"/>
      <c r="CR282" s="92"/>
      <c r="CS282" s="92"/>
      <c r="CT282" s="92"/>
      <c r="CU282" s="92"/>
      <c r="CV282" s="92"/>
      <c r="CW282" s="92"/>
      <c r="CX282" s="85"/>
      <c r="CY282" s="85"/>
      <c r="CZ282" s="85"/>
      <c r="DA282" s="85"/>
      <c r="DB282" s="85"/>
      <c r="DC282" s="85"/>
      <c r="DD282" s="85"/>
      <c r="DE282" s="85"/>
      <c r="DF282" s="85"/>
      <c r="DG282" s="85"/>
      <c r="DH282" s="85"/>
      <c r="DI282" s="85"/>
      <c r="DJ282" s="85"/>
      <c r="DK282" s="85"/>
      <c r="DL282" s="85"/>
      <c r="DM282" s="85"/>
      <c r="DN282" s="85"/>
      <c r="DO282" s="85"/>
      <c r="DP282" s="85"/>
    </row>
    <row r="283">
      <c r="A283" s="91"/>
      <c r="B283" s="91"/>
      <c r="C283" s="91"/>
      <c r="D283" s="91"/>
      <c r="E283" s="78"/>
      <c r="F283" s="15"/>
      <c r="G283" s="15"/>
      <c r="H283" s="91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92"/>
      <c r="BO283" s="92"/>
      <c r="BP283" s="92"/>
      <c r="BQ283" s="92"/>
      <c r="BR283" s="92"/>
      <c r="BS283" s="92"/>
      <c r="BT283" s="92"/>
      <c r="BU283" s="92"/>
      <c r="BV283" s="92"/>
      <c r="BW283" s="92"/>
      <c r="BX283" s="92"/>
      <c r="BY283" s="92"/>
      <c r="BZ283" s="92"/>
      <c r="CA283" s="92"/>
      <c r="CB283" s="92"/>
      <c r="CC283" s="92"/>
      <c r="CD283" s="92"/>
      <c r="CE283" s="92"/>
      <c r="CF283" s="92"/>
      <c r="CG283" s="92"/>
      <c r="CH283" s="92"/>
      <c r="CI283" s="92"/>
      <c r="CJ283" s="92"/>
      <c r="CK283" s="92"/>
      <c r="CL283" s="92"/>
      <c r="CM283" s="92"/>
      <c r="CN283" s="92"/>
      <c r="CO283" s="92"/>
      <c r="CP283" s="92"/>
      <c r="CQ283" s="92"/>
      <c r="CR283" s="92"/>
      <c r="CS283" s="92"/>
      <c r="CT283" s="92"/>
      <c r="CU283" s="92"/>
      <c r="CV283" s="92"/>
      <c r="CW283" s="92"/>
      <c r="CX283" s="85"/>
      <c r="CY283" s="85"/>
      <c r="CZ283" s="85"/>
      <c r="DA283" s="85"/>
      <c r="DB283" s="85"/>
      <c r="DC283" s="85"/>
      <c r="DD283" s="85"/>
      <c r="DE283" s="85"/>
      <c r="DF283" s="85"/>
      <c r="DG283" s="85"/>
      <c r="DH283" s="85"/>
      <c r="DI283" s="85"/>
      <c r="DJ283" s="85"/>
      <c r="DK283" s="85"/>
      <c r="DL283" s="85"/>
      <c r="DM283" s="85"/>
      <c r="DN283" s="85"/>
      <c r="DO283" s="85"/>
      <c r="DP283" s="85"/>
    </row>
    <row r="284">
      <c r="A284" s="91"/>
      <c r="B284" s="91"/>
      <c r="C284" s="91"/>
      <c r="D284" s="91"/>
      <c r="E284" s="78"/>
      <c r="F284" s="15"/>
      <c r="G284" s="15"/>
      <c r="H284" s="91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92"/>
      <c r="BO284" s="92"/>
      <c r="BP284" s="92"/>
      <c r="BQ284" s="92"/>
      <c r="BR284" s="92"/>
      <c r="BS284" s="92"/>
      <c r="BT284" s="92"/>
      <c r="BU284" s="92"/>
      <c r="BV284" s="92"/>
      <c r="BW284" s="92"/>
      <c r="BX284" s="92"/>
      <c r="BY284" s="92"/>
      <c r="BZ284" s="92"/>
      <c r="CA284" s="92"/>
      <c r="CB284" s="92"/>
      <c r="CC284" s="92"/>
      <c r="CD284" s="92"/>
      <c r="CE284" s="92"/>
      <c r="CF284" s="92"/>
      <c r="CG284" s="92"/>
      <c r="CH284" s="92"/>
      <c r="CI284" s="92"/>
      <c r="CJ284" s="92"/>
      <c r="CK284" s="92"/>
      <c r="CL284" s="92"/>
      <c r="CM284" s="92"/>
      <c r="CN284" s="92"/>
      <c r="CO284" s="92"/>
      <c r="CP284" s="92"/>
      <c r="CQ284" s="92"/>
      <c r="CR284" s="92"/>
      <c r="CS284" s="92"/>
      <c r="CT284" s="92"/>
      <c r="CU284" s="92"/>
      <c r="CV284" s="92"/>
      <c r="CW284" s="92"/>
      <c r="CX284" s="85"/>
      <c r="CY284" s="85"/>
      <c r="CZ284" s="85"/>
      <c r="DA284" s="85"/>
      <c r="DB284" s="85"/>
      <c r="DC284" s="85"/>
      <c r="DD284" s="85"/>
      <c r="DE284" s="85"/>
      <c r="DF284" s="85"/>
      <c r="DG284" s="85"/>
      <c r="DH284" s="85"/>
      <c r="DI284" s="85"/>
      <c r="DJ284" s="85"/>
      <c r="DK284" s="85"/>
      <c r="DL284" s="85"/>
      <c r="DM284" s="85"/>
      <c r="DN284" s="85"/>
      <c r="DO284" s="85"/>
      <c r="DP284" s="85"/>
    </row>
    <row r="285">
      <c r="A285" s="91"/>
      <c r="B285" s="91"/>
      <c r="C285" s="91"/>
      <c r="D285" s="91"/>
      <c r="E285" s="78"/>
      <c r="F285" s="15"/>
      <c r="G285" s="15"/>
      <c r="H285" s="91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92"/>
      <c r="BO285" s="92"/>
      <c r="BP285" s="92"/>
      <c r="BQ285" s="92"/>
      <c r="BR285" s="92"/>
      <c r="BS285" s="92"/>
      <c r="BT285" s="92"/>
      <c r="BU285" s="92"/>
      <c r="BV285" s="92"/>
      <c r="BW285" s="92"/>
      <c r="BX285" s="92"/>
      <c r="BY285" s="92"/>
      <c r="BZ285" s="92"/>
      <c r="CA285" s="92"/>
      <c r="CB285" s="92"/>
      <c r="CC285" s="92"/>
      <c r="CD285" s="92"/>
      <c r="CE285" s="92"/>
      <c r="CF285" s="92"/>
      <c r="CG285" s="92"/>
      <c r="CH285" s="92"/>
      <c r="CI285" s="92"/>
      <c r="CJ285" s="92"/>
      <c r="CK285" s="92"/>
      <c r="CL285" s="92"/>
      <c r="CM285" s="92"/>
      <c r="CN285" s="92"/>
      <c r="CO285" s="92"/>
      <c r="CP285" s="92"/>
      <c r="CQ285" s="92"/>
      <c r="CR285" s="92"/>
      <c r="CS285" s="92"/>
      <c r="CT285" s="92"/>
      <c r="CU285" s="92"/>
      <c r="CV285" s="92"/>
      <c r="CW285" s="92"/>
      <c r="CX285" s="85"/>
      <c r="CY285" s="85"/>
      <c r="CZ285" s="85"/>
      <c r="DA285" s="85"/>
      <c r="DB285" s="85"/>
      <c r="DC285" s="85"/>
      <c r="DD285" s="85"/>
      <c r="DE285" s="85"/>
      <c r="DF285" s="85"/>
      <c r="DG285" s="85"/>
      <c r="DH285" s="85"/>
      <c r="DI285" s="85"/>
      <c r="DJ285" s="85"/>
      <c r="DK285" s="85"/>
      <c r="DL285" s="85"/>
      <c r="DM285" s="85"/>
      <c r="DN285" s="85"/>
      <c r="DO285" s="85"/>
      <c r="DP285" s="85"/>
    </row>
    <row r="286">
      <c r="A286" s="91"/>
      <c r="B286" s="91"/>
      <c r="C286" s="91"/>
      <c r="D286" s="91"/>
      <c r="E286" s="78"/>
      <c r="F286" s="15"/>
      <c r="G286" s="15"/>
      <c r="H286" s="91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92"/>
      <c r="BO286" s="92"/>
      <c r="BP286" s="92"/>
      <c r="BQ286" s="92"/>
      <c r="BR286" s="92"/>
      <c r="BS286" s="92"/>
      <c r="BT286" s="92"/>
      <c r="BU286" s="92"/>
      <c r="BV286" s="92"/>
      <c r="BW286" s="92"/>
      <c r="BX286" s="92"/>
      <c r="BY286" s="92"/>
      <c r="BZ286" s="92"/>
      <c r="CA286" s="92"/>
      <c r="CB286" s="92"/>
      <c r="CC286" s="92"/>
      <c r="CD286" s="92"/>
      <c r="CE286" s="92"/>
      <c r="CF286" s="92"/>
      <c r="CG286" s="92"/>
      <c r="CH286" s="92"/>
      <c r="CI286" s="92"/>
      <c r="CJ286" s="92"/>
      <c r="CK286" s="92"/>
      <c r="CL286" s="92"/>
      <c r="CM286" s="92"/>
      <c r="CN286" s="92"/>
      <c r="CO286" s="92"/>
      <c r="CP286" s="92"/>
      <c r="CQ286" s="92"/>
      <c r="CR286" s="92"/>
      <c r="CS286" s="92"/>
      <c r="CT286" s="92"/>
      <c r="CU286" s="92"/>
      <c r="CV286" s="92"/>
      <c r="CW286" s="92"/>
      <c r="CX286" s="85"/>
      <c r="CY286" s="85"/>
      <c r="CZ286" s="85"/>
      <c r="DA286" s="85"/>
      <c r="DB286" s="85"/>
      <c r="DC286" s="85"/>
      <c r="DD286" s="85"/>
      <c r="DE286" s="85"/>
      <c r="DF286" s="85"/>
      <c r="DG286" s="85"/>
      <c r="DH286" s="85"/>
      <c r="DI286" s="85"/>
      <c r="DJ286" s="85"/>
      <c r="DK286" s="85"/>
      <c r="DL286" s="85"/>
      <c r="DM286" s="85"/>
      <c r="DN286" s="85"/>
      <c r="DO286" s="85"/>
      <c r="DP286" s="85"/>
    </row>
    <row r="287">
      <c r="A287" s="91"/>
      <c r="B287" s="91"/>
      <c r="C287" s="91"/>
      <c r="D287" s="91"/>
      <c r="E287" s="78"/>
      <c r="F287" s="15"/>
      <c r="G287" s="15"/>
      <c r="H287" s="91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92"/>
      <c r="BO287" s="92"/>
      <c r="BP287" s="92"/>
      <c r="BQ287" s="92"/>
      <c r="BR287" s="92"/>
      <c r="BS287" s="92"/>
      <c r="BT287" s="92"/>
      <c r="BU287" s="92"/>
      <c r="BV287" s="92"/>
      <c r="BW287" s="92"/>
      <c r="BX287" s="92"/>
      <c r="BY287" s="92"/>
      <c r="BZ287" s="92"/>
      <c r="CA287" s="92"/>
      <c r="CB287" s="92"/>
      <c r="CC287" s="92"/>
      <c r="CD287" s="92"/>
      <c r="CE287" s="92"/>
      <c r="CF287" s="92"/>
      <c r="CG287" s="92"/>
      <c r="CH287" s="92"/>
      <c r="CI287" s="92"/>
      <c r="CJ287" s="92"/>
      <c r="CK287" s="92"/>
      <c r="CL287" s="92"/>
      <c r="CM287" s="92"/>
      <c r="CN287" s="92"/>
      <c r="CO287" s="92"/>
      <c r="CP287" s="92"/>
      <c r="CQ287" s="92"/>
      <c r="CR287" s="92"/>
      <c r="CS287" s="92"/>
      <c r="CT287" s="92"/>
      <c r="CU287" s="92"/>
      <c r="CV287" s="92"/>
      <c r="CW287" s="92"/>
      <c r="CX287" s="85"/>
      <c r="CY287" s="85"/>
      <c r="CZ287" s="85"/>
      <c r="DA287" s="85"/>
      <c r="DB287" s="85"/>
      <c r="DC287" s="85"/>
      <c r="DD287" s="85"/>
      <c r="DE287" s="85"/>
      <c r="DF287" s="85"/>
      <c r="DG287" s="85"/>
      <c r="DH287" s="85"/>
      <c r="DI287" s="85"/>
      <c r="DJ287" s="85"/>
      <c r="DK287" s="85"/>
      <c r="DL287" s="85"/>
      <c r="DM287" s="85"/>
      <c r="DN287" s="85"/>
      <c r="DO287" s="85"/>
      <c r="DP287" s="85"/>
    </row>
    <row r="288">
      <c r="A288" s="91"/>
      <c r="B288" s="91"/>
      <c r="C288" s="91"/>
      <c r="D288" s="91"/>
      <c r="E288" s="78"/>
      <c r="F288" s="15"/>
      <c r="G288" s="15"/>
      <c r="H288" s="91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92"/>
      <c r="BO288" s="92"/>
      <c r="BP288" s="92"/>
      <c r="BQ288" s="92"/>
      <c r="BR288" s="92"/>
      <c r="BS288" s="92"/>
      <c r="BT288" s="92"/>
      <c r="BU288" s="92"/>
      <c r="BV288" s="92"/>
      <c r="BW288" s="92"/>
      <c r="BX288" s="92"/>
      <c r="BY288" s="92"/>
      <c r="BZ288" s="92"/>
      <c r="CA288" s="92"/>
      <c r="CB288" s="92"/>
      <c r="CC288" s="92"/>
      <c r="CD288" s="92"/>
      <c r="CE288" s="92"/>
      <c r="CF288" s="92"/>
      <c r="CG288" s="92"/>
      <c r="CH288" s="92"/>
      <c r="CI288" s="92"/>
      <c r="CJ288" s="92"/>
      <c r="CK288" s="92"/>
      <c r="CL288" s="92"/>
      <c r="CM288" s="92"/>
      <c r="CN288" s="92"/>
      <c r="CO288" s="92"/>
      <c r="CP288" s="92"/>
      <c r="CQ288" s="92"/>
      <c r="CR288" s="92"/>
      <c r="CS288" s="92"/>
      <c r="CT288" s="92"/>
      <c r="CU288" s="92"/>
      <c r="CV288" s="92"/>
      <c r="CW288" s="92"/>
      <c r="CX288" s="85"/>
      <c r="CY288" s="85"/>
      <c r="CZ288" s="85"/>
      <c r="DA288" s="85"/>
      <c r="DB288" s="85"/>
      <c r="DC288" s="85"/>
      <c r="DD288" s="85"/>
      <c r="DE288" s="85"/>
      <c r="DF288" s="85"/>
      <c r="DG288" s="85"/>
      <c r="DH288" s="85"/>
      <c r="DI288" s="85"/>
      <c r="DJ288" s="85"/>
      <c r="DK288" s="85"/>
      <c r="DL288" s="85"/>
      <c r="DM288" s="85"/>
      <c r="DN288" s="85"/>
      <c r="DO288" s="85"/>
      <c r="DP288" s="85"/>
    </row>
    <row r="289">
      <c r="A289" s="91"/>
      <c r="B289" s="91"/>
      <c r="C289" s="91"/>
      <c r="D289" s="91"/>
      <c r="E289" s="78"/>
      <c r="F289" s="15"/>
      <c r="G289" s="15"/>
      <c r="H289" s="91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92"/>
      <c r="BO289" s="92"/>
      <c r="BP289" s="92"/>
      <c r="BQ289" s="92"/>
      <c r="BR289" s="92"/>
      <c r="BS289" s="92"/>
      <c r="BT289" s="92"/>
      <c r="BU289" s="92"/>
      <c r="BV289" s="92"/>
      <c r="BW289" s="92"/>
      <c r="BX289" s="92"/>
      <c r="BY289" s="92"/>
      <c r="BZ289" s="92"/>
      <c r="CA289" s="92"/>
      <c r="CB289" s="92"/>
      <c r="CC289" s="92"/>
      <c r="CD289" s="92"/>
      <c r="CE289" s="92"/>
      <c r="CF289" s="92"/>
      <c r="CG289" s="92"/>
      <c r="CH289" s="92"/>
      <c r="CI289" s="92"/>
      <c r="CJ289" s="92"/>
      <c r="CK289" s="92"/>
      <c r="CL289" s="92"/>
      <c r="CM289" s="92"/>
      <c r="CN289" s="92"/>
      <c r="CO289" s="92"/>
      <c r="CP289" s="92"/>
      <c r="CQ289" s="92"/>
      <c r="CR289" s="92"/>
      <c r="CS289" s="92"/>
      <c r="CT289" s="92"/>
      <c r="CU289" s="92"/>
      <c r="CV289" s="92"/>
      <c r="CW289" s="92"/>
      <c r="CX289" s="85"/>
      <c r="CY289" s="85"/>
      <c r="CZ289" s="85"/>
      <c r="DA289" s="85"/>
      <c r="DB289" s="85"/>
      <c r="DC289" s="85"/>
      <c r="DD289" s="85"/>
      <c r="DE289" s="85"/>
      <c r="DF289" s="85"/>
      <c r="DG289" s="85"/>
      <c r="DH289" s="85"/>
      <c r="DI289" s="85"/>
      <c r="DJ289" s="85"/>
      <c r="DK289" s="85"/>
      <c r="DL289" s="85"/>
      <c r="DM289" s="85"/>
      <c r="DN289" s="85"/>
      <c r="DO289" s="85"/>
      <c r="DP289" s="85"/>
    </row>
    <row r="290">
      <c r="A290" s="91"/>
      <c r="B290" s="91"/>
      <c r="C290" s="91"/>
      <c r="D290" s="91"/>
      <c r="E290" s="78"/>
      <c r="F290" s="15"/>
      <c r="G290" s="15"/>
      <c r="H290" s="91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92"/>
      <c r="BO290" s="92"/>
      <c r="BP290" s="92"/>
      <c r="BQ290" s="92"/>
      <c r="BR290" s="92"/>
      <c r="BS290" s="92"/>
      <c r="BT290" s="92"/>
      <c r="BU290" s="92"/>
      <c r="BV290" s="92"/>
      <c r="BW290" s="92"/>
      <c r="BX290" s="92"/>
      <c r="BY290" s="92"/>
      <c r="BZ290" s="92"/>
      <c r="CA290" s="92"/>
      <c r="CB290" s="92"/>
      <c r="CC290" s="92"/>
      <c r="CD290" s="92"/>
      <c r="CE290" s="92"/>
      <c r="CF290" s="92"/>
      <c r="CG290" s="92"/>
      <c r="CH290" s="92"/>
      <c r="CI290" s="92"/>
      <c r="CJ290" s="92"/>
      <c r="CK290" s="92"/>
      <c r="CL290" s="92"/>
      <c r="CM290" s="92"/>
      <c r="CN290" s="92"/>
      <c r="CO290" s="92"/>
      <c r="CP290" s="92"/>
      <c r="CQ290" s="92"/>
      <c r="CR290" s="92"/>
      <c r="CS290" s="92"/>
      <c r="CT290" s="92"/>
      <c r="CU290" s="92"/>
      <c r="CV290" s="92"/>
      <c r="CW290" s="92"/>
      <c r="CX290" s="85"/>
      <c r="CY290" s="85"/>
      <c r="CZ290" s="85"/>
      <c r="DA290" s="85"/>
      <c r="DB290" s="85"/>
      <c r="DC290" s="85"/>
      <c r="DD290" s="85"/>
      <c r="DE290" s="85"/>
      <c r="DF290" s="85"/>
      <c r="DG290" s="85"/>
      <c r="DH290" s="85"/>
      <c r="DI290" s="85"/>
      <c r="DJ290" s="85"/>
      <c r="DK290" s="85"/>
      <c r="DL290" s="85"/>
      <c r="DM290" s="85"/>
      <c r="DN290" s="85"/>
      <c r="DO290" s="85"/>
      <c r="DP290" s="85"/>
    </row>
    <row r="291">
      <c r="A291" s="91"/>
      <c r="B291" s="91"/>
      <c r="C291" s="91"/>
      <c r="D291" s="91"/>
      <c r="E291" s="78"/>
      <c r="F291" s="15"/>
      <c r="G291" s="15"/>
      <c r="H291" s="91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92"/>
      <c r="BO291" s="92"/>
      <c r="BP291" s="92"/>
      <c r="BQ291" s="92"/>
      <c r="BR291" s="92"/>
      <c r="BS291" s="92"/>
      <c r="BT291" s="92"/>
      <c r="BU291" s="92"/>
      <c r="BV291" s="92"/>
      <c r="BW291" s="92"/>
      <c r="BX291" s="92"/>
      <c r="BY291" s="92"/>
      <c r="BZ291" s="92"/>
      <c r="CA291" s="92"/>
      <c r="CB291" s="92"/>
      <c r="CC291" s="92"/>
      <c r="CD291" s="92"/>
      <c r="CE291" s="92"/>
      <c r="CF291" s="92"/>
      <c r="CG291" s="92"/>
      <c r="CH291" s="92"/>
      <c r="CI291" s="92"/>
      <c r="CJ291" s="92"/>
      <c r="CK291" s="92"/>
      <c r="CL291" s="92"/>
      <c r="CM291" s="92"/>
      <c r="CN291" s="92"/>
      <c r="CO291" s="92"/>
      <c r="CP291" s="92"/>
      <c r="CQ291" s="92"/>
      <c r="CR291" s="92"/>
      <c r="CS291" s="92"/>
      <c r="CT291" s="92"/>
      <c r="CU291" s="92"/>
      <c r="CV291" s="92"/>
      <c r="CW291" s="92"/>
      <c r="CX291" s="85"/>
      <c r="CY291" s="85"/>
      <c r="CZ291" s="85"/>
      <c r="DA291" s="85"/>
      <c r="DB291" s="85"/>
      <c r="DC291" s="85"/>
      <c r="DD291" s="85"/>
      <c r="DE291" s="85"/>
      <c r="DF291" s="85"/>
      <c r="DG291" s="85"/>
      <c r="DH291" s="85"/>
      <c r="DI291" s="85"/>
      <c r="DJ291" s="85"/>
      <c r="DK291" s="85"/>
      <c r="DL291" s="85"/>
      <c r="DM291" s="85"/>
      <c r="DN291" s="85"/>
      <c r="DO291" s="85"/>
      <c r="DP291" s="85"/>
    </row>
    <row r="292">
      <c r="A292" s="91"/>
      <c r="B292" s="91"/>
      <c r="C292" s="91"/>
      <c r="D292" s="91"/>
      <c r="E292" s="78"/>
      <c r="F292" s="15"/>
      <c r="G292" s="15"/>
      <c r="H292" s="91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92"/>
      <c r="BO292" s="92"/>
      <c r="BP292" s="92"/>
      <c r="BQ292" s="92"/>
      <c r="BR292" s="92"/>
      <c r="BS292" s="92"/>
      <c r="BT292" s="92"/>
      <c r="BU292" s="92"/>
      <c r="BV292" s="92"/>
      <c r="BW292" s="92"/>
      <c r="BX292" s="92"/>
      <c r="BY292" s="92"/>
      <c r="BZ292" s="92"/>
      <c r="CA292" s="92"/>
      <c r="CB292" s="92"/>
      <c r="CC292" s="92"/>
      <c r="CD292" s="92"/>
      <c r="CE292" s="92"/>
      <c r="CF292" s="92"/>
      <c r="CG292" s="92"/>
      <c r="CH292" s="92"/>
      <c r="CI292" s="92"/>
      <c r="CJ292" s="92"/>
      <c r="CK292" s="92"/>
      <c r="CL292" s="92"/>
      <c r="CM292" s="92"/>
      <c r="CN292" s="92"/>
      <c r="CO292" s="92"/>
      <c r="CP292" s="92"/>
      <c r="CQ292" s="92"/>
      <c r="CR292" s="92"/>
      <c r="CS292" s="92"/>
      <c r="CT292" s="92"/>
      <c r="CU292" s="92"/>
      <c r="CV292" s="92"/>
      <c r="CW292" s="92"/>
      <c r="CX292" s="85"/>
      <c r="CY292" s="85"/>
      <c r="CZ292" s="85"/>
      <c r="DA292" s="85"/>
      <c r="DB292" s="85"/>
      <c r="DC292" s="85"/>
      <c r="DD292" s="85"/>
      <c r="DE292" s="85"/>
      <c r="DF292" s="85"/>
      <c r="DG292" s="85"/>
      <c r="DH292" s="85"/>
      <c r="DI292" s="85"/>
      <c r="DJ292" s="85"/>
      <c r="DK292" s="85"/>
      <c r="DL292" s="85"/>
      <c r="DM292" s="85"/>
      <c r="DN292" s="85"/>
      <c r="DO292" s="85"/>
      <c r="DP292" s="85"/>
    </row>
    <row r="293">
      <c r="A293" s="91"/>
      <c r="B293" s="91"/>
      <c r="C293" s="91"/>
      <c r="D293" s="91"/>
      <c r="E293" s="78"/>
      <c r="F293" s="15"/>
      <c r="G293" s="15"/>
      <c r="H293" s="91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92"/>
      <c r="BO293" s="92"/>
      <c r="BP293" s="92"/>
      <c r="BQ293" s="92"/>
      <c r="BR293" s="92"/>
      <c r="BS293" s="92"/>
      <c r="BT293" s="92"/>
      <c r="BU293" s="92"/>
      <c r="BV293" s="92"/>
      <c r="BW293" s="92"/>
      <c r="BX293" s="92"/>
      <c r="BY293" s="92"/>
      <c r="BZ293" s="92"/>
      <c r="CA293" s="92"/>
      <c r="CB293" s="92"/>
      <c r="CC293" s="92"/>
      <c r="CD293" s="92"/>
      <c r="CE293" s="92"/>
      <c r="CF293" s="92"/>
      <c r="CG293" s="92"/>
      <c r="CH293" s="92"/>
      <c r="CI293" s="92"/>
      <c r="CJ293" s="92"/>
      <c r="CK293" s="92"/>
      <c r="CL293" s="92"/>
      <c r="CM293" s="92"/>
      <c r="CN293" s="92"/>
      <c r="CO293" s="92"/>
      <c r="CP293" s="92"/>
      <c r="CQ293" s="92"/>
      <c r="CR293" s="92"/>
      <c r="CS293" s="92"/>
      <c r="CT293" s="92"/>
      <c r="CU293" s="92"/>
      <c r="CV293" s="92"/>
      <c r="CW293" s="92"/>
      <c r="CX293" s="85"/>
      <c r="CY293" s="85"/>
      <c r="CZ293" s="85"/>
      <c r="DA293" s="85"/>
      <c r="DB293" s="85"/>
      <c r="DC293" s="85"/>
      <c r="DD293" s="85"/>
      <c r="DE293" s="85"/>
      <c r="DF293" s="85"/>
      <c r="DG293" s="85"/>
      <c r="DH293" s="85"/>
      <c r="DI293" s="85"/>
      <c r="DJ293" s="85"/>
      <c r="DK293" s="85"/>
      <c r="DL293" s="85"/>
      <c r="DM293" s="85"/>
      <c r="DN293" s="85"/>
      <c r="DO293" s="85"/>
      <c r="DP293" s="85"/>
    </row>
    <row r="294">
      <c r="A294" s="91"/>
      <c r="B294" s="91"/>
      <c r="C294" s="91"/>
      <c r="D294" s="91"/>
      <c r="E294" s="78"/>
      <c r="F294" s="15"/>
      <c r="G294" s="15"/>
      <c r="H294" s="91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92"/>
      <c r="BO294" s="92"/>
      <c r="BP294" s="92"/>
      <c r="BQ294" s="92"/>
      <c r="BR294" s="92"/>
      <c r="BS294" s="92"/>
      <c r="BT294" s="92"/>
      <c r="BU294" s="92"/>
      <c r="BV294" s="92"/>
      <c r="BW294" s="92"/>
      <c r="BX294" s="92"/>
      <c r="BY294" s="92"/>
      <c r="BZ294" s="92"/>
      <c r="CA294" s="92"/>
      <c r="CB294" s="92"/>
      <c r="CC294" s="92"/>
      <c r="CD294" s="92"/>
      <c r="CE294" s="92"/>
      <c r="CF294" s="92"/>
      <c r="CG294" s="92"/>
      <c r="CH294" s="92"/>
      <c r="CI294" s="92"/>
      <c r="CJ294" s="92"/>
      <c r="CK294" s="92"/>
      <c r="CL294" s="92"/>
      <c r="CM294" s="92"/>
      <c r="CN294" s="92"/>
      <c r="CO294" s="92"/>
      <c r="CP294" s="92"/>
      <c r="CQ294" s="92"/>
      <c r="CR294" s="92"/>
      <c r="CS294" s="92"/>
      <c r="CT294" s="92"/>
      <c r="CU294" s="92"/>
      <c r="CV294" s="92"/>
      <c r="CW294" s="92"/>
      <c r="CX294" s="85"/>
      <c r="CY294" s="85"/>
      <c r="CZ294" s="85"/>
      <c r="DA294" s="85"/>
      <c r="DB294" s="85"/>
      <c r="DC294" s="85"/>
      <c r="DD294" s="85"/>
      <c r="DE294" s="85"/>
      <c r="DF294" s="85"/>
      <c r="DG294" s="85"/>
      <c r="DH294" s="85"/>
      <c r="DI294" s="85"/>
      <c r="DJ294" s="85"/>
      <c r="DK294" s="85"/>
      <c r="DL294" s="85"/>
      <c r="DM294" s="85"/>
      <c r="DN294" s="85"/>
      <c r="DO294" s="85"/>
      <c r="DP294" s="85"/>
    </row>
    <row r="295">
      <c r="A295" s="91"/>
      <c r="B295" s="91"/>
      <c r="C295" s="91"/>
      <c r="D295" s="91"/>
      <c r="E295" s="78"/>
      <c r="F295" s="15"/>
      <c r="G295" s="15"/>
      <c r="H295" s="91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92"/>
      <c r="BO295" s="92"/>
      <c r="BP295" s="92"/>
      <c r="BQ295" s="92"/>
      <c r="BR295" s="92"/>
      <c r="BS295" s="92"/>
      <c r="BT295" s="92"/>
      <c r="BU295" s="92"/>
      <c r="BV295" s="92"/>
      <c r="BW295" s="92"/>
      <c r="BX295" s="92"/>
      <c r="BY295" s="92"/>
      <c r="BZ295" s="92"/>
      <c r="CA295" s="92"/>
      <c r="CB295" s="92"/>
      <c r="CC295" s="92"/>
      <c r="CD295" s="92"/>
      <c r="CE295" s="92"/>
      <c r="CF295" s="92"/>
      <c r="CG295" s="92"/>
      <c r="CH295" s="92"/>
      <c r="CI295" s="92"/>
      <c r="CJ295" s="92"/>
      <c r="CK295" s="92"/>
      <c r="CL295" s="92"/>
      <c r="CM295" s="92"/>
      <c r="CN295" s="92"/>
      <c r="CO295" s="92"/>
      <c r="CP295" s="92"/>
      <c r="CQ295" s="92"/>
      <c r="CR295" s="92"/>
      <c r="CS295" s="92"/>
      <c r="CT295" s="92"/>
      <c r="CU295" s="92"/>
      <c r="CV295" s="92"/>
      <c r="CW295" s="92"/>
      <c r="CX295" s="85"/>
      <c r="CY295" s="85"/>
      <c r="CZ295" s="85"/>
      <c r="DA295" s="85"/>
      <c r="DB295" s="85"/>
      <c r="DC295" s="85"/>
      <c r="DD295" s="85"/>
      <c r="DE295" s="85"/>
      <c r="DF295" s="85"/>
      <c r="DG295" s="85"/>
      <c r="DH295" s="85"/>
      <c r="DI295" s="85"/>
      <c r="DJ295" s="85"/>
      <c r="DK295" s="85"/>
      <c r="DL295" s="85"/>
      <c r="DM295" s="85"/>
      <c r="DN295" s="85"/>
      <c r="DO295" s="85"/>
      <c r="DP295" s="85"/>
    </row>
    <row r="296">
      <c r="A296" s="91"/>
      <c r="B296" s="91"/>
      <c r="C296" s="91"/>
      <c r="D296" s="91"/>
      <c r="E296" s="78"/>
      <c r="F296" s="15"/>
      <c r="G296" s="15"/>
      <c r="H296" s="91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92"/>
      <c r="BO296" s="92"/>
      <c r="BP296" s="92"/>
      <c r="BQ296" s="92"/>
      <c r="BR296" s="92"/>
      <c r="BS296" s="92"/>
      <c r="BT296" s="92"/>
      <c r="BU296" s="92"/>
      <c r="BV296" s="92"/>
      <c r="BW296" s="92"/>
      <c r="BX296" s="92"/>
      <c r="BY296" s="92"/>
      <c r="BZ296" s="92"/>
      <c r="CA296" s="92"/>
      <c r="CB296" s="92"/>
      <c r="CC296" s="92"/>
      <c r="CD296" s="92"/>
      <c r="CE296" s="92"/>
      <c r="CF296" s="92"/>
      <c r="CG296" s="92"/>
      <c r="CH296" s="92"/>
      <c r="CI296" s="92"/>
      <c r="CJ296" s="92"/>
      <c r="CK296" s="92"/>
      <c r="CL296" s="92"/>
      <c r="CM296" s="92"/>
      <c r="CN296" s="92"/>
      <c r="CO296" s="92"/>
      <c r="CP296" s="92"/>
      <c r="CQ296" s="92"/>
      <c r="CR296" s="92"/>
      <c r="CS296" s="92"/>
      <c r="CT296" s="92"/>
      <c r="CU296" s="92"/>
      <c r="CV296" s="92"/>
      <c r="CW296" s="92"/>
      <c r="CX296" s="85"/>
      <c r="CY296" s="85"/>
      <c r="CZ296" s="85"/>
      <c r="DA296" s="85"/>
      <c r="DB296" s="85"/>
      <c r="DC296" s="85"/>
      <c r="DD296" s="85"/>
      <c r="DE296" s="85"/>
      <c r="DF296" s="85"/>
      <c r="DG296" s="85"/>
      <c r="DH296" s="85"/>
      <c r="DI296" s="85"/>
      <c r="DJ296" s="85"/>
      <c r="DK296" s="85"/>
      <c r="DL296" s="85"/>
      <c r="DM296" s="85"/>
      <c r="DN296" s="85"/>
      <c r="DO296" s="85"/>
      <c r="DP296" s="85"/>
    </row>
    <row r="297">
      <c r="A297" s="91"/>
      <c r="B297" s="91"/>
      <c r="C297" s="91"/>
      <c r="D297" s="91"/>
      <c r="E297" s="78"/>
      <c r="F297" s="15"/>
      <c r="G297" s="15"/>
      <c r="H297" s="91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92"/>
      <c r="BO297" s="92"/>
      <c r="BP297" s="92"/>
      <c r="BQ297" s="92"/>
      <c r="BR297" s="92"/>
      <c r="BS297" s="92"/>
      <c r="BT297" s="92"/>
      <c r="BU297" s="92"/>
      <c r="BV297" s="92"/>
      <c r="BW297" s="92"/>
      <c r="BX297" s="92"/>
      <c r="BY297" s="92"/>
      <c r="BZ297" s="92"/>
      <c r="CA297" s="92"/>
      <c r="CB297" s="92"/>
      <c r="CC297" s="92"/>
      <c r="CD297" s="92"/>
      <c r="CE297" s="92"/>
      <c r="CF297" s="92"/>
      <c r="CG297" s="92"/>
      <c r="CH297" s="92"/>
      <c r="CI297" s="92"/>
      <c r="CJ297" s="92"/>
      <c r="CK297" s="92"/>
      <c r="CL297" s="92"/>
      <c r="CM297" s="92"/>
      <c r="CN297" s="92"/>
      <c r="CO297" s="92"/>
      <c r="CP297" s="92"/>
      <c r="CQ297" s="92"/>
      <c r="CR297" s="92"/>
      <c r="CS297" s="92"/>
      <c r="CT297" s="92"/>
      <c r="CU297" s="92"/>
      <c r="CV297" s="92"/>
      <c r="CW297" s="92"/>
      <c r="CX297" s="85"/>
      <c r="CY297" s="85"/>
      <c r="CZ297" s="85"/>
      <c r="DA297" s="85"/>
      <c r="DB297" s="85"/>
      <c r="DC297" s="85"/>
      <c r="DD297" s="85"/>
      <c r="DE297" s="85"/>
      <c r="DF297" s="85"/>
      <c r="DG297" s="85"/>
      <c r="DH297" s="85"/>
      <c r="DI297" s="85"/>
      <c r="DJ297" s="85"/>
      <c r="DK297" s="85"/>
      <c r="DL297" s="85"/>
      <c r="DM297" s="85"/>
      <c r="DN297" s="85"/>
      <c r="DO297" s="85"/>
      <c r="DP297" s="85"/>
    </row>
    <row r="298">
      <c r="A298" s="91"/>
      <c r="B298" s="91"/>
      <c r="C298" s="91"/>
      <c r="D298" s="91"/>
      <c r="E298" s="78"/>
      <c r="F298" s="15"/>
      <c r="G298" s="15"/>
      <c r="H298" s="91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92"/>
      <c r="BO298" s="92"/>
      <c r="BP298" s="92"/>
      <c r="BQ298" s="92"/>
      <c r="BR298" s="92"/>
      <c r="BS298" s="92"/>
      <c r="BT298" s="92"/>
      <c r="BU298" s="92"/>
      <c r="BV298" s="92"/>
      <c r="BW298" s="92"/>
      <c r="BX298" s="92"/>
      <c r="BY298" s="92"/>
      <c r="BZ298" s="92"/>
      <c r="CA298" s="92"/>
      <c r="CB298" s="92"/>
      <c r="CC298" s="92"/>
      <c r="CD298" s="92"/>
      <c r="CE298" s="92"/>
      <c r="CF298" s="92"/>
      <c r="CG298" s="92"/>
      <c r="CH298" s="92"/>
      <c r="CI298" s="92"/>
      <c r="CJ298" s="92"/>
      <c r="CK298" s="92"/>
      <c r="CL298" s="92"/>
      <c r="CM298" s="92"/>
      <c r="CN298" s="92"/>
      <c r="CO298" s="92"/>
      <c r="CP298" s="92"/>
      <c r="CQ298" s="92"/>
      <c r="CR298" s="92"/>
      <c r="CS298" s="92"/>
      <c r="CT298" s="92"/>
      <c r="CU298" s="92"/>
      <c r="CV298" s="92"/>
      <c r="CW298" s="92"/>
      <c r="CX298" s="85"/>
      <c r="CY298" s="85"/>
      <c r="CZ298" s="85"/>
      <c r="DA298" s="85"/>
      <c r="DB298" s="85"/>
      <c r="DC298" s="85"/>
      <c r="DD298" s="85"/>
      <c r="DE298" s="85"/>
      <c r="DF298" s="85"/>
      <c r="DG298" s="85"/>
      <c r="DH298" s="85"/>
      <c r="DI298" s="85"/>
      <c r="DJ298" s="85"/>
      <c r="DK298" s="85"/>
      <c r="DL298" s="85"/>
      <c r="DM298" s="85"/>
      <c r="DN298" s="85"/>
      <c r="DO298" s="85"/>
      <c r="DP298" s="85"/>
    </row>
    <row r="299">
      <c r="A299" s="91"/>
      <c r="B299" s="91"/>
      <c r="C299" s="91"/>
      <c r="D299" s="91"/>
      <c r="E299" s="78"/>
      <c r="F299" s="15"/>
      <c r="G299" s="15"/>
      <c r="H299" s="91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92"/>
      <c r="BO299" s="92"/>
      <c r="BP299" s="92"/>
      <c r="BQ299" s="92"/>
      <c r="BR299" s="92"/>
      <c r="BS299" s="92"/>
      <c r="BT299" s="92"/>
      <c r="BU299" s="92"/>
      <c r="BV299" s="92"/>
      <c r="BW299" s="92"/>
      <c r="BX299" s="92"/>
      <c r="BY299" s="92"/>
      <c r="BZ299" s="92"/>
      <c r="CA299" s="92"/>
      <c r="CB299" s="92"/>
      <c r="CC299" s="92"/>
      <c r="CD299" s="92"/>
      <c r="CE299" s="92"/>
      <c r="CF299" s="92"/>
      <c r="CG299" s="92"/>
      <c r="CH299" s="92"/>
      <c r="CI299" s="92"/>
      <c r="CJ299" s="92"/>
      <c r="CK299" s="92"/>
      <c r="CL299" s="92"/>
      <c r="CM299" s="92"/>
      <c r="CN299" s="92"/>
      <c r="CO299" s="92"/>
      <c r="CP299" s="92"/>
      <c r="CQ299" s="92"/>
      <c r="CR299" s="92"/>
      <c r="CS299" s="92"/>
      <c r="CT299" s="92"/>
      <c r="CU299" s="92"/>
      <c r="CV299" s="92"/>
      <c r="CW299" s="92"/>
      <c r="CX299" s="85"/>
      <c r="CY299" s="85"/>
      <c r="CZ299" s="85"/>
      <c r="DA299" s="85"/>
      <c r="DB299" s="85"/>
      <c r="DC299" s="85"/>
      <c r="DD299" s="85"/>
      <c r="DE299" s="85"/>
      <c r="DF299" s="85"/>
      <c r="DG299" s="85"/>
      <c r="DH299" s="85"/>
      <c r="DI299" s="85"/>
      <c r="DJ299" s="85"/>
      <c r="DK299" s="85"/>
      <c r="DL299" s="85"/>
      <c r="DM299" s="85"/>
      <c r="DN299" s="85"/>
      <c r="DO299" s="85"/>
      <c r="DP299" s="85"/>
    </row>
    <row r="300">
      <c r="A300" s="91"/>
      <c r="B300" s="91"/>
      <c r="C300" s="91"/>
      <c r="D300" s="91"/>
      <c r="E300" s="78"/>
      <c r="F300" s="15"/>
      <c r="G300" s="15"/>
      <c r="H300" s="91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92"/>
      <c r="BO300" s="92"/>
      <c r="BP300" s="92"/>
      <c r="BQ300" s="92"/>
      <c r="BR300" s="92"/>
      <c r="BS300" s="92"/>
      <c r="BT300" s="92"/>
      <c r="BU300" s="92"/>
      <c r="BV300" s="92"/>
      <c r="BW300" s="92"/>
      <c r="BX300" s="92"/>
      <c r="BY300" s="92"/>
      <c r="BZ300" s="92"/>
      <c r="CA300" s="92"/>
      <c r="CB300" s="92"/>
      <c r="CC300" s="92"/>
      <c r="CD300" s="92"/>
      <c r="CE300" s="92"/>
      <c r="CF300" s="92"/>
      <c r="CG300" s="92"/>
      <c r="CH300" s="92"/>
      <c r="CI300" s="92"/>
      <c r="CJ300" s="92"/>
      <c r="CK300" s="92"/>
      <c r="CL300" s="92"/>
      <c r="CM300" s="92"/>
      <c r="CN300" s="92"/>
      <c r="CO300" s="92"/>
      <c r="CP300" s="92"/>
      <c r="CQ300" s="92"/>
      <c r="CR300" s="92"/>
      <c r="CS300" s="92"/>
      <c r="CT300" s="92"/>
      <c r="CU300" s="92"/>
      <c r="CV300" s="92"/>
      <c r="CW300" s="92"/>
      <c r="CX300" s="85"/>
      <c r="CY300" s="85"/>
      <c r="CZ300" s="85"/>
      <c r="DA300" s="85"/>
      <c r="DB300" s="85"/>
      <c r="DC300" s="85"/>
      <c r="DD300" s="85"/>
      <c r="DE300" s="85"/>
      <c r="DF300" s="85"/>
      <c r="DG300" s="85"/>
      <c r="DH300" s="85"/>
      <c r="DI300" s="85"/>
      <c r="DJ300" s="85"/>
      <c r="DK300" s="85"/>
      <c r="DL300" s="85"/>
      <c r="DM300" s="85"/>
      <c r="DN300" s="85"/>
      <c r="DO300" s="85"/>
      <c r="DP300" s="85"/>
    </row>
    <row r="301">
      <c r="A301" s="91"/>
      <c r="B301" s="91"/>
      <c r="C301" s="91"/>
      <c r="D301" s="91"/>
      <c r="E301" s="78"/>
      <c r="F301" s="15"/>
      <c r="G301" s="15"/>
      <c r="H301" s="91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92"/>
      <c r="BO301" s="92"/>
      <c r="BP301" s="92"/>
      <c r="BQ301" s="92"/>
      <c r="BR301" s="92"/>
      <c r="BS301" s="92"/>
      <c r="BT301" s="92"/>
      <c r="BU301" s="92"/>
      <c r="BV301" s="92"/>
      <c r="BW301" s="92"/>
      <c r="BX301" s="92"/>
      <c r="BY301" s="92"/>
      <c r="BZ301" s="92"/>
      <c r="CA301" s="92"/>
      <c r="CB301" s="92"/>
      <c r="CC301" s="92"/>
      <c r="CD301" s="92"/>
      <c r="CE301" s="92"/>
      <c r="CF301" s="92"/>
      <c r="CG301" s="92"/>
      <c r="CH301" s="92"/>
      <c r="CI301" s="92"/>
      <c r="CJ301" s="92"/>
      <c r="CK301" s="92"/>
      <c r="CL301" s="92"/>
      <c r="CM301" s="92"/>
      <c r="CN301" s="92"/>
      <c r="CO301" s="92"/>
      <c r="CP301" s="92"/>
      <c r="CQ301" s="92"/>
      <c r="CR301" s="92"/>
      <c r="CS301" s="92"/>
      <c r="CT301" s="92"/>
      <c r="CU301" s="92"/>
      <c r="CV301" s="92"/>
      <c r="CW301" s="92"/>
      <c r="CX301" s="85"/>
      <c r="CY301" s="85"/>
      <c r="CZ301" s="85"/>
      <c r="DA301" s="85"/>
      <c r="DB301" s="85"/>
      <c r="DC301" s="85"/>
      <c r="DD301" s="85"/>
      <c r="DE301" s="85"/>
      <c r="DF301" s="85"/>
      <c r="DG301" s="85"/>
      <c r="DH301" s="85"/>
      <c r="DI301" s="85"/>
      <c r="DJ301" s="85"/>
      <c r="DK301" s="85"/>
      <c r="DL301" s="85"/>
      <c r="DM301" s="85"/>
      <c r="DN301" s="85"/>
      <c r="DO301" s="85"/>
      <c r="DP301" s="85"/>
    </row>
    <row r="302">
      <c r="A302" s="91"/>
      <c r="B302" s="91"/>
      <c r="C302" s="91"/>
      <c r="D302" s="91"/>
      <c r="E302" s="78"/>
      <c r="F302" s="15"/>
      <c r="G302" s="15"/>
      <c r="H302" s="91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92"/>
      <c r="BO302" s="92"/>
      <c r="BP302" s="92"/>
      <c r="BQ302" s="92"/>
      <c r="BR302" s="92"/>
      <c r="BS302" s="92"/>
      <c r="BT302" s="92"/>
      <c r="BU302" s="92"/>
      <c r="BV302" s="92"/>
      <c r="BW302" s="92"/>
      <c r="BX302" s="92"/>
      <c r="BY302" s="92"/>
      <c r="BZ302" s="92"/>
      <c r="CA302" s="92"/>
      <c r="CB302" s="92"/>
      <c r="CC302" s="92"/>
      <c r="CD302" s="92"/>
      <c r="CE302" s="92"/>
      <c r="CF302" s="92"/>
      <c r="CG302" s="92"/>
      <c r="CH302" s="92"/>
      <c r="CI302" s="92"/>
      <c r="CJ302" s="92"/>
      <c r="CK302" s="92"/>
      <c r="CL302" s="92"/>
      <c r="CM302" s="92"/>
      <c r="CN302" s="92"/>
      <c r="CO302" s="92"/>
      <c r="CP302" s="92"/>
      <c r="CQ302" s="92"/>
      <c r="CR302" s="92"/>
      <c r="CS302" s="92"/>
      <c r="CT302" s="92"/>
      <c r="CU302" s="92"/>
      <c r="CV302" s="92"/>
      <c r="CW302" s="92"/>
      <c r="CX302" s="85"/>
      <c r="CY302" s="85"/>
      <c r="CZ302" s="85"/>
      <c r="DA302" s="85"/>
      <c r="DB302" s="85"/>
      <c r="DC302" s="85"/>
      <c r="DD302" s="85"/>
      <c r="DE302" s="85"/>
      <c r="DF302" s="85"/>
      <c r="DG302" s="85"/>
      <c r="DH302" s="85"/>
      <c r="DI302" s="85"/>
      <c r="DJ302" s="85"/>
      <c r="DK302" s="85"/>
      <c r="DL302" s="85"/>
      <c r="DM302" s="85"/>
      <c r="DN302" s="85"/>
      <c r="DO302" s="85"/>
      <c r="DP302" s="85"/>
    </row>
    <row r="303">
      <c r="A303" s="91"/>
      <c r="B303" s="91"/>
      <c r="C303" s="91"/>
      <c r="D303" s="91"/>
      <c r="E303" s="78"/>
      <c r="F303" s="15"/>
      <c r="G303" s="15"/>
      <c r="H303" s="91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92"/>
      <c r="BO303" s="92"/>
      <c r="BP303" s="92"/>
      <c r="BQ303" s="92"/>
      <c r="BR303" s="92"/>
      <c r="BS303" s="92"/>
      <c r="BT303" s="92"/>
      <c r="BU303" s="92"/>
      <c r="BV303" s="92"/>
      <c r="BW303" s="92"/>
      <c r="BX303" s="92"/>
      <c r="BY303" s="92"/>
      <c r="BZ303" s="92"/>
      <c r="CA303" s="92"/>
      <c r="CB303" s="92"/>
      <c r="CC303" s="92"/>
      <c r="CD303" s="92"/>
      <c r="CE303" s="92"/>
      <c r="CF303" s="92"/>
      <c r="CG303" s="92"/>
      <c r="CH303" s="92"/>
      <c r="CI303" s="92"/>
      <c r="CJ303" s="92"/>
      <c r="CK303" s="92"/>
      <c r="CL303" s="92"/>
      <c r="CM303" s="92"/>
      <c r="CN303" s="92"/>
      <c r="CO303" s="92"/>
      <c r="CP303" s="92"/>
      <c r="CQ303" s="92"/>
      <c r="CR303" s="92"/>
      <c r="CS303" s="92"/>
      <c r="CT303" s="92"/>
      <c r="CU303" s="92"/>
      <c r="CV303" s="92"/>
      <c r="CW303" s="92"/>
      <c r="CX303" s="85"/>
      <c r="CY303" s="85"/>
      <c r="CZ303" s="85"/>
      <c r="DA303" s="85"/>
      <c r="DB303" s="85"/>
      <c r="DC303" s="85"/>
      <c r="DD303" s="85"/>
      <c r="DE303" s="85"/>
      <c r="DF303" s="85"/>
      <c r="DG303" s="85"/>
      <c r="DH303" s="85"/>
      <c r="DI303" s="85"/>
      <c r="DJ303" s="85"/>
      <c r="DK303" s="85"/>
      <c r="DL303" s="85"/>
      <c r="DM303" s="85"/>
      <c r="DN303" s="85"/>
      <c r="DO303" s="85"/>
      <c r="DP303" s="85"/>
    </row>
    <row r="304">
      <c r="A304" s="91"/>
      <c r="B304" s="91"/>
      <c r="C304" s="91"/>
      <c r="D304" s="91"/>
      <c r="E304" s="78"/>
      <c r="F304" s="15"/>
      <c r="G304" s="15"/>
      <c r="H304" s="91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92"/>
      <c r="BO304" s="92"/>
      <c r="BP304" s="92"/>
      <c r="BQ304" s="92"/>
      <c r="BR304" s="92"/>
      <c r="BS304" s="92"/>
      <c r="BT304" s="92"/>
      <c r="BU304" s="92"/>
      <c r="BV304" s="92"/>
      <c r="BW304" s="92"/>
      <c r="BX304" s="92"/>
      <c r="BY304" s="92"/>
      <c r="BZ304" s="92"/>
      <c r="CA304" s="92"/>
      <c r="CB304" s="92"/>
      <c r="CC304" s="92"/>
      <c r="CD304" s="92"/>
      <c r="CE304" s="92"/>
      <c r="CF304" s="92"/>
      <c r="CG304" s="92"/>
      <c r="CH304" s="92"/>
      <c r="CI304" s="92"/>
      <c r="CJ304" s="92"/>
      <c r="CK304" s="92"/>
      <c r="CL304" s="92"/>
      <c r="CM304" s="92"/>
      <c r="CN304" s="92"/>
      <c r="CO304" s="92"/>
      <c r="CP304" s="92"/>
      <c r="CQ304" s="92"/>
      <c r="CR304" s="92"/>
      <c r="CS304" s="92"/>
      <c r="CT304" s="92"/>
      <c r="CU304" s="92"/>
      <c r="CV304" s="92"/>
      <c r="CW304" s="92"/>
      <c r="CX304" s="85"/>
      <c r="CY304" s="85"/>
      <c r="CZ304" s="85"/>
      <c r="DA304" s="85"/>
      <c r="DB304" s="85"/>
      <c r="DC304" s="85"/>
      <c r="DD304" s="85"/>
      <c r="DE304" s="85"/>
      <c r="DF304" s="85"/>
      <c r="DG304" s="85"/>
      <c r="DH304" s="85"/>
      <c r="DI304" s="85"/>
      <c r="DJ304" s="85"/>
      <c r="DK304" s="85"/>
      <c r="DL304" s="85"/>
      <c r="DM304" s="85"/>
      <c r="DN304" s="85"/>
      <c r="DO304" s="85"/>
      <c r="DP304" s="85"/>
    </row>
    <row r="305">
      <c r="A305" s="91"/>
      <c r="B305" s="91"/>
      <c r="C305" s="91"/>
      <c r="D305" s="91"/>
      <c r="E305" s="78"/>
      <c r="F305" s="15"/>
      <c r="G305" s="15"/>
      <c r="H305" s="91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92"/>
      <c r="BO305" s="92"/>
      <c r="BP305" s="92"/>
      <c r="BQ305" s="92"/>
      <c r="BR305" s="92"/>
      <c r="BS305" s="92"/>
      <c r="BT305" s="92"/>
      <c r="BU305" s="92"/>
      <c r="BV305" s="92"/>
      <c r="BW305" s="92"/>
      <c r="BX305" s="92"/>
      <c r="BY305" s="92"/>
      <c r="BZ305" s="92"/>
      <c r="CA305" s="92"/>
      <c r="CB305" s="92"/>
      <c r="CC305" s="92"/>
      <c r="CD305" s="92"/>
      <c r="CE305" s="92"/>
      <c r="CF305" s="92"/>
      <c r="CG305" s="92"/>
      <c r="CH305" s="92"/>
      <c r="CI305" s="92"/>
      <c r="CJ305" s="92"/>
      <c r="CK305" s="92"/>
      <c r="CL305" s="92"/>
      <c r="CM305" s="92"/>
      <c r="CN305" s="92"/>
      <c r="CO305" s="92"/>
      <c r="CP305" s="92"/>
      <c r="CQ305" s="92"/>
      <c r="CR305" s="92"/>
      <c r="CS305" s="92"/>
      <c r="CT305" s="92"/>
      <c r="CU305" s="92"/>
      <c r="CV305" s="92"/>
      <c r="CW305" s="92"/>
      <c r="CX305" s="85"/>
      <c r="CY305" s="85"/>
      <c r="CZ305" s="85"/>
      <c r="DA305" s="85"/>
      <c r="DB305" s="85"/>
      <c r="DC305" s="85"/>
      <c r="DD305" s="85"/>
      <c r="DE305" s="85"/>
      <c r="DF305" s="85"/>
      <c r="DG305" s="85"/>
      <c r="DH305" s="85"/>
      <c r="DI305" s="85"/>
      <c r="DJ305" s="85"/>
      <c r="DK305" s="85"/>
      <c r="DL305" s="85"/>
      <c r="DM305" s="85"/>
      <c r="DN305" s="85"/>
      <c r="DO305" s="85"/>
      <c r="DP305" s="85"/>
    </row>
    <row r="306">
      <c r="A306" s="91"/>
      <c r="B306" s="91"/>
      <c r="C306" s="91"/>
      <c r="D306" s="91"/>
      <c r="E306" s="78"/>
      <c r="F306" s="15"/>
      <c r="G306" s="15"/>
      <c r="H306" s="91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92"/>
      <c r="BO306" s="92"/>
      <c r="BP306" s="92"/>
      <c r="BQ306" s="92"/>
      <c r="BR306" s="92"/>
      <c r="BS306" s="92"/>
      <c r="BT306" s="92"/>
      <c r="BU306" s="92"/>
      <c r="BV306" s="92"/>
      <c r="BW306" s="92"/>
      <c r="BX306" s="92"/>
      <c r="BY306" s="92"/>
      <c r="BZ306" s="92"/>
      <c r="CA306" s="92"/>
      <c r="CB306" s="92"/>
      <c r="CC306" s="92"/>
      <c r="CD306" s="92"/>
      <c r="CE306" s="92"/>
      <c r="CF306" s="92"/>
      <c r="CG306" s="92"/>
      <c r="CH306" s="92"/>
      <c r="CI306" s="92"/>
      <c r="CJ306" s="92"/>
      <c r="CK306" s="92"/>
      <c r="CL306" s="92"/>
      <c r="CM306" s="92"/>
      <c r="CN306" s="92"/>
      <c r="CO306" s="92"/>
      <c r="CP306" s="92"/>
      <c r="CQ306" s="92"/>
      <c r="CR306" s="92"/>
      <c r="CS306" s="92"/>
      <c r="CT306" s="92"/>
      <c r="CU306" s="92"/>
      <c r="CV306" s="92"/>
      <c r="CW306" s="92"/>
      <c r="CX306" s="85"/>
      <c r="CY306" s="85"/>
      <c r="CZ306" s="85"/>
      <c r="DA306" s="85"/>
      <c r="DB306" s="85"/>
      <c r="DC306" s="85"/>
      <c r="DD306" s="85"/>
      <c r="DE306" s="85"/>
      <c r="DF306" s="85"/>
      <c r="DG306" s="85"/>
      <c r="DH306" s="85"/>
      <c r="DI306" s="85"/>
      <c r="DJ306" s="85"/>
      <c r="DK306" s="85"/>
      <c r="DL306" s="85"/>
      <c r="DM306" s="85"/>
      <c r="DN306" s="85"/>
      <c r="DO306" s="85"/>
      <c r="DP306" s="85"/>
    </row>
    <row r="307">
      <c r="A307" s="91"/>
      <c r="B307" s="91"/>
      <c r="C307" s="91"/>
      <c r="D307" s="91"/>
      <c r="E307" s="78"/>
      <c r="F307" s="15"/>
      <c r="G307" s="15"/>
      <c r="H307" s="91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92"/>
      <c r="BO307" s="92"/>
      <c r="BP307" s="92"/>
      <c r="BQ307" s="92"/>
      <c r="BR307" s="92"/>
      <c r="BS307" s="92"/>
      <c r="BT307" s="92"/>
      <c r="BU307" s="92"/>
      <c r="BV307" s="92"/>
      <c r="BW307" s="92"/>
      <c r="BX307" s="92"/>
      <c r="BY307" s="92"/>
      <c r="BZ307" s="92"/>
      <c r="CA307" s="92"/>
      <c r="CB307" s="92"/>
      <c r="CC307" s="92"/>
      <c r="CD307" s="92"/>
      <c r="CE307" s="92"/>
      <c r="CF307" s="92"/>
      <c r="CG307" s="92"/>
      <c r="CH307" s="92"/>
      <c r="CI307" s="92"/>
      <c r="CJ307" s="92"/>
      <c r="CK307" s="92"/>
      <c r="CL307" s="92"/>
      <c r="CM307" s="92"/>
      <c r="CN307" s="92"/>
      <c r="CO307" s="92"/>
      <c r="CP307" s="92"/>
      <c r="CQ307" s="92"/>
      <c r="CR307" s="92"/>
      <c r="CS307" s="92"/>
      <c r="CT307" s="92"/>
      <c r="CU307" s="92"/>
      <c r="CV307" s="92"/>
      <c r="CW307" s="92"/>
      <c r="CX307" s="85"/>
      <c r="CY307" s="85"/>
      <c r="CZ307" s="85"/>
      <c r="DA307" s="85"/>
      <c r="DB307" s="85"/>
      <c r="DC307" s="85"/>
      <c r="DD307" s="85"/>
      <c r="DE307" s="85"/>
      <c r="DF307" s="85"/>
      <c r="DG307" s="85"/>
      <c r="DH307" s="85"/>
      <c r="DI307" s="85"/>
      <c r="DJ307" s="85"/>
      <c r="DK307" s="85"/>
      <c r="DL307" s="85"/>
      <c r="DM307" s="85"/>
      <c r="DN307" s="85"/>
      <c r="DO307" s="85"/>
      <c r="DP307" s="85"/>
    </row>
    <row r="308">
      <c r="A308" s="91"/>
      <c r="B308" s="91"/>
      <c r="C308" s="91"/>
      <c r="D308" s="91"/>
      <c r="E308" s="78"/>
      <c r="F308" s="15"/>
      <c r="G308" s="15"/>
      <c r="H308" s="91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92"/>
      <c r="BO308" s="92"/>
      <c r="BP308" s="92"/>
      <c r="BQ308" s="92"/>
      <c r="BR308" s="92"/>
      <c r="BS308" s="92"/>
      <c r="BT308" s="92"/>
      <c r="BU308" s="92"/>
      <c r="BV308" s="92"/>
      <c r="BW308" s="92"/>
      <c r="BX308" s="92"/>
      <c r="BY308" s="92"/>
      <c r="BZ308" s="92"/>
      <c r="CA308" s="92"/>
      <c r="CB308" s="92"/>
      <c r="CC308" s="92"/>
      <c r="CD308" s="92"/>
      <c r="CE308" s="92"/>
      <c r="CF308" s="92"/>
      <c r="CG308" s="92"/>
      <c r="CH308" s="92"/>
      <c r="CI308" s="92"/>
      <c r="CJ308" s="92"/>
      <c r="CK308" s="92"/>
      <c r="CL308" s="92"/>
      <c r="CM308" s="92"/>
      <c r="CN308" s="92"/>
      <c r="CO308" s="92"/>
      <c r="CP308" s="92"/>
      <c r="CQ308" s="92"/>
      <c r="CR308" s="92"/>
      <c r="CS308" s="92"/>
      <c r="CT308" s="92"/>
      <c r="CU308" s="92"/>
      <c r="CV308" s="92"/>
      <c r="CW308" s="92"/>
      <c r="CX308" s="85"/>
      <c r="CY308" s="85"/>
      <c r="CZ308" s="85"/>
      <c r="DA308" s="85"/>
      <c r="DB308" s="85"/>
      <c r="DC308" s="85"/>
      <c r="DD308" s="85"/>
      <c r="DE308" s="85"/>
      <c r="DF308" s="85"/>
      <c r="DG308" s="85"/>
      <c r="DH308" s="85"/>
      <c r="DI308" s="85"/>
      <c r="DJ308" s="85"/>
      <c r="DK308" s="85"/>
      <c r="DL308" s="85"/>
      <c r="DM308" s="85"/>
      <c r="DN308" s="85"/>
      <c r="DO308" s="85"/>
      <c r="DP308" s="85"/>
    </row>
    <row r="309">
      <c r="A309" s="91"/>
      <c r="B309" s="91"/>
      <c r="C309" s="91"/>
      <c r="D309" s="91"/>
      <c r="E309" s="78"/>
      <c r="F309" s="15"/>
      <c r="G309" s="15"/>
      <c r="H309" s="91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92"/>
      <c r="BO309" s="92"/>
      <c r="BP309" s="92"/>
      <c r="BQ309" s="92"/>
      <c r="BR309" s="92"/>
      <c r="BS309" s="92"/>
      <c r="BT309" s="92"/>
      <c r="BU309" s="92"/>
      <c r="BV309" s="92"/>
      <c r="BW309" s="92"/>
      <c r="BX309" s="92"/>
      <c r="BY309" s="92"/>
      <c r="BZ309" s="92"/>
      <c r="CA309" s="92"/>
      <c r="CB309" s="92"/>
      <c r="CC309" s="92"/>
      <c r="CD309" s="92"/>
      <c r="CE309" s="92"/>
      <c r="CF309" s="92"/>
      <c r="CG309" s="92"/>
      <c r="CH309" s="92"/>
      <c r="CI309" s="92"/>
      <c r="CJ309" s="92"/>
      <c r="CK309" s="92"/>
      <c r="CL309" s="92"/>
      <c r="CM309" s="92"/>
      <c r="CN309" s="92"/>
      <c r="CO309" s="92"/>
      <c r="CP309" s="92"/>
      <c r="CQ309" s="92"/>
      <c r="CR309" s="92"/>
      <c r="CS309" s="92"/>
      <c r="CT309" s="92"/>
      <c r="CU309" s="92"/>
      <c r="CV309" s="92"/>
      <c r="CW309" s="92"/>
      <c r="CX309" s="85"/>
      <c r="CY309" s="85"/>
      <c r="CZ309" s="85"/>
      <c r="DA309" s="85"/>
      <c r="DB309" s="85"/>
      <c r="DC309" s="85"/>
      <c r="DD309" s="85"/>
      <c r="DE309" s="85"/>
      <c r="DF309" s="85"/>
      <c r="DG309" s="85"/>
      <c r="DH309" s="85"/>
      <c r="DI309" s="85"/>
      <c r="DJ309" s="85"/>
      <c r="DK309" s="85"/>
      <c r="DL309" s="85"/>
      <c r="DM309" s="85"/>
      <c r="DN309" s="85"/>
      <c r="DO309" s="85"/>
      <c r="DP309" s="85"/>
    </row>
    <row r="310">
      <c r="A310" s="91"/>
      <c r="B310" s="91"/>
      <c r="C310" s="91"/>
      <c r="D310" s="91"/>
      <c r="E310" s="78"/>
      <c r="F310" s="15"/>
      <c r="G310" s="15"/>
      <c r="H310" s="91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92"/>
      <c r="BO310" s="92"/>
      <c r="BP310" s="92"/>
      <c r="BQ310" s="92"/>
      <c r="BR310" s="92"/>
      <c r="BS310" s="92"/>
      <c r="BT310" s="92"/>
      <c r="BU310" s="92"/>
      <c r="BV310" s="92"/>
      <c r="BW310" s="92"/>
      <c r="BX310" s="92"/>
      <c r="BY310" s="92"/>
      <c r="BZ310" s="92"/>
      <c r="CA310" s="92"/>
      <c r="CB310" s="92"/>
      <c r="CC310" s="92"/>
      <c r="CD310" s="92"/>
      <c r="CE310" s="92"/>
      <c r="CF310" s="92"/>
      <c r="CG310" s="92"/>
      <c r="CH310" s="92"/>
      <c r="CI310" s="92"/>
      <c r="CJ310" s="92"/>
      <c r="CK310" s="92"/>
      <c r="CL310" s="92"/>
      <c r="CM310" s="92"/>
      <c r="CN310" s="92"/>
      <c r="CO310" s="92"/>
      <c r="CP310" s="92"/>
      <c r="CQ310" s="92"/>
      <c r="CR310" s="92"/>
      <c r="CS310" s="92"/>
      <c r="CT310" s="92"/>
      <c r="CU310" s="92"/>
      <c r="CV310" s="92"/>
      <c r="CW310" s="92"/>
      <c r="CX310" s="85"/>
      <c r="CY310" s="85"/>
      <c r="CZ310" s="85"/>
      <c r="DA310" s="85"/>
      <c r="DB310" s="85"/>
      <c r="DC310" s="85"/>
      <c r="DD310" s="85"/>
      <c r="DE310" s="85"/>
      <c r="DF310" s="85"/>
      <c r="DG310" s="85"/>
      <c r="DH310" s="85"/>
      <c r="DI310" s="85"/>
      <c r="DJ310" s="85"/>
      <c r="DK310" s="85"/>
      <c r="DL310" s="85"/>
      <c r="DM310" s="85"/>
      <c r="DN310" s="85"/>
      <c r="DO310" s="85"/>
      <c r="DP310" s="85"/>
    </row>
    <row r="311">
      <c r="A311" s="91"/>
      <c r="B311" s="91"/>
      <c r="C311" s="91"/>
      <c r="D311" s="91"/>
      <c r="E311" s="78"/>
      <c r="F311" s="15"/>
      <c r="G311" s="15"/>
      <c r="H311" s="91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92"/>
      <c r="BO311" s="92"/>
      <c r="BP311" s="92"/>
      <c r="BQ311" s="92"/>
      <c r="BR311" s="92"/>
      <c r="BS311" s="92"/>
      <c r="BT311" s="92"/>
      <c r="BU311" s="92"/>
      <c r="BV311" s="92"/>
      <c r="BW311" s="92"/>
      <c r="BX311" s="92"/>
      <c r="BY311" s="92"/>
      <c r="BZ311" s="92"/>
      <c r="CA311" s="92"/>
      <c r="CB311" s="92"/>
      <c r="CC311" s="92"/>
      <c r="CD311" s="92"/>
      <c r="CE311" s="92"/>
      <c r="CF311" s="92"/>
      <c r="CG311" s="92"/>
      <c r="CH311" s="92"/>
      <c r="CI311" s="92"/>
      <c r="CJ311" s="92"/>
      <c r="CK311" s="92"/>
      <c r="CL311" s="92"/>
      <c r="CM311" s="92"/>
      <c r="CN311" s="92"/>
      <c r="CO311" s="92"/>
      <c r="CP311" s="92"/>
      <c r="CQ311" s="92"/>
      <c r="CR311" s="92"/>
      <c r="CS311" s="92"/>
      <c r="CT311" s="92"/>
      <c r="CU311" s="92"/>
      <c r="CV311" s="92"/>
      <c r="CW311" s="92"/>
      <c r="CX311" s="85"/>
      <c r="CY311" s="85"/>
      <c r="CZ311" s="85"/>
      <c r="DA311" s="85"/>
      <c r="DB311" s="85"/>
      <c r="DC311" s="85"/>
      <c r="DD311" s="85"/>
      <c r="DE311" s="85"/>
      <c r="DF311" s="85"/>
      <c r="DG311" s="85"/>
      <c r="DH311" s="85"/>
      <c r="DI311" s="85"/>
      <c r="DJ311" s="85"/>
      <c r="DK311" s="85"/>
      <c r="DL311" s="85"/>
      <c r="DM311" s="85"/>
      <c r="DN311" s="85"/>
      <c r="DO311" s="85"/>
      <c r="DP311" s="85"/>
    </row>
    <row r="312">
      <c r="A312" s="91"/>
      <c r="B312" s="91"/>
      <c r="C312" s="91"/>
      <c r="D312" s="91"/>
      <c r="E312" s="78"/>
      <c r="F312" s="15"/>
      <c r="G312" s="15"/>
      <c r="H312" s="91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92"/>
      <c r="BO312" s="92"/>
      <c r="BP312" s="92"/>
      <c r="BQ312" s="92"/>
      <c r="BR312" s="92"/>
      <c r="BS312" s="92"/>
      <c r="BT312" s="92"/>
      <c r="BU312" s="92"/>
      <c r="BV312" s="92"/>
      <c r="BW312" s="92"/>
      <c r="BX312" s="92"/>
      <c r="BY312" s="92"/>
      <c r="BZ312" s="92"/>
      <c r="CA312" s="92"/>
      <c r="CB312" s="92"/>
      <c r="CC312" s="92"/>
      <c r="CD312" s="92"/>
      <c r="CE312" s="92"/>
      <c r="CF312" s="92"/>
      <c r="CG312" s="92"/>
      <c r="CH312" s="92"/>
      <c r="CI312" s="92"/>
      <c r="CJ312" s="92"/>
      <c r="CK312" s="92"/>
      <c r="CL312" s="92"/>
      <c r="CM312" s="92"/>
      <c r="CN312" s="92"/>
      <c r="CO312" s="92"/>
      <c r="CP312" s="92"/>
      <c r="CQ312" s="92"/>
      <c r="CR312" s="92"/>
      <c r="CS312" s="92"/>
      <c r="CT312" s="92"/>
      <c r="CU312" s="92"/>
      <c r="CV312" s="92"/>
      <c r="CW312" s="92"/>
      <c r="CX312" s="85"/>
      <c r="CY312" s="85"/>
      <c r="CZ312" s="85"/>
      <c r="DA312" s="85"/>
      <c r="DB312" s="85"/>
      <c r="DC312" s="85"/>
      <c r="DD312" s="85"/>
      <c r="DE312" s="85"/>
      <c r="DF312" s="85"/>
      <c r="DG312" s="85"/>
      <c r="DH312" s="85"/>
      <c r="DI312" s="85"/>
      <c r="DJ312" s="85"/>
      <c r="DK312" s="85"/>
      <c r="DL312" s="85"/>
      <c r="DM312" s="85"/>
      <c r="DN312" s="85"/>
      <c r="DO312" s="85"/>
      <c r="DP312" s="85"/>
    </row>
    <row r="313">
      <c r="A313" s="91"/>
      <c r="B313" s="91"/>
      <c r="C313" s="91"/>
      <c r="D313" s="91"/>
      <c r="E313" s="78"/>
      <c r="F313" s="15"/>
      <c r="G313" s="15"/>
      <c r="H313" s="91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92"/>
      <c r="BO313" s="92"/>
      <c r="BP313" s="92"/>
      <c r="BQ313" s="92"/>
      <c r="BR313" s="92"/>
      <c r="BS313" s="92"/>
      <c r="BT313" s="92"/>
      <c r="BU313" s="92"/>
      <c r="BV313" s="92"/>
      <c r="BW313" s="92"/>
      <c r="BX313" s="92"/>
      <c r="BY313" s="92"/>
      <c r="BZ313" s="92"/>
      <c r="CA313" s="92"/>
      <c r="CB313" s="92"/>
      <c r="CC313" s="92"/>
      <c r="CD313" s="92"/>
      <c r="CE313" s="92"/>
      <c r="CF313" s="92"/>
      <c r="CG313" s="92"/>
      <c r="CH313" s="92"/>
      <c r="CI313" s="92"/>
      <c r="CJ313" s="92"/>
      <c r="CK313" s="92"/>
      <c r="CL313" s="92"/>
      <c r="CM313" s="92"/>
      <c r="CN313" s="92"/>
      <c r="CO313" s="92"/>
      <c r="CP313" s="92"/>
      <c r="CQ313" s="92"/>
      <c r="CR313" s="92"/>
      <c r="CS313" s="92"/>
      <c r="CT313" s="92"/>
      <c r="CU313" s="92"/>
      <c r="CV313" s="92"/>
      <c r="CW313" s="92"/>
      <c r="CX313" s="85"/>
      <c r="CY313" s="85"/>
      <c r="CZ313" s="85"/>
      <c r="DA313" s="85"/>
      <c r="DB313" s="85"/>
      <c r="DC313" s="85"/>
      <c r="DD313" s="85"/>
      <c r="DE313" s="85"/>
      <c r="DF313" s="85"/>
      <c r="DG313" s="85"/>
      <c r="DH313" s="85"/>
      <c r="DI313" s="85"/>
      <c r="DJ313" s="85"/>
      <c r="DK313" s="85"/>
      <c r="DL313" s="85"/>
      <c r="DM313" s="85"/>
      <c r="DN313" s="85"/>
      <c r="DO313" s="85"/>
      <c r="DP313" s="85"/>
    </row>
    <row r="314">
      <c r="A314" s="91"/>
      <c r="B314" s="91"/>
      <c r="C314" s="91"/>
      <c r="D314" s="91"/>
      <c r="E314" s="78"/>
      <c r="F314" s="15"/>
      <c r="G314" s="15"/>
      <c r="H314" s="91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92"/>
      <c r="BO314" s="92"/>
      <c r="BP314" s="92"/>
      <c r="BQ314" s="92"/>
      <c r="BR314" s="92"/>
      <c r="BS314" s="92"/>
      <c r="BT314" s="92"/>
      <c r="BU314" s="92"/>
      <c r="BV314" s="92"/>
      <c r="BW314" s="92"/>
      <c r="BX314" s="92"/>
      <c r="BY314" s="92"/>
      <c r="BZ314" s="92"/>
      <c r="CA314" s="92"/>
      <c r="CB314" s="92"/>
      <c r="CC314" s="92"/>
      <c r="CD314" s="92"/>
      <c r="CE314" s="92"/>
      <c r="CF314" s="92"/>
      <c r="CG314" s="92"/>
      <c r="CH314" s="92"/>
      <c r="CI314" s="92"/>
      <c r="CJ314" s="92"/>
      <c r="CK314" s="92"/>
      <c r="CL314" s="92"/>
      <c r="CM314" s="92"/>
      <c r="CN314" s="92"/>
      <c r="CO314" s="92"/>
      <c r="CP314" s="92"/>
      <c r="CQ314" s="92"/>
      <c r="CR314" s="92"/>
      <c r="CS314" s="92"/>
      <c r="CT314" s="92"/>
      <c r="CU314" s="92"/>
      <c r="CV314" s="92"/>
      <c r="CW314" s="92"/>
      <c r="CX314" s="85"/>
      <c r="CY314" s="85"/>
      <c r="CZ314" s="85"/>
      <c r="DA314" s="85"/>
      <c r="DB314" s="85"/>
      <c r="DC314" s="85"/>
      <c r="DD314" s="85"/>
      <c r="DE314" s="85"/>
      <c r="DF314" s="85"/>
      <c r="DG314" s="85"/>
      <c r="DH314" s="85"/>
      <c r="DI314" s="85"/>
      <c r="DJ314" s="85"/>
      <c r="DK314" s="85"/>
      <c r="DL314" s="85"/>
      <c r="DM314" s="85"/>
      <c r="DN314" s="85"/>
      <c r="DO314" s="85"/>
      <c r="DP314" s="85"/>
    </row>
    <row r="315">
      <c r="A315" s="91"/>
      <c r="B315" s="91"/>
      <c r="C315" s="91"/>
      <c r="D315" s="91"/>
      <c r="E315" s="78"/>
      <c r="F315" s="15"/>
      <c r="G315" s="15"/>
      <c r="H315" s="91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92"/>
      <c r="BO315" s="92"/>
      <c r="BP315" s="92"/>
      <c r="BQ315" s="92"/>
      <c r="BR315" s="92"/>
      <c r="BS315" s="92"/>
      <c r="BT315" s="92"/>
      <c r="BU315" s="92"/>
      <c r="BV315" s="92"/>
      <c r="BW315" s="92"/>
      <c r="BX315" s="92"/>
      <c r="BY315" s="92"/>
      <c r="BZ315" s="92"/>
      <c r="CA315" s="92"/>
      <c r="CB315" s="92"/>
      <c r="CC315" s="92"/>
      <c r="CD315" s="92"/>
      <c r="CE315" s="92"/>
      <c r="CF315" s="92"/>
      <c r="CG315" s="92"/>
      <c r="CH315" s="92"/>
      <c r="CI315" s="92"/>
      <c r="CJ315" s="92"/>
      <c r="CK315" s="92"/>
      <c r="CL315" s="92"/>
      <c r="CM315" s="92"/>
      <c r="CN315" s="92"/>
      <c r="CO315" s="92"/>
      <c r="CP315" s="92"/>
      <c r="CQ315" s="92"/>
      <c r="CR315" s="92"/>
      <c r="CS315" s="92"/>
      <c r="CT315" s="92"/>
      <c r="CU315" s="92"/>
      <c r="CV315" s="92"/>
      <c r="CW315" s="92"/>
      <c r="CX315" s="85"/>
      <c r="CY315" s="85"/>
      <c r="CZ315" s="85"/>
      <c r="DA315" s="85"/>
      <c r="DB315" s="85"/>
      <c r="DC315" s="85"/>
      <c r="DD315" s="85"/>
      <c r="DE315" s="85"/>
      <c r="DF315" s="85"/>
      <c r="DG315" s="85"/>
      <c r="DH315" s="85"/>
      <c r="DI315" s="85"/>
      <c r="DJ315" s="85"/>
      <c r="DK315" s="85"/>
      <c r="DL315" s="85"/>
      <c r="DM315" s="85"/>
      <c r="DN315" s="85"/>
      <c r="DO315" s="85"/>
      <c r="DP315" s="85"/>
    </row>
    <row r="316">
      <c r="A316" s="91"/>
      <c r="B316" s="91"/>
      <c r="C316" s="91"/>
      <c r="D316" s="91"/>
      <c r="E316" s="78"/>
      <c r="F316" s="15"/>
      <c r="G316" s="15"/>
      <c r="H316" s="91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92"/>
      <c r="BO316" s="92"/>
      <c r="BP316" s="92"/>
      <c r="BQ316" s="92"/>
      <c r="BR316" s="92"/>
      <c r="BS316" s="92"/>
      <c r="BT316" s="92"/>
      <c r="BU316" s="92"/>
      <c r="BV316" s="92"/>
      <c r="BW316" s="92"/>
      <c r="BX316" s="92"/>
      <c r="BY316" s="92"/>
      <c r="BZ316" s="92"/>
      <c r="CA316" s="92"/>
      <c r="CB316" s="92"/>
      <c r="CC316" s="92"/>
      <c r="CD316" s="92"/>
      <c r="CE316" s="92"/>
      <c r="CF316" s="92"/>
      <c r="CG316" s="92"/>
      <c r="CH316" s="92"/>
      <c r="CI316" s="92"/>
      <c r="CJ316" s="92"/>
      <c r="CK316" s="92"/>
      <c r="CL316" s="92"/>
      <c r="CM316" s="92"/>
      <c r="CN316" s="92"/>
      <c r="CO316" s="92"/>
      <c r="CP316" s="92"/>
      <c r="CQ316" s="92"/>
      <c r="CR316" s="92"/>
      <c r="CS316" s="92"/>
      <c r="CT316" s="92"/>
      <c r="CU316" s="92"/>
      <c r="CV316" s="92"/>
      <c r="CW316" s="92"/>
      <c r="CX316" s="85"/>
      <c r="CY316" s="85"/>
      <c r="CZ316" s="85"/>
      <c r="DA316" s="85"/>
      <c r="DB316" s="85"/>
      <c r="DC316" s="85"/>
      <c r="DD316" s="85"/>
      <c r="DE316" s="85"/>
      <c r="DF316" s="85"/>
      <c r="DG316" s="85"/>
      <c r="DH316" s="85"/>
      <c r="DI316" s="85"/>
      <c r="DJ316" s="85"/>
      <c r="DK316" s="85"/>
      <c r="DL316" s="85"/>
      <c r="DM316" s="85"/>
      <c r="DN316" s="85"/>
      <c r="DO316" s="85"/>
      <c r="DP316" s="85"/>
    </row>
    <row r="317">
      <c r="A317" s="91"/>
      <c r="B317" s="91"/>
      <c r="C317" s="91"/>
      <c r="D317" s="91"/>
      <c r="E317" s="78"/>
      <c r="F317" s="15"/>
      <c r="G317" s="15"/>
      <c r="H317" s="91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92"/>
      <c r="BO317" s="92"/>
      <c r="BP317" s="92"/>
      <c r="BQ317" s="92"/>
      <c r="BR317" s="92"/>
      <c r="BS317" s="92"/>
      <c r="BT317" s="92"/>
      <c r="BU317" s="92"/>
      <c r="BV317" s="92"/>
      <c r="BW317" s="92"/>
      <c r="BX317" s="92"/>
      <c r="BY317" s="92"/>
      <c r="BZ317" s="92"/>
      <c r="CA317" s="92"/>
      <c r="CB317" s="92"/>
      <c r="CC317" s="92"/>
      <c r="CD317" s="92"/>
      <c r="CE317" s="92"/>
      <c r="CF317" s="92"/>
      <c r="CG317" s="92"/>
      <c r="CH317" s="92"/>
      <c r="CI317" s="92"/>
      <c r="CJ317" s="92"/>
      <c r="CK317" s="92"/>
      <c r="CL317" s="92"/>
      <c r="CM317" s="92"/>
      <c r="CN317" s="92"/>
      <c r="CO317" s="92"/>
      <c r="CP317" s="92"/>
      <c r="CQ317" s="92"/>
      <c r="CR317" s="92"/>
      <c r="CS317" s="92"/>
      <c r="CT317" s="92"/>
      <c r="CU317" s="92"/>
      <c r="CV317" s="92"/>
      <c r="CW317" s="92"/>
      <c r="CX317" s="85"/>
      <c r="CY317" s="85"/>
      <c r="CZ317" s="85"/>
      <c r="DA317" s="85"/>
      <c r="DB317" s="85"/>
      <c r="DC317" s="85"/>
      <c r="DD317" s="85"/>
      <c r="DE317" s="85"/>
      <c r="DF317" s="85"/>
      <c r="DG317" s="85"/>
      <c r="DH317" s="85"/>
      <c r="DI317" s="85"/>
      <c r="DJ317" s="85"/>
      <c r="DK317" s="85"/>
      <c r="DL317" s="85"/>
      <c r="DM317" s="85"/>
      <c r="DN317" s="85"/>
      <c r="DO317" s="85"/>
      <c r="DP317" s="85"/>
    </row>
    <row r="318">
      <c r="A318" s="91"/>
      <c r="B318" s="91"/>
      <c r="C318" s="91"/>
      <c r="D318" s="91"/>
      <c r="E318" s="78"/>
      <c r="F318" s="15"/>
      <c r="G318" s="15"/>
      <c r="H318" s="91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92"/>
      <c r="BO318" s="92"/>
      <c r="BP318" s="92"/>
      <c r="BQ318" s="92"/>
      <c r="BR318" s="92"/>
      <c r="BS318" s="92"/>
      <c r="BT318" s="92"/>
      <c r="BU318" s="92"/>
      <c r="BV318" s="92"/>
      <c r="BW318" s="92"/>
      <c r="BX318" s="92"/>
      <c r="BY318" s="92"/>
      <c r="BZ318" s="92"/>
      <c r="CA318" s="92"/>
      <c r="CB318" s="92"/>
      <c r="CC318" s="92"/>
      <c r="CD318" s="92"/>
      <c r="CE318" s="92"/>
      <c r="CF318" s="92"/>
      <c r="CG318" s="92"/>
      <c r="CH318" s="92"/>
      <c r="CI318" s="92"/>
      <c r="CJ318" s="92"/>
      <c r="CK318" s="92"/>
      <c r="CL318" s="92"/>
      <c r="CM318" s="92"/>
      <c r="CN318" s="92"/>
      <c r="CO318" s="92"/>
      <c r="CP318" s="92"/>
      <c r="CQ318" s="92"/>
      <c r="CR318" s="92"/>
      <c r="CS318" s="92"/>
      <c r="CT318" s="92"/>
      <c r="CU318" s="92"/>
      <c r="CV318" s="92"/>
      <c r="CW318" s="92"/>
      <c r="CX318" s="85"/>
      <c r="CY318" s="85"/>
      <c r="CZ318" s="85"/>
      <c r="DA318" s="85"/>
      <c r="DB318" s="85"/>
      <c r="DC318" s="85"/>
      <c r="DD318" s="85"/>
      <c r="DE318" s="85"/>
      <c r="DF318" s="85"/>
      <c r="DG318" s="85"/>
      <c r="DH318" s="85"/>
      <c r="DI318" s="85"/>
      <c r="DJ318" s="85"/>
      <c r="DK318" s="85"/>
      <c r="DL318" s="85"/>
      <c r="DM318" s="85"/>
      <c r="DN318" s="85"/>
      <c r="DO318" s="85"/>
      <c r="DP318" s="85"/>
    </row>
    <row r="319">
      <c r="A319" s="91"/>
      <c r="B319" s="91"/>
      <c r="C319" s="91"/>
      <c r="D319" s="91"/>
      <c r="E319" s="78"/>
      <c r="F319" s="15"/>
      <c r="G319" s="15"/>
      <c r="H319" s="91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92"/>
      <c r="BO319" s="92"/>
      <c r="BP319" s="92"/>
      <c r="BQ319" s="92"/>
      <c r="BR319" s="92"/>
      <c r="BS319" s="92"/>
      <c r="BT319" s="92"/>
      <c r="BU319" s="92"/>
      <c r="BV319" s="92"/>
      <c r="BW319" s="92"/>
      <c r="BX319" s="92"/>
      <c r="BY319" s="92"/>
      <c r="BZ319" s="92"/>
      <c r="CA319" s="92"/>
      <c r="CB319" s="92"/>
      <c r="CC319" s="92"/>
      <c r="CD319" s="92"/>
      <c r="CE319" s="92"/>
      <c r="CF319" s="92"/>
      <c r="CG319" s="92"/>
      <c r="CH319" s="92"/>
      <c r="CI319" s="92"/>
      <c r="CJ319" s="92"/>
      <c r="CK319" s="92"/>
      <c r="CL319" s="92"/>
      <c r="CM319" s="92"/>
      <c r="CN319" s="92"/>
      <c r="CO319" s="92"/>
      <c r="CP319" s="92"/>
      <c r="CQ319" s="92"/>
      <c r="CR319" s="92"/>
      <c r="CS319" s="92"/>
      <c r="CT319" s="92"/>
      <c r="CU319" s="92"/>
      <c r="CV319" s="92"/>
      <c r="CW319" s="92"/>
      <c r="CX319" s="85"/>
      <c r="CY319" s="85"/>
      <c r="CZ319" s="85"/>
      <c r="DA319" s="85"/>
      <c r="DB319" s="85"/>
      <c r="DC319" s="85"/>
      <c r="DD319" s="85"/>
      <c r="DE319" s="85"/>
      <c r="DF319" s="85"/>
      <c r="DG319" s="85"/>
      <c r="DH319" s="85"/>
      <c r="DI319" s="85"/>
      <c r="DJ319" s="85"/>
      <c r="DK319" s="85"/>
      <c r="DL319" s="85"/>
      <c r="DM319" s="85"/>
      <c r="DN319" s="85"/>
      <c r="DO319" s="85"/>
      <c r="DP319" s="85"/>
    </row>
    <row r="320">
      <c r="A320" s="91"/>
      <c r="B320" s="91"/>
      <c r="C320" s="91"/>
      <c r="D320" s="91"/>
      <c r="E320" s="78"/>
      <c r="F320" s="15"/>
      <c r="G320" s="15"/>
      <c r="H320" s="91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  <c r="BM320" s="15"/>
      <c r="BN320" s="92"/>
      <c r="BO320" s="92"/>
      <c r="BP320" s="92"/>
      <c r="BQ320" s="92"/>
      <c r="BR320" s="92"/>
      <c r="BS320" s="92"/>
      <c r="BT320" s="92"/>
      <c r="BU320" s="92"/>
      <c r="BV320" s="92"/>
      <c r="BW320" s="92"/>
      <c r="BX320" s="92"/>
      <c r="BY320" s="92"/>
      <c r="BZ320" s="92"/>
      <c r="CA320" s="92"/>
      <c r="CB320" s="92"/>
      <c r="CC320" s="92"/>
      <c r="CD320" s="92"/>
      <c r="CE320" s="92"/>
      <c r="CF320" s="92"/>
      <c r="CG320" s="92"/>
      <c r="CH320" s="92"/>
      <c r="CI320" s="92"/>
      <c r="CJ320" s="92"/>
      <c r="CK320" s="92"/>
      <c r="CL320" s="92"/>
      <c r="CM320" s="92"/>
      <c r="CN320" s="92"/>
      <c r="CO320" s="92"/>
      <c r="CP320" s="92"/>
      <c r="CQ320" s="92"/>
      <c r="CR320" s="92"/>
      <c r="CS320" s="92"/>
      <c r="CT320" s="92"/>
      <c r="CU320" s="92"/>
      <c r="CV320" s="92"/>
      <c r="CW320" s="92"/>
      <c r="CX320" s="85"/>
      <c r="CY320" s="85"/>
      <c r="CZ320" s="85"/>
      <c r="DA320" s="85"/>
      <c r="DB320" s="85"/>
      <c r="DC320" s="85"/>
      <c r="DD320" s="85"/>
      <c r="DE320" s="85"/>
      <c r="DF320" s="85"/>
      <c r="DG320" s="85"/>
      <c r="DH320" s="85"/>
      <c r="DI320" s="85"/>
      <c r="DJ320" s="85"/>
      <c r="DK320" s="85"/>
      <c r="DL320" s="85"/>
      <c r="DM320" s="85"/>
      <c r="DN320" s="85"/>
      <c r="DO320" s="85"/>
      <c r="DP320" s="85"/>
    </row>
    <row r="321">
      <c r="A321" s="91"/>
      <c r="B321" s="91"/>
      <c r="C321" s="91"/>
      <c r="D321" s="91"/>
      <c r="E321" s="78"/>
      <c r="F321" s="15"/>
      <c r="G321" s="15"/>
      <c r="H321" s="91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92"/>
      <c r="BO321" s="92"/>
      <c r="BP321" s="92"/>
      <c r="BQ321" s="92"/>
      <c r="BR321" s="92"/>
      <c r="BS321" s="92"/>
      <c r="BT321" s="92"/>
      <c r="BU321" s="92"/>
      <c r="BV321" s="92"/>
      <c r="BW321" s="92"/>
      <c r="BX321" s="92"/>
      <c r="BY321" s="92"/>
      <c r="BZ321" s="92"/>
      <c r="CA321" s="92"/>
      <c r="CB321" s="92"/>
      <c r="CC321" s="92"/>
      <c r="CD321" s="92"/>
      <c r="CE321" s="92"/>
      <c r="CF321" s="92"/>
      <c r="CG321" s="92"/>
      <c r="CH321" s="92"/>
      <c r="CI321" s="92"/>
      <c r="CJ321" s="92"/>
      <c r="CK321" s="92"/>
      <c r="CL321" s="92"/>
      <c r="CM321" s="92"/>
      <c r="CN321" s="92"/>
      <c r="CO321" s="92"/>
      <c r="CP321" s="92"/>
      <c r="CQ321" s="92"/>
      <c r="CR321" s="92"/>
      <c r="CS321" s="92"/>
      <c r="CT321" s="92"/>
      <c r="CU321" s="92"/>
      <c r="CV321" s="92"/>
      <c r="CW321" s="92"/>
      <c r="CX321" s="85"/>
      <c r="CY321" s="85"/>
      <c r="CZ321" s="85"/>
      <c r="DA321" s="85"/>
      <c r="DB321" s="85"/>
      <c r="DC321" s="85"/>
      <c r="DD321" s="85"/>
      <c r="DE321" s="85"/>
      <c r="DF321" s="85"/>
      <c r="DG321" s="85"/>
      <c r="DH321" s="85"/>
      <c r="DI321" s="85"/>
      <c r="DJ321" s="85"/>
      <c r="DK321" s="85"/>
      <c r="DL321" s="85"/>
      <c r="DM321" s="85"/>
      <c r="DN321" s="85"/>
      <c r="DO321" s="85"/>
      <c r="DP321" s="85"/>
    </row>
    <row r="322">
      <c r="A322" s="91"/>
      <c r="B322" s="91"/>
      <c r="C322" s="91"/>
      <c r="D322" s="91"/>
      <c r="E322" s="78"/>
      <c r="F322" s="15"/>
      <c r="G322" s="15"/>
      <c r="H322" s="91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  <c r="BJ322" s="15"/>
      <c r="BK322" s="15"/>
      <c r="BL322" s="15"/>
      <c r="BM322" s="15"/>
      <c r="BN322" s="92"/>
      <c r="BO322" s="92"/>
      <c r="BP322" s="92"/>
      <c r="BQ322" s="92"/>
      <c r="BR322" s="92"/>
      <c r="BS322" s="92"/>
      <c r="BT322" s="92"/>
      <c r="BU322" s="92"/>
      <c r="BV322" s="92"/>
      <c r="BW322" s="92"/>
      <c r="BX322" s="92"/>
      <c r="BY322" s="92"/>
      <c r="BZ322" s="92"/>
      <c r="CA322" s="92"/>
      <c r="CB322" s="92"/>
      <c r="CC322" s="92"/>
      <c r="CD322" s="92"/>
      <c r="CE322" s="92"/>
      <c r="CF322" s="92"/>
      <c r="CG322" s="92"/>
      <c r="CH322" s="92"/>
      <c r="CI322" s="92"/>
      <c r="CJ322" s="92"/>
      <c r="CK322" s="92"/>
      <c r="CL322" s="92"/>
      <c r="CM322" s="92"/>
      <c r="CN322" s="92"/>
      <c r="CO322" s="92"/>
      <c r="CP322" s="92"/>
      <c r="CQ322" s="92"/>
      <c r="CR322" s="92"/>
      <c r="CS322" s="92"/>
      <c r="CT322" s="92"/>
      <c r="CU322" s="92"/>
      <c r="CV322" s="92"/>
      <c r="CW322" s="92"/>
      <c r="CX322" s="85"/>
      <c r="CY322" s="85"/>
      <c r="CZ322" s="85"/>
      <c r="DA322" s="85"/>
      <c r="DB322" s="85"/>
      <c r="DC322" s="85"/>
      <c r="DD322" s="85"/>
      <c r="DE322" s="85"/>
      <c r="DF322" s="85"/>
      <c r="DG322" s="85"/>
      <c r="DH322" s="85"/>
      <c r="DI322" s="85"/>
      <c r="DJ322" s="85"/>
      <c r="DK322" s="85"/>
      <c r="DL322" s="85"/>
      <c r="DM322" s="85"/>
      <c r="DN322" s="85"/>
      <c r="DO322" s="85"/>
      <c r="DP322" s="85"/>
    </row>
    <row r="323">
      <c r="A323" s="91"/>
      <c r="B323" s="91"/>
      <c r="C323" s="91"/>
      <c r="D323" s="91"/>
      <c r="E323" s="78"/>
      <c r="F323" s="15"/>
      <c r="G323" s="15"/>
      <c r="H323" s="91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92"/>
      <c r="BO323" s="92"/>
      <c r="BP323" s="92"/>
      <c r="BQ323" s="92"/>
      <c r="BR323" s="92"/>
      <c r="BS323" s="92"/>
      <c r="BT323" s="92"/>
      <c r="BU323" s="92"/>
      <c r="BV323" s="92"/>
      <c r="BW323" s="92"/>
      <c r="BX323" s="92"/>
      <c r="BY323" s="92"/>
      <c r="BZ323" s="92"/>
      <c r="CA323" s="92"/>
      <c r="CB323" s="92"/>
      <c r="CC323" s="92"/>
      <c r="CD323" s="92"/>
      <c r="CE323" s="92"/>
      <c r="CF323" s="92"/>
      <c r="CG323" s="92"/>
      <c r="CH323" s="92"/>
      <c r="CI323" s="92"/>
      <c r="CJ323" s="92"/>
      <c r="CK323" s="92"/>
      <c r="CL323" s="92"/>
      <c r="CM323" s="92"/>
      <c r="CN323" s="92"/>
      <c r="CO323" s="92"/>
      <c r="CP323" s="92"/>
      <c r="CQ323" s="92"/>
      <c r="CR323" s="92"/>
      <c r="CS323" s="92"/>
      <c r="CT323" s="92"/>
      <c r="CU323" s="92"/>
      <c r="CV323" s="92"/>
      <c r="CW323" s="92"/>
      <c r="CX323" s="85"/>
      <c r="CY323" s="85"/>
      <c r="CZ323" s="85"/>
      <c r="DA323" s="85"/>
      <c r="DB323" s="85"/>
      <c r="DC323" s="85"/>
      <c r="DD323" s="85"/>
      <c r="DE323" s="85"/>
      <c r="DF323" s="85"/>
      <c r="DG323" s="85"/>
      <c r="DH323" s="85"/>
      <c r="DI323" s="85"/>
      <c r="DJ323" s="85"/>
      <c r="DK323" s="85"/>
      <c r="DL323" s="85"/>
      <c r="DM323" s="85"/>
      <c r="DN323" s="85"/>
      <c r="DO323" s="85"/>
      <c r="DP323" s="85"/>
    </row>
    <row r="324">
      <c r="A324" s="91"/>
      <c r="B324" s="91"/>
      <c r="C324" s="91"/>
      <c r="D324" s="91"/>
      <c r="E324" s="78"/>
      <c r="F324" s="15"/>
      <c r="G324" s="15"/>
      <c r="H324" s="91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/>
      <c r="BM324" s="15"/>
      <c r="BN324" s="92"/>
      <c r="BO324" s="92"/>
      <c r="BP324" s="92"/>
      <c r="BQ324" s="92"/>
      <c r="BR324" s="92"/>
      <c r="BS324" s="92"/>
      <c r="BT324" s="92"/>
      <c r="BU324" s="92"/>
      <c r="BV324" s="92"/>
      <c r="BW324" s="92"/>
      <c r="BX324" s="92"/>
      <c r="BY324" s="92"/>
      <c r="BZ324" s="92"/>
      <c r="CA324" s="92"/>
      <c r="CB324" s="92"/>
      <c r="CC324" s="92"/>
      <c r="CD324" s="92"/>
      <c r="CE324" s="92"/>
      <c r="CF324" s="92"/>
      <c r="CG324" s="92"/>
      <c r="CH324" s="92"/>
      <c r="CI324" s="92"/>
      <c r="CJ324" s="92"/>
      <c r="CK324" s="92"/>
      <c r="CL324" s="92"/>
      <c r="CM324" s="92"/>
      <c r="CN324" s="92"/>
      <c r="CO324" s="92"/>
      <c r="CP324" s="92"/>
      <c r="CQ324" s="92"/>
      <c r="CR324" s="92"/>
      <c r="CS324" s="92"/>
      <c r="CT324" s="92"/>
      <c r="CU324" s="92"/>
      <c r="CV324" s="92"/>
      <c r="CW324" s="92"/>
      <c r="CX324" s="85"/>
      <c r="CY324" s="85"/>
      <c r="CZ324" s="85"/>
      <c r="DA324" s="85"/>
      <c r="DB324" s="85"/>
      <c r="DC324" s="85"/>
      <c r="DD324" s="85"/>
      <c r="DE324" s="85"/>
      <c r="DF324" s="85"/>
      <c r="DG324" s="85"/>
      <c r="DH324" s="85"/>
      <c r="DI324" s="85"/>
      <c r="DJ324" s="85"/>
      <c r="DK324" s="85"/>
      <c r="DL324" s="85"/>
      <c r="DM324" s="85"/>
      <c r="DN324" s="85"/>
      <c r="DO324" s="85"/>
      <c r="DP324" s="85"/>
    </row>
    <row r="325">
      <c r="A325" s="91"/>
      <c r="B325" s="91"/>
      <c r="C325" s="91"/>
      <c r="D325" s="91"/>
      <c r="E325" s="78"/>
      <c r="F325" s="15"/>
      <c r="G325" s="15"/>
      <c r="H325" s="91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92"/>
      <c r="BO325" s="92"/>
      <c r="BP325" s="92"/>
      <c r="BQ325" s="92"/>
      <c r="BR325" s="92"/>
      <c r="BS325" s="92"/>
      <c r="BT325" s="92"/>
      <c r="BU325" s="92"/>
      <c r="BV325" s="92"/>
      <c r="BW325" s="92"/>
      <c r="BX325" s="92"/>
      <c r="BY325" s="92"/>
      <c r="BZ325" s="92"/>
      <c r="CA325" s="92"/>
      <c r="CB325" s="92"/>
      <c r="CC325" s="92"/>
      <c r="CD325" s="92"/>
      <c r="CE325" s="92"/>
      <c r="CF325" s="92"/>
      <c r="CG325" s="92"/>
      <c r="CH325" s="92"/>
      <c r="CI325" s="92"/>
      <c r="CJ325" s="92"/>
      <c r="CK325" s="92"/>
      <c r="CL325" s="92"/>
      <c r="CM325" s="92"/>
      <c r="CN325" s="92"/>
      <c r="CO325" s="92"/>
      <c r="CP325" s="92"/>
      <c r="CQ325" s="92"/>
      <c r="CR325" s="92"/>
      <c r="CS325" s="92"/>
      <c r="CT325" s="92"/>
      <c r="CU325" s="92"/>
      <c r="CV325" s="92"/>
      <c r="CW325" s="92"/>
      <c r="CX325" s="85"/>
      <c r="CY325" s="85"/>
      <c r="CZ325" s="85"/>
      <c r="DA325" s="85"/>
      <c r="DB325" s="85"/>
      <c r="DC325" s="85"/>
      <c r="DD325" s="85"/>
      <c r="DE325" s="85"/>
      <c r="DF325" s="85"/>
      <c r="DG325" s="85"/>
      <c r="DH325" s="85"/>
      <c r="DI325" s="85"/>
      <c r="DJ325" s="85"/>
      <c r="DK325" s="85"/>
      <c r="DL325" s="85"/>
      <c r="DM325" s="85"/>
      <c r="DN325" s="85"/>
      <c r="DO325" s="85"/>
      <c r="DP325" s="85"/>
    </row>
    <row r="326">
      <c r="A326" s="91"/>
      <c r="B326" s="91"/>
      <c r="C326" s="91"/>
      <c r="D326" s="91"/>
      <c r="E326" s="78"/>
      <c r="F326" s="15"/>
      <c r="G326" s="15"/>
      <c r="H326" s="91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  <c r="BM326" s="15"/>
      <c r="BN326" s="92"/>
      <c r="BO326" s="92"/>
      <c r="BP326" s="92"/>
      <c r="BQ326" s="92"/>
      <c r="BR326" s="92"/>
      <c r="BS326" s="92"/>
      <c r="BT326" s="92"/>
      <c r="BU326" s="92"/>
      <c r="BV326" s="92"/>
      <c r="BW326" s="92"/>
      <c r="BX326" s="92"/>
      <c r="BY326" s="92"/>
      <c r="BZ326" s="92"/>
      <c r="CA326" s="92"/>
      <c r="CB326" s="92"/>
      <c r="CC326" s="92"/>
      <c r="CD326" s="92"/>
      <c r="CE326" s="92"/>
      <c r="CF326" s="92"/>
      <c r="CG326" s="92"/>
      <c r="CH326" s="92"/>
      <c r="CI326" s="92"/>
      <c r="CJ326" s="92"/>
      <c r="CK326" s="92"/>
      <c r="CL326" s="92"/>
      <c r="CM326" s="92"/>
      <c r="CN326" s="92"/>
      <c r="CO326" s="92"/>
      <c r="CP326" s="92"/>
      <c r="CQ326" s="92"/>
      <c r="CR326" s="92"/>
      <c r="CS326" s="92"/>
      <c r="CT326" s="92"/>
      <c r="CU326" s="92"/>
      <c r="CV326" s="92"/>
      <c r="CW326" s="92"/>
      <c r="CX326" s="85"/>
      <c r="CY326" s="85"/>
      <c r="CZ326" s="85"/>
      <c r="DA326" s="85"/>
      <c r="DB326" s="85"/>
      <c r="DC326" s="85"/>
      <c r="DD326" s="85"/>
      <c r="DE326" s="85"/>
      <c r="DF326" s="85"/>
      <c r="DG326" s="85"/>
      <c r="DH326" s="85"/>
      <c r="DI326" s="85"/>
      <c r="DJ326" s="85"/>
      <c r="DK326" s="85"/>
      <c r="DL326" s="85"/>
      <c r="DM326" s="85"/>
      <c r="DN326" s="85"/>
      <c r="DO326" s="85"/>
      <c r="DP326" s="85"/>
    </row>
    <row r="327">
      <c r="A327" s="91"/>
      <c r="B327" s="91"/>
      <c r="C327" s="91"/>
      <c r="D327" s="91"/>
      <c r="E327" s="78"/>
      <c r="F327" s="15"/>
      <c r="G327" s="15"/>
      <c r="H327" s="91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92"/>
      <c r="BO327" s="92"/>
      <c r="BP327" s="92"/>
      <c r="BQ327" s="92"/>
      <c r="BR327" s="92"/>
      <c r="BS327" s="92"/>
      <c r="BT327" s="92"/>
      <c r="BU327" s="92"/>
      <c r="BV327" s="92"/>
      <c r="BW327" s="92"/>
      <c r="BX327" s="92"/>
      <c r="BY327" s="92"/>
      <c r="BZ327" s="92"/>
      <c r="CA327" s="92"/>
      <c r="CB327" s="92"/>
      <c r="CC327" s="92"/>
      <c r="CD327" s="92"/>
      <c r="CE327" s="92"/>
      <c r="CF327" s="92"/>
      <c r="CG327" s="92"/>
      <c r="CH327" s="92"/>
      <c r="CI327" s="92"/>
      <c r="CJ327" s="92"/>
      <c r="CK327" s="92"/>
      <c r="CL327" s="92"/>
      <c r="CM327" s="92"/>
      <c r="CN327" s="92"/>
      <c r="CO327" s="92"/>
      <c r="CP327" s="92"/>
      <c r="CQ327" s="92"/>
      <c r="CR327" s="92"/>
      <c r="CS327" s="92"/>
      <c r="CT327" s="92"/>
      <c r="CU327" s="92"/>
      <c r="CV327" s="92"/>
      <c r="CW327" s="92"/>
      <c r="CX327" s="85"/>
      <c r="CY327" s="85"/>
      <c r="CZ327" s="85"/>
      <c r="DA327" s="85"/>
      <c r="DB327" s="85"/>
      <c r="DC327" s="85"/>
      <c r="DD327" s="85"/>
      <c r="DE327" s="85"/>
      <c r="DF327" s="85"/>
      <c r="DG327" s="85"/>
      <c r="DH327" s="85"/>
      <c r="DI327" s="85"/>
      <c r="DJ327" s="85"/>
      <c r="DK327" s="85"/>
      <c r="DL327" s="85"/>
      <c r="DM327" s="85"/>
      <c r="DN327" s="85"/>
      <c r="DO327" s="85"/>
      <c r="DP327" s="85"/>
    </row>
    <row r="328">
      <c r="A328" s="91"/>
      <c r="B328" s="91"/>
      <c r="C328" s="91"/>
      <c r="D328" s="91"/>
      <c r="E328" s="78"/>
      <c r="F328" s="15"/>
      <c r="G328" s="15"/>
      <c r="H328" s="91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  <c r="BM328" s="15"/>
      <c r="BN328" s="92"/>
      <c r="BO328" s="92"/>
      <c r="BP328" s="92"/>
      <c r="BQ328" s="92"/>
      <c r="BR328" s="92"/>
      <c r="BS328" s="92"/>
      <c r="BT328" s="92"/>
      <c r="BU328" s="92"/>
      <c r="BV328" s="92"/>
      <c r="BW328" s="92"/>
      <c r="BX328" s="92"/>
      <c r="BY328" s="92"/>
      <c r="BZ328" s="92"/>
      <c r="CA328" s="92"/>
      <c r="CB328" s="92"/>
      <c r="CC328" s="92"/>
      <c r="CD328" s="92"/>
      <c r="CE328" s="92"/>
      <c r="CF328" s="92"/>
      <c r="CG328" s="92"/>
      <c r="CH328" s="92"/>
      <c r="CI328" s="92"/>
      <c r="CJ328" s="92"/>
      <c r="CK328" s="92"/>
      <c r="CL328" s="92"/>
      <c r="CM328" s="92"/>
      <c r="CN328" s="92"/>
      <c r="CO328" s="92"/>
      <c r="CP328" s="92"/>
      <c r="CQ328" s="92"/>
      <c r="CR328" s="92"/>
      <c r="CS328" s="92"/>
      <c r="CT328" s="92"/>
      <c r="CU328" s="92"/>
      <c r="CV328" s="92"/>
      <c r="CW328" s="92"/>
      <c r="CX328" s="85"/>
      <c r="CY328" s="85"/>
      <c r="CZ328" s="85"/>
      <c r="DA328" s="85"/>
      <c r="DB328" s="85"/>
      <c r="DC328" s="85"/>
      <c r="DD328" s="85"/>
      <c r="DE328" s="85"/>
      <c r="DF328" s="85"/>
      <c r="DG328" s="85"/>
      <c r="DH328" s="85"/>
      <c r="DI328" s="85"/>
      <c r="DJ328" s="85"/>
      <c r="DK328" s="85"/>
      <c r="DL328" s="85"/>
      <c r="DM328" s="85"/>
      <c r="DN328" s="85"/>
      <c r="DO328" s="85"/>
      <c r="DP328" s="85"/>
    </row>
    <row r="329">
      <c r="A329" s="91"/>
      <c r="B329" s="91"/>
      <c r="C329" s="91"/>
      <c r="D329" s="91"/>
      <c r="E329" s="78"/>
      <c r="F329" s="15"/>
      <c r="G329" s="15"/>
      <c r="H329" s="91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92"/>
      <c r="BO329" s="92"/>
      <c r="BP329" s="92"/>
      <c r="BQ329" s="92"/>
      <c r="BR329" s="92"/>
      <c r="BS329" s="92"/>
      <c r="BT329" s="92"/>
      <c r="BU329" s="92"/>
      <c r="BV329" s="92"/>
      <c r="BW329" s="92"/>
      <c r="BX329" s="92"/>
      <c r="BY329" s="92"/>
      <c r="BZ329" s="92"/>
      <c r="CA329" s="92"/>
      <c r="CB329" s="92"/>
      <c r="CC329" s="92"/>
      <c r="CD329" s="92"/>
      <c r="CE329" s="92"/>
      <c r="CF329" s="92"/>
      <c r="CG329" s="92"/>
      <c r="CH329" s="92"/>
      <c r="CI329" s="92"/>
      <c r="CJ329" s="92"/>
      <c r="CK329" s="92"/>
      <c r="CL329" s="92"/>
      <c r="CM329" s="92"/>
      <c r="CN329" s="92"/>
      <c r="CO329" s="92"/>
      <c r="CP329" s="92"/>
      <c r="CQ329" s="92"/>
      <c r="CR329" s="92"/>
      <c r="CS329" s="92"/>
      <c r="CT329" s="92"/>
      <c r="CU329" s="92"/>
      <c r="CV329" s="92"/>
      <c r="CW329" s="92"/>
      <c r="CX329" s="85"/>
      <c r="CY329" s="85"/>
      <c r="CZ329" s="85"/>
      <c r="DA329" s="85"/>
      <c r="DB329" s="85"/>
      <c r="DC329" s="85"/>
      <c r="DD329" s="85"/>
      <c r="DE329" s="85"/>
      <c r="DF329" s="85"/>
      <c r="DG329" s="85"/>
      <c r="DH329" s="85"/>
      <c r="DI329" s="85"/>
      <c r="DJ329" s="85"/>
      <c r="DK329" s="85"/>
      <c r="DL329" s="85"/>
      <c r="DM329" s="85"/>
      <c r="DN329" s="85"/>
      <c r="DO329" s="85"/>
      <c r="DP329" s="85"/>
    </row>
    <row r="330">
      <c r="A330" s="91"/>
      <c r="B330" s="91"/>
      <c r="C330" s="91"/>
      <c r="D330" s="91"/>
      <c r="E330" s="78"/>
      <c r="F330" s="15"/>
      <c r="G330" s="15"/>
      <c r="H330" s="91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  <c r="BM330" s="15"/>
      <c r="BN330" s="92"/>
      <c r="BO330" s="92"/>
      <c r="BP330" s="92"/>
      <c r="BQ330" s="92"/>
      <c r="BR330" s="92"/>
      <c r="BS330" s="92"/>
      <c r="BT330" s="92"/>
      <c r="BU330" s="92"/>
      <c r="BV330" s="92"/>
      <c r="BW330" s="92"/>
      <c r="BX330" s="92"/>
      <c r="BY330" s="92"/>
      <c r="BZ330" s="92"/>
      <c r="CA330" s="92"/>
      <c r="CB330" s="92"/>
      <c r="CC330" s="92"/>
      <c r="CD330" s="92"/>
      <c r="CE330" s="92"/>
      <c r="CF330" s="92"/>
      <c r="CG330" s="92"/>
      <c r="CH330" s="92"/>
      <c r="CI330" s="92"/>
      <c r="CJ330" s="92"/>
      <c r="CK330" s="92"/>
      <c r="CL330" s="92"/>
      <c r="CM330" s="92"/>
      <c r="CN330" s="92"/>
      <c r="CO330" s="92"/>
      <c r="CP330" s="92"/>
      <c r="CQ330" s="92"/>
      <c r="CR330" s="92"/>
      <c r="CS330" s="92"/>
      <c r="CT330" s="92"/>
      <c r="CU330" s="92"/>
      <c r="CV330" s="92"/>
      <c r="CW330" s="92"/>
      <c r="CX330" s="85"/>
      <c r="CY330" s="85"/>
      <c r="CZ330" s="85"/>
      <c r="DA330" s="85"/>
      <c r="DB330" s="85"/>
      <c r="DC330" s="85"/>
      <c r="DD330" s="85"/>
      <c r="DE330" s="85"/>
      <c r="DF330" s="85"/>
      <c r="DG330" s="85"/>
      <c r="DH330" s="85"/>
      <c r="DI330" s="85"/>
      <c r="DJ330" s="85"/>
      <c r="DK330" s="85"/>
      <c r="DL330" s="85"/>
      <c r="DM330" s="85"/>
      <c r="DN330" s="85"/>
      <c r="DO330" s="85"/>
      <c r="DP330" s="85"/>
    </row>
    <row r="331">
      <c r="A331" s="91"/>
      <c r="B331" s="91"/>
      <c r="C331" s="91"/>
      <c r="D331" s="91"/>
      <c r="E331" s="78"/>
      <c r="F331" s="15"/>
      <c r="G331" s="15"/>
      <c r="H331" s="91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92"/>
      <c r="BO331" s="92"/>
      <c r="BP331" s="92"/>
      <c r="BQ331" s="92"/>
      <c r="BR331" s="92"/>
      <c r="BS331" s="92"/>
      <c r="BT331" s="92"/>
      <c r="BU331" s="92"/>
      <c r="BV331" s="92"/>
      <c r="BW331" s="92"/>
      <c r="BX331" s="92"/>
      <c r="BY331" s="92"/>
      <c r="BZ331" s="92"/>
      <c r="CA331" s="92"/>
      <c r="CB331" s="92"/>
      <c r="CC331" s="92"/>
      <c r="CD331" s="92"/>
      <c r="CE331" s="92"/>
      <c r="CF331" s="92"/>
      <c r="CG331" s="92"/>
      <c r="CH331" s="92"/>
      <c r="CI331" s="92"/>
      <c r="CJ331" s="92"/>
      <c r="CK331" s="92"/>
      <c r="CL331" s="92"/>
      <c r="CM331" s="92"/>
      <c r="CN331" s="92"/>
      <c r="CO331" s="92"/>
      <c r="CP331" s="92"/>
      <c r="CQ331" s="92"/>
      <c r="CR331" s="92"/>
      <c r="CS331" s="92"/>
      <c r="CT331" s="92"/>
      <c r="CU331" s="92"/>
      <c r="CV331" s="92"/>
      <c r="CW331" s="92"/>
      <c r="CX331" s="85"/>
      <c r="CY331" s="85"/>
      <c r="CZ331" s="85"/>
      <c r="DA331" s="85"/>
      <c r="DB331" s="85"/>
      <c r="DC331" s="85"/>
      <c r="DD331" s="85"/>
      <c r="DE331" s="85"/>
      <c r="DF331" s="85"/>
      <c r="DG331" s="85"/>
      <c r="DH331" s="85"/>
      <c r="DI331" s="85"/>
      <c r="DJ331" s="85"/>
      <c r="DK331" s="85"/>
      <c r="DL331" s="85"/>
      <c r="DM331" s="85"/>
      <c r="DN331" s="85"/>
      <c r="DO331" s="85"/>
      <c r="DP331" s="85"/>
    </row>
    <row r="332">
      <c r="A332" s="91"/>
      <c r="B332" s="91"/>
      <c r="C332" s="91"/>
      <c r="D332" s="91"/>
      <c r="E332" s="78"/>
      <c r="F332" s="15"/>
      <c r="G332" s="15"/>
      <c r="H332" s="91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  <c r="BM332" s="15"/>
      <c r="BN332" s="92"/>
      <c r="BO332" s="92"/>
      <c r="BP332" s="92"/>
      <c r="BQ332" s="92"/>
      <c r="BR332" s="92"/>
      <c r="BS332" s="92"/>
      <c r="BT332" s="92"/>
      <c r="BU332" s="92"/>
      <c r="BV332" s="92"/>
      <c r="BW332" s="92"/>
      <c r="BX332" s="92"/>
      <c r="BY332" s="92"/>
      <c r="BZ332" s="92"/>
      <c r="CA332" s="92"/>
      <c r="CB332" s="92"/>
      <c r="CC332" s="92"/>
      <c r="CD332" s="92"/>
      <c r="CE332" s="92"/>
      <c r="CF332" s="92"/>
      <c r="CG332" s="92"/>
      <c r="CH332" s="92"/>
      <c r="CI332" s="92"/>
      <c r="CJ332" s="92"/>
      <c r="CK332" s="92"/>
      <c r="CL332" s="92"/>
      <c r="CM332" s="92"/>
      <c r="CN332" s="92"/>
      <c r="CO332" s="92"/>
      <c r="CP332" s="92"/>
      <c r="CQ332" s="92"/>
      <c r="CR332" s="92"/>
      <c r="CS332" s="92"/>
      <c r="CT332" s="92"/>
      <c r="CU332" s="92"/>
      <c r="CV332" s="92"/>
      <c r="CW332" s="92"/>
      <c r="CX332" s="85"/>
      <c r="CY332" s="85"/>
      <c r="CZ332" s="85"/>
      <c r="DA332" s="85"/>
      <c r="DB332" s="85"/>
      <c r="DC332" s="85"/>
      <c r="DD332" s="85"/>
      <c r="DE332" s="85"/>
      <c r="DF332" s="85"/>
      <c r="DG332" s="85"/>
      <c r="DH332" s="85"/>
      <c r="DI332" s="85"/>
      <c r="DJ332" s="85"/>
      <c r="DK332" s="85"/>
      <c r="DL332" s="85"/>
      <c r="DM332" s="85"/>
      <c r="DN332" s="85"/>
      <c r="DO332" s="85"/>
      <c r="DP332" s="85"/>
    </row>
    <row r="333">
      <c r="A333" s="91"/>
      <c r="B333" s="91"/>
      <c r="C333" s="91"/>
      <c r="D333" s="91"/>
      <c r="E333" s="78"/>
      <c r="F333" s="15"/>
      <c r="G333" s="15"/>
      <c r="H333" s="91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92"/>
      <c r="BO333" s="92"/>
      <c r="BP333" s="92"/>
      <c r="BQ333" s="92"/>
      <c r="BR333" s="92"/>
      <c r="BS333" s="92"/>
      <c r="BT333" s="92"/>
      <c r="BU333" s="92"/>
      <c r="BV333" s="92"/>
      <c r="BW333" s="92"/>
      <c r="BX333" s="92"/>
      <c r="BY333" s="92"/>
      <c r="BZ333" s="92"/>
      <c r="CA333" s="92"/>
      <c r="CB333" s="92"/>
      <c r="CC333" s="92"/>
      <c r="CD333" s="92"/>
      <c r="CE333" s="92"/>
      <c r="CF333" s="92"/>
      <c r="CG333" s="92"/>
      <c r="CH333" s="92"/>
      <c r="CI333" s="92"/>
      <c r="CJ333" s="92"/>
      <c r="CK333" s="92"/>
      <c r="CL333" s="92"/>
      <c r="CM333" s="92"/>
      <c r="CN333" s="92"/>
      <c r="CO333" s="92"/>
      <c r="CP333" s="92"/>
      <c r="CQ333" s="92"/>
      <c r="CR333" s="92"/>
      <c r="CS333" s="92"/>
      <c r="CT333" s="92"/>
      <c r="CU333" s="92"/>
      <c r="CV333" s="92"/>
      <c r="CW333" s="92"/>
      <c r="CX333" s="85"/>
      <c r="CY333" s="85"/>
      <c r="CZ333" s="85"/>
      <c r="DA333" s="85"/>
      <c r="DB333" s="85"/>
      <c r="DC333" s="85"/>
      <c r="DD333" s="85"/>
      <c r="DE333" s="85"/>
      <c r="DF333" s="85"/>
      <c r="DG333" s="85"/>
      <c r="DH333" s="85"/>
      <c r="DI333" s="85"/>
      <c r="DJ333" s="85"/>
      <c r="DK333" s="85"/>
      <c r="DL333" s="85"/>
      <c r="DM333" s="85"/>
      <c r="DN333" s="85"/>
      <c r="DO333" s="85"/>
      <c r="DP333" s="85"/>
    </row>
    <row r="334">
      <c r="A334" s="91"/>
      <c r="B334" s="91"/>
      <c r="C334" s="91"/>
      <c r="D334" s="91"/>
      <c r="E334" s="78"/>
      <c r="F334" s="15"/>
      <c r="G334" s="15"/>
      <c r="H334" s="91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  <c r="BM334" s="15"/>
      <c r="BN334" s="92"/>
      <c r="BO334" s="92"/>
      <c r="BP334" s="92"/>
      <c r="BQ334" s="92"/>
      <c r="BR334" s="92"/>
      <c r="BS334" s="92"/>
      <c r="BT334" s="92"/>
      <c r="BU334" s="92"/>
      <c r="BV334" s="92"/>
      <c r="BW334" s="92"/>
      <c r="BX334" s="92"/>
      <c r="BY334" s="92"/>
      <c r="BZ334" s="92"/>
      <c r="CA334" s="92"/>
      <c r="CB334" s="92"/>
      <c r="CC334" s="92"/>
      <c r="CD334" s="92"/>
      <c r="CE334" s="92"/>
      <c r="CF334" s="92"/>
      <c r="CG334" s="92"/>
      <c r="CH334" s="92"/>
      <c r="CI334" s="92"/>
      <c r="CJ334" s="92"/>
      <c r="CK334" s="92"/>
      <c r="CL334" s="92"/>
      <c r="CM334" s="92"/>
      <c r="CN334" s="92"/>
      <c r="CO334" s="92"/>
      <c r="CP334" s="92"/>
      <c r="CQ334" s="92"/>
      <c r="CR334" s="92"/>
      <c r="CS334" s="92"/>
      <c r="CT334" s="92"/>
      <c r="CU334" s="92"/>
      <c r="CV334" s="92"/>
      <c r="CW334" s="92"/>
      <c r="CX334" s="85"/>
      <c r="CY334" s="85"/>
      <c r="CZ334" s="85"/>
      <c r="DA334" s="85"/>
      <c r="DB334" s="85"/>
      <c r="DC334" s="85"/>
      <c r="DD334" s="85"/>
      <c r="DE334" s="85"/>
      <c r="DF334" s="85"/>
      <c r="DG334" s="85"/>
      <c r="DH334" s="85"/>
      <c r="DI334" s="85"/>
      <c r="DJ334" s="85"/>
      <c r="DK334" s="85"/>
      <c r="DL334" s="85"/>
      <c r="DM334" s="85"/>
      <c r="DN334" s="85"/>
      <c r="DO334" s="85"/>
      <c r="DP334" s="85"/>
    </row>
    <row r="335">
      <c r="A335" s="91"/>
      <c r="B335" s="91"/>
      <c r="C335" s="91"/>
      <c r="D335" s="91"/>
      <c r="E335" s="78"/>
      <c r="F335" s="15"/>
      <c r="G335" s="15"/>
      <c r="H335" s="91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92"/>
      <c r="BO335" s="92"/>
      <c r="BP335" s="92"/>
      <c r="BQ335" s="92"/>
      <c r="BR335" s="92"/>
      <c r="BS335" s="92"/>
      <c r="BT335" s="92"/>
      <c r="BU335" s="92"/>
      <c r="BV335" s="92"/>
      <c r="BW335" s="92"/>
      <c r="BX335" s="92"/>
      <c r="BY335" s="92"/>
      <c r="BZ335" s="92"/>
      <c r="CA335" s="92"/>
      <c r="CB335" s="92"/>
      <c r="CC335" s="92"/>
      <c r="CD335" s="92"/>
      <c r="CE335" s="92"/>
      <c r="CF335" s="92"/>
      <c r="CG335" s="92"/>
      <c r="CH335" s="92"/>
      <c r="CI335" s="92"/>
      <c r="CJ335" s="92"/>
      <c r="CK335" s="92"/>
      <c r="CL335" s="92"/>
      <c r="CM335" s="92"/>
      <c r="CN335" s="92"/>
      <c r="CO335" s="92"/>
      <c r="CP335" s="92"/>
      <c r="CQ335" s="92"/>
      <c r="CR335" s="92"/>
      <c r="CS335" s="92"/>
      <c r="CT335" s="92"/>
      <c r="CU335" s="92"/>
      <c r="CV335" s="92"/>
      <c r="CW335" s="92"/>
      <c r="CX335" s="85"/>
      <c r="CY335" s="85"/>
      <c r="CZ335" s="85"/>
      <c r="DA335" s="85"/>
      <c r="DB335" s="85"/>
      <c r="DC335" s="85"/>
      <c r="DD335" s="85"/>
      <c r="DE335" s="85"/>
      <c r="DF335" s="85"/>
      <c r="DG335" s="85"/>
      <c r="DH335" s="85"/>
      <c r="DI335" s="85"/>
      <c r="DJ335" s="85"/>
      <c r="DK335" s="85"/>
      <c r="DL335" s="85"/>
      <c r="DM335" s="85"/>
      <c r="DN335" s="85"/>
      <c r="DO335" s="85"/>
      <c r="DP335" s="85"/>
    </row>
    <row r="336">
      <c r="A336" s="91"/>
      <c r="B336" s="91"/>
      <c r="C336" s="91"/>
      <c r="D336" s="91"/>
      <c r="E336" s="78"/>
      <c r="F336" s="15"/>
      <c r="G336" s="15"/>
      <c r="H336" s="91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  <c r="BJ336" s="15"/>
      <c r="BK336" s="15"/>
      <c r="BL336" s="15"/>
      <c r="BM336" s="15"/>
      <c r="BN336" s="92"/>
      <c r="BO336" s="92"/>
      <c r="BP336" s="92"/>
      <c r="BQ336" s="92"/>
      <c r="BR336" s="92"/>
      <c r="BS336" s="92"/>
      <c r="BT336" s="92"/>
      <c r="BU336" s="92"/>
      <c r="BV336" s="92"/>
      <c r="BW336" s="92"/>
      <c r="BX336" s="92"/>
      <c r="BY336" s="92"/>
      <c r="BZ336" s="92"/>
      <c r="CA336" s="92"/>
      <c r="CB336" s="92"/>
      <c r="CC336" s="92"/>
      <c r="CD336" s="92"/>
      <c r="CE336" s="92"/>
      <c r="CF336" s="92"/>
      <c r="CG336" s="92"/>
      <c r="CH336" s="92"/>
      <c r="CI336" s="92"/>
      <c r="CJ336" s="92"/>
      <c r="CK336" s="92"/>
      <c r="CL336" s="92"/>
      <c r="CM336" s="92"/>
      <c r="CN336" s="92"/>
      <c r="CO336" s="92"/>
      <c r="CP336" s="92"/>
      <c r="CQ336" s="92"/>
      <c r="CR336" s="92"/>
      <c r="CS336" s="92"/>
      <c r="CT336" s="92"/>
      <c r="CU336" s="92"/>
      <c r="CV336" s="92"/>
      <c r="CW336" s="92"/>
      <c r="CX336" s="85"/>
      <c r="CY336" s="85"/>
      <c r="CZ336" s="85"/>
      <c r="DA336" s="85"/>
      <c r="DB336" s="85"/>
      <c r="DC336" s="85"/>
      <c r="DD336" s="85"/>
      <c r="DE336" s="85"/>
      <c r="DF336" s="85"/>
      <c r="DG336" s="85"/>
      <c r="DH336" s="85"/>
      <c r="DI336" s="85"/>
      <c r="DJ336" s="85"/>
      <c r="DK336" s="85"/>
      <c r="DL336" s="85"/>
      <c r="DM336" s="85"/>
      <c r="DN336" s="85"/>
      <c r="DO336" s="85"/>
      <c r="DP336" s="85"/>
    </row>
    <row r="337">
      <c r="A337" s="91"/>
      <c r="B337" s="91"/>
      <c r="C337" s="91"/>
      <c r="D337" s="91"/>
      <c r="E337" s="78"/>
      <c r="F337" s="15"/>
      <c r="G337" s="15"/>
      <c r="H337" s="91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92"/>
      <c r="BO337" s="92"/>
      <c r="BP337" s="92"/>
      <c r="BQ337" s="92"/>
      <c r="BR337" s="92"/>
      <c r="BS337" s="92"/>
      <c r="BT337" s="92"/>
      <c r="BU337" s="92"/>
      <c r="BV337" s="92"/>
      <c r="BW337" s="92"/>
      <c r="BX337" s="92"/>
      <c r="BY337" s="92"/>
      <c r="BZ337" s="92"/>
      <c r="CA337" s="92"/>
      <c r="CB337" s="92"/>
      <c r="CC337" s="92"/>
      <c r="CD337" s="92"/>
      <c r="CE337" s="92"/>
      <c r="CF337" s="92"/>
      <c r="CG337" s="92"/>
      <c r="CH337" s="92"/>
      <c r="CI337" s="92"/>
      <c r="CJ337" s="92"/>
      <c r="CK337" s="92"/>
      <c r="CL337" s="92"/>
      <c r="CM337" s="92"/>
      <c r="CN337" s="92"/>
      <c r="CO337" s="92"/>
      <c r="CP337" s="92"/>
      <c r="CQ337" s="92"/>
      <c r="CR337" s="92"/>
      <c r="CS337" s="92"/>
      <c r="CT337" s="92"/>
      <c r="CU337" s="92"/>
      <c r="CV337" s="92"/>
      <c r="CW337" s="92"/>
      <c r="CX337" s="85"/>
      <c r="CY337" s="85"/>
      <c r="CZ337" s="85"/>
      <c r="DA337" s="85"/>
      <c r="DB337" s="85"/>
      <c r="DC337" s="85"/>
      <c r="DD337" s="85"/>
      <c r="DE337" s="85"/>
      <c r="DF337" s="85"/>
      <c r="DG337" s="85"/>
      <c r="DH337" s="85"/>
      <c r="DI337" s="85"/>
      <c r="DJ337" s="85"/>
      <c r="DK337" s="85"/>
      <c r="DL337" s="85"/>
      <c r="DM337" s="85"/>
      <c r="DN337" s="85"/>
      <c r="DO337" s="85"/>
      <c r="DP337" s="85"/>
    </row>
    <row r="338">
      <c r="A338" s="91"/>
      <c r="B338" s="91"/>
      <c r="C338" s="91"/>
      <c r="D338" s="91"/>
      <c r="E338" s="78"/>
      <c r="F338" s="15"/>
      <c r="G338" s="15"/>
      <c r="H338" s="91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  <c r="BM338" s="15"/>
      <c r="BN338" s="92"/>
      <c r="BO338" s="92"/>
      <c r="BP338" s="92"/>
      <c r="BQ338" s="92"/>
      <c r="BR338" s="92"/>
      <c r="BS338" s="92"/>
      <c r="BT338" s="92"/>
      <c r="BU338" s="92"/>
      <c r="BV338" s="92"/>
      <c r="BW338" s="92"/>
      <c r="BX338" s="92"/>
      <c r="BY338" s="92"/>
      <c r="BZ338" s="92"/>
      <c r="CA338" s="92"/>
      <c r="CB338" s="92"/>
      <c r="CC338" s="92"/>
      <c r="CD338" s="92"/>
      <c r="CE338" s="92"/>
      <c r="CF338" s="92"/>
      <c r="CG338" s="92"/>
      <c r="CH338" s="92"/>
      <c r="CI338" s="92"/>
      <c r="CJ338" s="92"/>
      <c r="CK338" s="92"/>
      <c r="CL338" s="92"/>
      <c r="CM338" s="92"/>
      <c r="CN338" s="92"/>
      <c r="CO338" s="92"/>
      <c r="CP338" s="92"/>
      <c r="CQ338" s="92"/>
      <c r="CR338" s="92"/>
      <c r="CS338" s="92"/>
      <c r="CT338" s="92"/>
      <c r="CU338" s="92"/>
      <c r="CV338" s="92"/>
      <c r="CW338" s="92"/>
      <c r="CX338" s="85"/>
      <c r="CY338" s="85"/>
      <c r="CZ338" s="85"/>
      <c r="DA338" s="85"/>
      <c r="DB338" s="85"/>
      <c r="DC338" s="85"/>
      <c r="DD338" s="85"/>
      <c r="DE338" s="85"/>
      <c r="DF338" s="85"/>
      <c r="DG338" s="85"/>
      <c r="DH338" s="85"/>
      <c r="DI338" s="85"/>
      <c r="DJ338" s="85"/>
      <c r="DK338" s="85"/>
      <c r="DL338" s="85"/>
      <c r="DM338" s="85"/>
      <c r="DN338" s="85"/>
      <c r="DO338" s="85"/>
      <c r="DP338" s="85"/>
    </row>
    <row r="339">
      <c r="A339" s="91"/>
      <c r="B339" s="91"/>
      <c r="C339" s="91"/>
      <c r="D339" s="91"/>
      <c r="E339" s="78"/>
      <c r="F339" s="15"/>
      <c r="G339" s="15"/>
      <c r="H339" s="91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92"/>
      <c r="BO339" s="92"/>
      <c r="BP339" s="92"/>
      <c r="BQ339" s="92"/>
      <c r="BR339" s="92"/>
      <c r="BS339" s="92"/>
      <c r="BT339" s="92"/>
      <c r="BU339" s="92"/>
      <c r="BV339" s="92"/>
      <c r="BW339" s="92"/>
      <c r="BX339" s="92"/>
      <c r="BY339" s="92"/>
      <c r="BZ339" s="92"/>
      <c r="CA339" s="92"/>
      <c r="CB339" s="92"/>
      <c r="CC339" s="92"/>
      <c r="CD339" s="92"/>
      <c r="CE339" s="92"/>
      <c r="CF339" s="92"/>
      <c r="CG339" s="92"/>
      <c r="CH339" s="92"/>
      <c r="CI339" s="92"/>
      <c r="CJ339" s="92"/>
      <c r="CK339" s="92"/>
      <c r="CL339" s="92"/>
      <c r="CM339" s="92"/>
      <c r="CN339" s="92"/>
      <c r="CO339" s="92"/>
      <c r="CP339" s="92"/>
      <c r="CQ339" s="92"/>
      <c r="CR339" s="92"/>
      <c r="CS339" s="92"/>
      <c r="CT339" s="92"/>
      <c r="CU339" s="92"/>
      <c r="CV339" s="92"/>
      <c r="CW339" s="92"/>
      <c r="CX339" s="85"/>
      <c r="CY339" s="85"/>
      <c r="CZ339" s="85"/>
      <c r="DA339" s="85"/>
      <c r="DB339" s="85"/>
      <c r="DC339" s="85"/>
      <c r="DD339" s="85"/>
      <c r="DE339" s="85"/>
      <c r="DF339" s="85"/>
      <c r="DG339" s="85"/>
      <c r="DH339" s="85"/>
      <c r="DI339" s="85"/>
      <c r="DJ339" s="85"/>
      <c r="DK339" s="85"/>
      <c r="DL339" s="85"/>
      <c r="DM339" s="85"/>
      <c r="DN339" s="85"/>
      <c r="DO339" s="85"/>
      <c r="DP339" s="85"/>
    </row>
    <row r="340">
      <c r="A340" s="91"/>
      <c r="B340" s="91"/>
      <c r="C340" s="91"/>
      <c r="D340" s="91"/>
      <c r="E340" s="78"/>
      <c r="F340" s="15"/>
      <c r="G340" s="15"/>
      <c r="H340" s="91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  <c r="BJ340" s="15"/>
      <c r="BK340" s="15"/>
      <c r="BL340" s="15"/>
      <c r="BM340" s="15"/>
      <c r="BN340" s="92"/>
      <c r="BO340" s="92"/>
      <c r="BP340" s="92"/>
      <c r="BQ340" s="92"/>
      <c r="BR340" s="92"/>
      <c r="BS340" s="92"/>
      <c r="BT340" s="92"/>
      <c r="BU340" s="92"/>
      <c r="BV340" s="92"/>
      <c r="BW340" s="92"/>
      <c r="BX340" s="92"/>
      <c r="BY340" s="92"/>
      <c r="BZ340" s="92"/>
      <c r="CA340" s="92"/>
      <c r="CB340" s="92"/>
      <c r="CC340" s="92"/>
      <c r="CD340" s="92"/>
      <c r="CE340" s="92"/>
      <c r="CF340" s="92"/>
      <c r="CG340" s="92"/>
      <c r="CH340" s="92"/>
      <c r="CI340" s="92"/>
      <c r="CJ340" s="92"/>
      <c r="CK340" s="92"/>
      <c r="CL340" s="92"/>
      <c r="CM340" s="92"/>
      <c r="CN340" s="92"/>
      <c r="CO340" s="92"/>
      <c r="CP340" s="92"/>
      <c r="CQ340" s="92"/>
      <c r="CR340" s="92"/>
      <c r="CS340" s="92"/>
      <c r="CT340" s="92"/>
      <c r="CU340" s="92"/>
      <c r="CV340" s="92"/>
      <c r="CW340" s="92"/>
      <c r="CX340" s="85"/>
      <c r="CY340" s="85"/>
      <c r="CZ340" s="85"/>
      <c r="DA340" s="85"/>
      <c r="DB340" s="85"/>
      <c r="DC340" s="85"/>
      <c r="DD340" s="85"/>
      <c r="DE340" s="85"/>
      <c r="DF340" s="85"/>
      <c r="DG340" s="85"/>
      <c r="DH340" s="85"/>
      <c r="DI340" s="85"/>
      <c r="DJ340" s="85"/>
      <c r="DK340" s="85"/>
      <c r="DL340" s="85"/>
      <c r="DM340" s="85"/>
      <c r="DN340" s="85"/>
      <c r="DO340" s="85"/>
      <c r="DP340" s="85"/>
    </row>
    <row r="341">
      <c r="A341" s="91"/>
      <c r="B341" s="91"/>
      <c r="C341" s="91"/>
      <c r="D341" s="91"/>
      <c r="E341" s="78"/>
      <c r="F341" s="15"/>
      <c r="G341" s="15"/>
      <c r="H341" s="91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92"/>
      <c r="BO341" s="92"/>
      <c r="BP341" s="92"/>
      <c r="BQ341" s="92"/>
      <c r="BR341" s="92"/>
      <c r="BS341" s="92"/>
      <c r="BT341" s="92"/>
      <c r="BU341" s="92"/>
      <c r="BV341" s="92"/>
      <c r="BW341" s="92"/>
      <c r="BX341" s="92"/>
      <c r="BY341" s="92"/>
      <c r="BZ341" s="92"/>
      <c r="CA341" s="92"/>
      <c r="CB341" s="92"/>
      <c r="CC341" s="92"/>
      <c r="CD341" s="92"/>
      <c r="CE341" s="92"/>
      <c r="CF341" s="92"/>
      <c r="CG341" s="92"/>
      <c r="CH341" s="92"/>
      <c r="CI341" s="92"/>
      <c r="CJ341" s="92"/>
      <c r="CK341" s="92"/>
      <c r="CL341" s="92"/>
      <c r="CM341" s="92"/>
      <c r="CN341" s="92"/>
      <c r="CO341" s="92"/>
      <c r="CP341" s="92"/>
      <c r="CQ341" s="92"/>
      <c r="CR341" s="92"/>
      <c r="CS341" s="92"/>
      <c r="CT341" s="92"/>
      <c r="CU341" s="92"/>
      <c r="CV341" s="92"/>
      <c r="CW341" s="92"/>
      <c r="CX341" s="85"/>
      <c r="CY341" s="85"/>
      <c r="CZ341" s="85"/>
      <c r="DA341" s="85"/>
      <c r="DB341" s="85"/>
      <c r="DC341" s="85"/>
      <c r="DD341" s="85"/>
      <c r="DE341" s="85"/>
      <c r="DF341" s="85"/>
      <c r="DG341" s="85"/>
      <c r="DH341" s="85"/>
      <c r="DI341" s="85"/>
      <c r="DJ341" s="85"/>
      <c r="DK341" s="85"/>
      <c r="DL341" s="85"/>
      <c r="DM341" s="85"/>
      <c r="DN341" s="85"/>
      <c r="DO341" s="85"/>
      <c r="DP341" s="85"/>
    </row>
    <row r="342">
      <c r="A342" s="91"/>
      <c r="B342" s="91"/>
      <c r="C342" s="91"/>
      <c r="D342" s="91"/>
      <c r="E342" s="78"/>
      <c r="F342" s="15"/>
      <c r="G342" s="15"/>
      <c r="H342" s="91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  <c r="BJ342" s="15"/>
      <c r="BK342" s="15"/>
      <c r="BL342" s="15"/>
      <c r="BM342" s="15"/>
      <c r="BN342" s="92"/>
      <c r="BO342" s="92"/>
      <c r="BP342" s="92"/>
      <c r="BQ342" s="92"/>
      <c r="BR342" s="92"/>
      <c r="BS342" s="92"/>
      <c r="BT342" s="92"/>
      <c r="BU342" s="92"/>
      <c r="BV342" s="92"/>
      <c r="BW342" s="92"/>
      <c r="BX342" s="92"/>
      <c r="BY342" s="92"/>
      <c r="BZ342" s="92"/>
      <c r="CA342" s="92"/>
      <c r="CB342" s="92"/>
      <c r="CC342" s="92"/>
      <c r="CD342" s="92"/>
      <c r="CE342" s="92"/>
      <c r="CF342" s="92"/>
      <c r="CG342" s="92"/>
      <c r="CH342" s="92"/>
      <c r="CI342" s="92"/>
      <c r="CJ342" s="92"/>
      <c r="CK342" s="92"/>
      <c r="CL342" s="92"/>
      <c r="CM342" s="92"/>
      <c r="CN342" s="92"/>
      <c r="CO342" s="92"/>
      <c r="CP342" s="92"/>
      <c r="CQ342" s="92"/>
      <c r="CR342" s="92"/>
      <c r="CS342" s="92"/>
      <c r="CT342" s="92"/>
      <c r="CU342" s="92"/>
      <c r="CV342" s="92"/>
      <c r="CW342" s="92"/>
      <c r="CX342" s="85"/>
      <c r="CY342" s="85"/>
      <c r="CZ342" s="85"/>
      <c r="DA342" s="85"/>
      <c r="DB342" s="85"/>
      <c r="DC342" s="85"/>
      <c r="DD342" s="85"/>
      <c r="DE342" s="85"/>
      <c r="DF342" s="85"/>
      <c r="DG342" s="85"/>
      <c r="DH342" s="85"/>
      <c r="DI342" s="85"/>
      <c r="DJ342" s="85"/>
      <c r="DK342" s="85"/>
      <c r="DL342" s="85"/>
      <c r="DM342" s="85"/>
      <c r="DN342" s="85"/>
      <c r="DO342" s="85"/>
      <c r="DP342" s="85"/>
    </row>
    <row r="343">
      <c r="A343" s="91"/>
      <c r="B343" s="91"/>
      <c r="C343" s="91"/>
      <c r="D343" s="91"/>
      <c r="E343" s="78"/>
      <c r="F343" s="15"/>
      <c r="G343" s="15"/>
      <c r="H343" s="91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92"/>
      <c r="BO343" s="92"/>
      <c r="BP343" s="92"/>
      <c r="BQ343" s="92"/>
      <c r="BR343" s="92"/>
      <c r="BS343" s="92"/>
      <c r="BT343" s="92"/>
      <c r="BU343" s="92"/>
      <c r="BV343" s="92"/>
      <c r="BW343" s="92"/>
      <c r="BX343" s="92"/>
      <c r="BY343" s="92"/>
      <c r="BZ343" s="92"/>
      <c r="CA343" s="92"/>
      <c r="CB343" s="92"/>
      <c r="CC343" s="92"/>
      <c r="CD343" s="92"/>
      <c r="CE343" s="92"/>
      <c r="CF343" s="92"/>
      <c r="CG343" s="92"/>
      <c r="CH343" s="92"/>
      <c r="CI343" s="92"/>
      <c r="CJ343" s="92"/>
      <c r="CK343" s="92"/>
      <c r="CL343" s="92"/>
      <c r="CM343" s="92"/>
      <c r="CN343" s="92"/>
      <c r="CO343" s="92"/>
      <c r="CP343" s="92"/>
      <c r="CQ343" s="92"/>
      <c r="CR343" s="92"/>
      <c r="CS343" s="92"/>
      <c r="CT343" s="92"/>
      <c r="CU343" s="92"/>
      <c r="CV343" s="92"/>
      <c r="CW343" s="92"/>
      <c r="CX343" s="85"/>
      <c r="CY343" s="85"/>
      <c r="CZ343" s="85"/>
      <c r="DA343" s="85"/>
      <c r="DB343" s="85"/>
      <c r="DC343" s="85"/>
      <c r="DD343" s="85"/>
      <c r="DE343" s="85"/>
      <c r="DF343" s="85"/>
      <c r="DG343" s="85"/>
      <c r="DH343" s="85"/>
      <c r="DI343" s="85"/>
      <c r="DJ343" s="85"/>
      <c r="DK343" s="85"/>
      <c r="DL343" s="85"/>
      <c r="DM343" s="85"/>
      <c r="DN343" s="85"/>
      <c r="DO343" s="85"/>
      <c r="DP343" s="85"/>
    </row>
    <row r="344">
      <c r="A344" s="91"/>
      <c r="B344" s="91"/>
      <c r="C344" s="91"/>
      <c r="D344" s="91"/>
      <c r="E344" s="78"/>
      <c r="F344" s="15"/>
      <c r="G344" s="15"/>
      <c r="H344" s="91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L344" s="15"/>
      <c r="BM344" s="15"/>
      <c r="BN344" s="92"/>
      <c r="BO344" s="92"/>
      <c r="BP344" s="92"/>
      <c r="BQ344" s="92"/>
      <c r="BR344" s="92"/>
      <c r="BS344" s="92"/>
      <c r="BT344" s="92"/>
      <c r="BU344" s="92"/>
      <c r="BV344" s="92"/>
      <c r="BW344" s="92"/>
      <c r="BX344" s="92"/>
      <c r="BY344" s="92"/>
      <c r="BZ344" s="92"/>
      <c r="CA344" s="92"/>
      <c r="CB344" s="92"/>
      <c r="CC344" s="92"/>
      <c r="CD344" s="92"/>
      <c r="CE344" s="92"/>
      <c r="CF344" s="92"/>
      <c r="CG344" s="92"/>
      <c r="CH344" s="92"/>
      <c r="CI344" s="92"/>
      <c r="CJ344" s="92"/>
      <c r="CK344" s="92"/>
      <c r="CL344" s="92"/>
      <c r="CM344" s="92"/>
      <c r="CN344" s="92"/>
      <c r="CO344" s="92"/>
      <c r="CP344" s="92"/>
      <c r="CQ344" s="92"/>
      <c r="CR344" s="92"/>
      <c r="CS344" s="92"/>
      <c r="CT344" s="92"/>
      <c r="CU344" s="92"/>
      <c r="CV344" s="92"/>
      <c r="CW344" s="92"/>
      <c r="CX344" s="85"/>
      <c r="CY344" s="85"/>
      <c r="CZ344" s="85"/>
      <c r="DA344" s="85"/>
      <c r="DB344" s="85"/>
      <c r="DC344" s="85"/>
      <c r="DD344" s="85"/>
      <c r="DE344" s="85"/>
      <c r="DF344" s="85"/>
      <c r="DG344" s="85"/>
      <c r="DH344" s="85"/>
      <c r="DI344" s="85"/>
      <c r="DJ344" s="85"/>
      <c r="DK344" s="85"/>
      <c r="DL344" s="85"/>
      <c r="DM344" s="85"/>
      <c r="DN344" s="85"/>
      <c r="DO344" s="85"/>
      <c r="DP344" s="85"/>
    </row>
    <row r="345">
      <c r="A345" s="91"/>
      <c r="B345" s="91"/>
      <c r="C345" s="91"/>
      <c r="D345" s="91"/>
      <c r="E345" s="78"/>
      <c r="F345" s="15"/>
      <c r="G345" s="15"/>
      <c r="H345" s="91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92"/>
      <c r="BO345" s="92"/>
      <c r="BP345" s="92"/>
      <c r="BQ345" s="92"/>
      <c r="BR345" s="92"/>
      <c r="BS345" s="92"/>
      <c r="BT345" s="92"/>
      <c r="BU345" s="92"/>
      <c r="BV345" s="92"/>
      <c r="BW345" s="92"/>
      <c r="BX345" s="92"/>
      <c r="BY345" s="92"/>
      <c r="BZ345" s="92"/>
      <c r="CA345" s="92"/>
      <c r="CB345" s="92"/>
      <c r="CC345" s="92"/>
      <c r="CD345" s="92"/>
      <c r="CE345" s="92"/>
      <c r="CF345" s="92"/>
      <c r="CG345" s="92"/>
      <c r="CH345" s="92"/>
      <c r="CI345" s="92"/>
      <c r="CJ345" s="92"/>
      <c r="CK345" s="92"/>
      <c r="CL345" s="92"/>
      <c r="CM345" s="92"/>
      <c r="CN345" s="92"/>
      <c r="CO345" s="92"/>
      <c r="CP345" s="92"/>
      <c r="CQ345" s="92"/>
      <c r="CR345" s="92"/>
      <c r="CS345" s="92"/>
      <c r="CT345" s="92"/>
      <c r="CU345" s="92"/>
      <c r="CV345" s="92"/>
      <c r="CW345" s="92"/>
      <c r="CX345" s="85"/>
      <c r="CY345" s="85"/>
      <c r="CZ345" s="85"/>
      <c r="DA345" s="85"/>
      <c r="DB345" s="85"/>
      <c r="DC345" s="85"/>
      <c r="DD345" s="85"/>
      <c r="DE345" s="85"/>
      <c r="DF345" s="85"/>
      <c r="DG345" s="85"/>
      <c r="DH345" s="85"/>
      <c r="DI345" s="85"/>
      <c r="DJ345" s="85"/>
      <c r="DK345" s="85"/>
      <c r="DL345" s="85"/>
      <c r="DM345" s="85"/>
      <c r="DN345" s="85"/>
      <c r="DO345" s="85"/>
      <c r="DP345" s="85"/>
    </row>
    <row r="346">
      <c r="A346" s="91"/>
      <c r="B346" s="91"/>
      <c r="C346" s="91"/>
      <c r="D346" s="91"/>
      <c r="E346" s="78"/>
      <c r="F346" s="15"/>
      <c r="G346" s="15"/>
      <c r="H346" s="91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L346" s="15"/>
      <c r="BM346" s="15"/>
      <c r="BN346" s="92"/>
      <c r="BO346" s="92"/>
      <c r="BP346" s="92"/>
      <c r="BQ346" s="92"/>
      <c r="BR346" s="92"/>
      <c r="BS346" s="92"/>
      <c r="BT346" s="92"/>
      <c r="BU346" s="92"/>
      <c r="BV346" s="92"/>
      <c r="BW346" s="92"/>
      <c r="BX346" s="92"/>
      <c r="BY346" s="92"/>
      <c r="BZ346" s="92"/>
      <c r="CA346" s="92"/>
      <c r="CB346" s="92"/>
      <c r="CC346" s="92"/>
      <c r="CD346" s="92"/>
      <c r="CE346" s="92"/>
      <c r="CF346" s="92"/>
      <c r="CG346" s="92"/>
      <c r="CH346" s="92"/>
      <c r="CI346" s="92"/>
      <c r="CJ346" s="92"/>
      <c r="CK346" s="92"/>
      <c r="CL346" s="92"/>
      <c r="CM346" s="92"/>
      <c r="CN346" s="92"/>
      <c r="CO346" s="92"/>
      <c r="CP346" s="92"/>
      <c r="CQ346" s="92"/>
      <c r="CR346" s="92"/>
      <c r="CS346" s="92"/>
      <c r="CT346" s="92"/>
      <c r="CU346" s="92"/>
      <c r="CV346" s="92"/>
      <c r="CW346" s="92"/>
      <c r="CX346" s="85"/>
      <c r="CY346" s="85"/>
      <c r="CZ346" s="85"/>
      <c r="DA346" s="85"/>
      <c r="DB346" s="85"/>
      <c r="DC346" s="85"/>
      <c r="DD346" s="85"/>
      <c r="DE346" s="85"/>
      <c r="DF346" s="85"/>
      <c r="DG346" s="85"/>
      <c r="DH346" s="85"/>
      <c r="DI346" s="85"/>
      <c r="DJ346" s="85"/>
      <c r="DK346" s="85"/>
      <c r="DL346" s="85"/>
      <c r="DM346" s="85"/>
      <c r="DN346" s="85"/>
      <c r="DO346" s="85"/>
      <c r="DP346" s="85"/>
    </row>
    <row r="347">
      <c r="A347" s="91"/>
      <c r="B347" s="91"/>
      <c r="C347" s="91"/>
      <c r="D347" s="91"/>
      <c r="E347" s="78"/>
      <c r="F347" s="15"/>
      <c r="G347" s="15"/>
      <c r="H347" s="91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92"/>
      <c r="BO347" s="92"/>
      <c r="BP347" s="92"/>
      <c r="BQ347" s="92"/>
      <c r="BR347" s="92"/>
      <c r="BS347" s="92"/>
      <c r="BT347" s="92"/>
      <c r="BU347" s="92"/>
      <c r="BV347" s="92"/>
      <c r="BW347" s="92"/>
      <c r="BX347" s="92"/>
      <c r="BY347" s="92"/>
      <c r="BZ347" s="92"/>
      <c r="CA347" s="92"/>
      <c r="CB347" s="92"/>
      <c r="CC347" s="92"/>
      <c r="CD347" s="92"/>
      <c r="CE347" s="92"/>
      <c r="CF347" s="92"/>
      <c r="CG347" s="92"/>
      <c r="CH347" s="92"/>
      <c r="CI347" s="92"/>
      <c r="CJ347" s="92"/>
      <c r="CK347" s="92"/>
      <c r="CL347" s="92"/>
      <c r="CM347" s="92"/>
      <c r="CN347" s="92"/>
      <c r="CO347" s="92"/>
      <c r="CP347" s="92"/>
      <c r="CQ347" s="92"/>
      <c r="CR347" s="92"/>
      <c r="CS347" s="92"/>
      <c r="CT347" s="92"/>
      <c r="CU347" s="92"/>
      <c r="CV347" s="92"/>
      <c r="CW347" s="92"/>
      <c r="CX347" s="85"/>
      <c r="CY347" s="85"/>
      <c r="CZ347" s="85"/>
      <c r="DA347" s="85"/>
      <c r="DB347" s="85"/>
      <c r="DC347" s="85"/>
      <c r="DD347" s="85"/>
      <c r="DE347" s="85"/>
      <c r="DF347" s="85"/>
      <c r="DG347" s="85"/>
      <c r="DH347" s="85"/>
      <c r="DI347" s="85"/>
      <c r="DJ347" s="85"/>
      <c r="DK347" s="85"/>
      <c r="DL347" s="85"/>
      <c r="DM347" s="85"/>
      <c r="DN347" s="85"/>
      <c r="DO347" s="85"/>
      <c r="DP347" s="85"/>
    </row>
    <row r="348">
      <c r="A348" s="91"/>
      <c r="B348" s="91"/>
      <c r="C348" s="91"/>
      <c r="D348" s="91"/>
      <c r="E348" s="78"/>
      <c r="F348" s="15"/>
      <c r="G348" s="15"/>
      <c r="H348" s="91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L348" s="15"/>
      <c r="BM348" s="15"/>
      <c r="BN348" s="92"/>
      <c r="BO348" s="92"/>
      <c r="BP348" s="92"/>
      <c r="BQ348" s="92"/>
      <c r="BR348" s="92"/>
      <c r="BS348" s="92"/>
      <c r="BT348" s="92"/>
      <c r="BU348" s="92"/>
      <c r="BV348" s="92"/>
      <c r="BW348" s="92"/>
      <c r="BX348" s="92"/>
      <c r="BY348" s="92"/>
      <c r="BZ348" s="92"/>
      <c r="CA348" s="92"/>
      <c r="CB348" s="92"/>
      <c r="CC348" s="92"/>
      <c r="CD348" s="92"/>
      <c r="CE348" s="92"/>
      <c r="CF348" s="92"/>
      <c r="CG348" s="92"/>
      <c r="CH348" s="92"/>
      <c r="CI348" s="92"/>
      <c r="CJ348" s="92"/>
      <c r="CK348" s="92"/>
      <c r="CL348" s="92"/>
      <c r="CM348" s="92"/>
      <c r="CN348" s="92"/>
      <c r="CO348" s="92"/>
      <c r="CP348" s="92"/>
      <c r="CQ348" s="92"/>
      <c r="CR348" s="92"/>
      <c r="CS348" s="92"/>
      <c r="CT348" s="92"/>
      <c r="CU348" s="92"/>
      <c r="CV348" s="92"/>
      <c r="CW348" s="92"/>
      <c r="CX348" s="85"/>
      <c r="CY348" s="85"/>
      <c r="CZ348" s="85"/>
      <c r="DA348" s="85"/>
      <c r="DB348" s="85"/>
      <c r="DC348" s="85"/>
      <c r="DD348" s="85"/>
      <c r="DE348" s="85"/>
      <c r="DF348" s="85"/>
      <c r="DG348" s="85"/>
      <c r="DH348" s="85"/>
      <c r="DI348" s="85"/>
      <c r="DJ348" s="85"/>
      <c r="DK348" s="85"/>
      <c r="DL348" s="85"/>
      <c r="DM348" s="85"/>
      <c r="DN348" s="85"/>
      <c r="DO348" s="85"/>
      <c r="DP348" s="85"/>
    </row>
    <row r="349">
      <c r="A349" s="91"/>
      <c r="B349" s="91"/>
      <c r="C349" s="91"/>
      <c r="D349" s="91"/>
      <c r="E349" s="78"/>
      <c r="F349" s="15"/>
      <c r="G349" s="15"/>
      <c r="H349" s="91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92"/>
      <c r="BO349" s="92"/>
      <c r="BP349" s="92"/>
      <c r="BQ349" s="92"/>
      <c r="BR349" s="92"/>
      <c r="BS349" s="92"/>
      <c r="BT349" s="92"/>
      <c r="BU349" s="92"/>
      <c r="BV349" s="92"/>
      <c r="BW349" s="92"/>
      <c r="BX349" s="92"/>
      <c r="BY349" s="92"/>
      <c r="BZ349" s="92"/>
      <c r="CA349" s="92"/>
      <c r="CB349" s="92"/>
      <c r="CC349" s="92"/>
      <c r="CD349" s="92"/>
      <c r="CE349" s="92"/>
      <c r="CF349" s="92"/>
      <c r="CG349" s="92"/>
      <c r="CH349" s="92"/>
      <c r="CI349" s="92"/>
      <c r="CJ349" s="92"/>
      <c r="CK349" s="92"/>
      <c r="CL349" s="92"/>
      <c r="CM349" s="92"/>
      <c r="CN349" s="92"/>
      <c r="CO349" s="92"/>
      <c r="CP349" s="92"/>
      <c r="CQ349" s="92"/>
      <c r="CR349" s="92"/>
      <c r="CS349" s="92"/>
      <c r="CT349" s="92"/>
      <c r="CU349" s="92"/>
      <c r="CV349" s="92"/>
      <c r="CW349" s="92"/>
      <c r="CX349" s="85"/>
      <c r="CY349" s="85"/>
      <c r="CZ349" s="85"/>
      <c r="DA349" s="85"/>
      <c r="DB349" s="85"/>
      <c r="DC349" s="85"/>
      <c r="DD349" s="85"/>
      <c r="DE349" s="85"/>
      <c r="DF349" s="85"/>
      <c r="DG349" s="85"/>
      <c r="DH349" s="85"/>
      <c r="DI349" s="85"/>
      <c r="DJ349" s="85"/>
      <c r="DK349" s="85"/>
      <c r="DL349" s="85"/>
      <c r="DM349" s="85"/>
      <c r="DN349" s="85"/>
      <c r="DO349" s="85"/>
      <c r="DP349" s="85"/>
    </row>
    <row r="350">
      <c r="A350" s="91"/>
      <c r="B350" s="91"/>
      <c r="C350" s="91"/>
      <c r="D350" s="91"/>
      <c r="E350" s="78"/>
      <c r="F350" s="15"/>
      <c r="G350" s="15"/>
      <c r="H350" s="91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  <c r="BJ350" s="15"/>
      <c r="BK350" s="15"/>
      <c r="BL350" s="15"/>
      <c r="BM350" s="15"/>
      <c r="BN350" s="92"/>
      <c r="BO350" s="92"/>
      <c r="BP350" s="92"/>
      <c r="BQ350" s="92"/>
      <c r="BR350" s="92"/>
      <c r="BS350" s="92"/>
      <c r="BT350" s="92"/>
      <c r="BU350" s="92"/>
      <c r="BV350" s="92"/>
      <c r="BW350" s="92"/>
      <c r="BX350" s="92"/>
      <c r="BY350" s="92"/>
      <c r="BZ350" s="92"/>
      <c r="CA350" s="92"/>
      <c r="CB350" s="92"/>
      <c r="CC350" s="92"/>
      <c r="CD350" s="92"/>
      <c r="CE350" s="92"/>
      <c r="CF350" s="92"/>
      <c r="CG350" s="92"/>
      <c r="CH350" s="92"/>
      <c r="CI350" s="92"/>
      <c r="CJ350" s="92"/>
      <c r="CK350" s="92"/>
      <c r="CL350" s="92"/>
      <c r="CM350" s="92"/>
      <c r="CN350" s="92"/>
      <c r="CO350" s="92"/>
      <c r="CP350" s="92"/>
      <c r="CQ350" s="92"/>
      <c r="CR350" s="92"/>
      <c r="CS350" s="92"/>
      <c r="CT350" s="92"/>
      <c r="CU350" s="92"/>
      <c r="CV350" s="92"/>
      <c r="CW350" s="92"/>
      <c r="CX350" s="85"/>
      <c r="CY350" s="85"/>
      <c r="CZ350" s="85"/>
      <c r="DA350" s="85"/>
      <c r="DB350" s="85"/>
      <c r="DC350" s="85"/>
      <c r="DD350" s="85"/>
      <c r="DE350" s="85"/>
      <c r="DF350" s="85"/>
      <c r="DG350" s="85"/>
      <c r="DH350" s="85"/>
      <c r="DI350" s="85"/>
      <c r="DJ350" s="85"/>
      <c r="DK350" s="85"/>
      <c r="DL350" s="85"/>
      <c r="DM350" s="85"/>
      <c r="DN350" s="85"/>
      <c r="DO350" s="85"/>
      <c r="DP350" s="85"/>
    </row>
    <row r="351">
      <c r="A351" s="91"/>
      <c r="B351" s="91"/>
      <c r="C351" s="91"/>
      <c r="D351" s="91"/>
      <c r="E351" s="78"/>
      <c r="F351" s="15"/>
      <c r="G351" s="15"/>
      <c r="H351" s="91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92"/>
      <c r="BO351" s="92"/>
      <c r="BP351" s="92"/>
      <c r="BQ351" s="92"/>
      <c r="BR351" s="92"/>
      <c r="BS351" s="92"/>
      <c r="BT351" s="92"/>
      <c r="BU351" s="92"/>
      <c r="BV351" s="92"/>
      <c r="BW351" s="92"/>
      <c r="BX351" s="92"/>
      <c r="BY351" s="92"/>
      <c r="BZ351" s="92"/>
      <c r="CA351" s="92"/>
      <c r="CB351" s="92"/>
      <c r="CC351" s="92"/>
      <c r="CD351" s="92"/>
      <c r="CE351" s="92"/>
      <c r="CF351" s="92"/>
      <c r="CG351" s="92"/>
      <c r="CH351" s="92"/>
      <c r="CI351" s="92"/>
      <c r="CJ351" s="92"/>
      <c r="CK351" s="92"/>
      <c r="CL351" s="92"/>
      <c r="CM351" s="92"/>
      <c r="CN351" s="92"/>
      <c r="CO351" s="92"/>
      <c r="CP351" s="92"/>
      <c r="CQ351" s="92"/>
      <c r="CR351" s="92"/>
      <c r="CS351" s="92"/>
      <c r="CT351" s="92"/>
      <c r="CU351" s="92"/>
      <c r="CV351" s="92"/>
      <c r="CW351" s="92"/>
      <c r="CX351" s="85"/>
      <c r="CY351" s="85"/>
      <c r="CZ351" s="85"/>
      <c r="DA351" s="85"/>
      <c r="DB351" s="85"/>
      <c r="DC351" s="85"/>
      <c r="DD351" s="85"/>
      <c r="DE351" s="85"/>
      <c r="DF351" s="85"/>
      <c r="DG351" s="85"/>
      <c r="DH351" s="85"/>
      <c r="DI351" s="85"/>
      <c r="DJ351" s="85"/>
      <c r="DK351" s="85"/>
      <c r="DL351" s="85"/>
      <c r="DM351" s="85"/>
      <c r="DN351" s="85"/>
      <c r="DO351" s="85"/>
      <c r="DP351" s="85"/>
    </row>
    <row r="352">
      <c r="A352" s="91"/>
      <c r="B352" s="91"/>
      <c r="C352" s="91"/>
      <c r="D352" s="91"/>
      <c r="E352" s="78"/>
      <c r="F352" s="15"/>
      <c r="G352" s="15"/>
      <c r="H352" s="91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L352" s="15"/>
      <c r="BM352" s="15"/>
      <c r="BN352" s="92"/>
      <c r="BO352" s="92"/>
      <c r="BP352" s="92"/>
      <c r="BQ352" s="92"/>
      <c r="BR352" s="92"/>
      <c r="BS352" s="92"/>
      <c r="BT352" s="92"/>
      <c r="BU352" s="92"/>
      <c r="BV352" s="92"/>
      <c r="BW352" s="92"/>
      <c r="BX352" s="92"/>
      <c r="BY352" s="92"/>
      <c r="BZ352" s="92"/>
      <c r="CA352" s="92"/>
      <c r="CB352" s="92"/>
      <c r="CC352" s="92"/>
      <c r="CD352" s="92"/>
      <c r="CE352" s="92"/>
      <c r="CF352" s="92"/>
      <c r="CG352" s="92"/>
      <c r="CH352" s="92"/>
      <c r="CI352" s="92"/>
      <c r="CJ352" s="92"/>
      <c r="CK352" s="92"/>
      <c r="CL352" s="92"/>
      <c r="CM352" s="92"/>
      <c r="CN352" s="92"/>
      <c r="CO352" s="92"/>
      <c r="CP352" s="92"/>
      <c r="CQ352" s="92"/>
      <c r="CR352" s="92"/>
      <c r="CS352" s="92"/>
      <c r="CT352" s="92"/>
      <c r="CU352" s="92"/>
      <c r="CV352" s="92"/>
      <c r="CW352" s="92"/>
      <c r="CX352" s="85"/>
      <c r="CY352" s="85"/>
      <c r="CZ352" s="85"/>
      <c r="DA352" s="85"/>
      <c r="DB352" s="85"/>
      <c r="DC352" s="85"/>
      <c r="DD352" s="85"/>
      <c r="DE352" s="85"/>
      <c r="DF352" s="85"/>
      <c r="DG352" s="85"/>
      <c r="DH352" s="85"/>
      <c r="DI352" s="85"/>
      <c r="DJ352" s="85"/>
      <c r="DK352" s="85"/>
      <c r="DL352" s="85"/>
      <c r="DM352" s="85"/>
      <c r="DN352" s="85"/>
      <c r="DO352" s="85"/>
      <c r="DP352" s="85"/>
    </row>
    <row r="353">
      <c r="A353" s="91"/>
      <c r="B353" s="91"/>
      <c r="C353" s="91"/>
      <c r="D353" s="91"/>
      <c r="E353" s="78"/>
      <c r="F353" s="15"/>
      <c r="G353" s="15"/>
      <c r="H353" s="91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92"/>
      <c r="BO353" s="92"/>
      <c r="BP353" s="92"/>
      <c r="BQ353" s="92"/>
      <c r="BR353" s="92"/>
      <c r="BS353" s="92"/>
      <c r="BT353" s="92"/>
      <c r="BU353" s="92"/>
      <c r="BV353" s="92"/>
      <c r="BW353" s="92"/>
      <c r="BX353" s="92"/>
      <c r="BY353" s="92"/>
      <c r="BZ353" s="92"/>
      <c r="CA353" s="92"/>
      <c r="CB353" s="92"/>
      <c r="CC353" s="92"/>
      <c r="CD353" s="92"/>
      <c r="CE353" s="92"/>
      <c r="CF353" s="92"/>
      <c r="CG353" s="92"/>
      <c r="CH353" s="92"/>
      <c r="CI353" s="92"/>
      <c r="CJ353" s="92"/>
      <c r="CK353" s="92"/>
      <c r="CL353" s="92"/>
      <c r="CM353" s="92"/>
      <c r="CN353" s="92"/>
      <c r="CO353" s="92"/>
      <c r="CP353" s="92"/>
      <c r="CQ353" s="92"/>
      <c r="CR353" s="92"/>
      <c r="CS353" s="92"/>
      <c r="CT353" s="92"/>
      <c r="CU353" s="92"/>
      <c r="CV353" s="92"/>
      <c r="CW353" s="92"/>
      <c r="CX353" s="85"/>
      <c r="CY353" s="85"/>
      <c r="CZ353" s="85"/>
      <c r="DA353" s="85"/>
      <c r="DB353" s="85"/>
      <c r="DC353" s="85"/>
      <c r="DD353" s="85"/>
      <c r="DE353" s="85"/>
      <c r="DF353" s="85"/>
      <c r="DG353" s="85"/>
      <c r="DH353" s="85"/>
      <c r="DI353" s="85"/>
      <c r="DJ353" s="85"/>
      <c r="DK353" s="85"/>
      <c r="DL353" s="85"/>
      <c r="DM353" s="85"/>
      <c r="DN353" s="85"/>
      <c r="DO353" s="85"/>
      <c r="DP353" s="85"/>
    </row>
    <row r="354">
      <c r="A354" s="91"/>
      <c r="B354" s="91"/>
      <c r="C354" s="91"/>
      <c r="D354" s="91"/>
      <c r="E354" s="78"/>
      <c r="F354" s="15"/>
      <c r="G354" s="15"/>
      <c r="H354" s="91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  <c r="BJ354" s="15"/>
      <c r="BK354" s="15"/>
      <c r="BL354" s="15"/>
      <c r="BM354" s="15"/>
      <c r="BN354" s="92"/>
      <c r="BO354" s="92"/>
      <c r="BP354" s="92"/>
      <c r="BQ354" s="92"/>
      <c r="BR354" s="92"/>
      <c r="BS354" s="92"/>
      <c r="BT354" s="92"/>
      <c r="BU354" s="92"/>
      <c r="BV354" s="92"/>
      <c r="BW354" s="92"/>
      <c r="BX354" s="92"/>
      <c r="BY354" s="92"/>
      <c r="BZ354" s="92"/>
      <c r="CA354" s="92"/>
      <c r="CB354" s="92"/>
      <c r="CC354" s="92"/>
      <c r="CD354" s="92"/>
      <c r="CE354" s="92"/>
      <c r="CF354" s="92"/>
      <c r="CG354" s="92"/>
      <c r="CH354" s="92"/>
      <c r="CI354" s="92"/>
      <c r="CJ354" s="92"/>
      <c r="CK354" s="92"/>
      <c r="CL354" s="92"/>
      <c r="CM354" s="92"/>
      <c r="CN354" s="92"/>
      <c r="CO354" s="92"/>
      <c r="CP354" s="92"/>
      <c r="CQ354" s="92"/>
      <c r="CR354" s="92"/>
      <c r="CS354" s="92"/>
      <c r="CT354" s="92"/>
      <c r="CU354" s="92"/>
      <c r="CV354" s="92"/>
      <c r="CW354" s="92"/>
      <c r="CX354" s="85"/>
      <c r="CY354" s="85"/>
      <c r="CZ354" s="85"/>
      <c r="DA354" s="85"/>
      <c r="DB354" s="85"/>
      <c r="DC354" s="85"/>
      <c r="DD354" s="85"/>
      <c r="DE354" s="85"/>
      <c r="DF354" s="85"/>
      <c r="DG354" s="85"/>
      <c r="DH354" s="85"/>
      <c r="DI354" s="85"/>
      <c r="DJ354" s="85"/>
      <c r="DK354" s="85"/>
      <c r="DL354" s="85"/>
      <c r="DM354" s="85"/>
      <c r="DN354" s="85"/>
      <c r="DO354" s="85"/>
      <c r="DP354" s="85"/>
    </row>
    <row r="355">
      <c r="A355" s="91"/>
      <c r="B355" s="91"/>
      <c r="C355" s="91"/>
      <c r="D355" s="91"/>
      <c r="E355" s="78"/>
      <c r="F355" s="15"/>
      <c r="G355" s="15"/>
      <c r="H355" s="91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92"/>
      <c r="BO355" s="92"/>
      <c r="BP355" s="92"/>
      <c r="BQ355" s="92"/>
      <c r="BR355" s="92"/>
      <c r="BS355" s="92"/>
      <c r="BT355" s="92"/>
      <c r="BU355" s="92"/>
      <c r="BV355" s="92"/>
      <c r="BW355" s="92"/>
      <c r="BX355" s="92"/>
      <c r="BY355" s="92"/>
      <c r="BZ355" s="92"/>
      <c r="CA355" s="92"/>
      <c r="CB355" s="92"/>
      <c r="CC355" s="92"/>
      <c r="CD355" s="92"/>
      <c r="CE355" s="92"/>
      <c r="CF355" s="92"/>
      <c r="CG355" s="92"/>
      <c r="CH355" s="92"/>
      <c r="CI355" s="92"/>
      <c r="CJ355" s="92"/>
      <c r="CK355" s="92"/>
      <c r="CL355" s="92"/>
      <c r="CM355" s="92"/>
      <c r="CN355" s="92"/>
      <c r="CO355" s="92"/>
      <c r="CP355" s="92"/>
      <c r="CQ355" s="92"/>
      <c r="CR355" s="92"/>
      <c r="CS355" s="92"/>
      <c r="CT355" s="92"/>
      <c r="CU355" s="92"/>
      <c r="CV355" s="92"/>
      <c r="CW355" s="92"/>
      <c r="CX355" s="85"/>
      <c r="CY355" s="85"/>
      <c r="CZ355" s="85"/>
      <c r="DA355" s="85"/>
      <c r="DB355" s="85"/>
      <c r="DC355" s="85"/>
      <c r="DD355" s="85"/>
      <c r="DE355" s="85"/>
      <c r="DF355" s="85"/>
      <c r="DG355" s="85"/>
      <c r="DH355" s="85"/>
      <c r="DI355" s="85"/>
      <c r="DJ355" s="85"/>
      <c r="DK355" s="85"/>
      <c r="DL355" s="85"/>
      <c r="DM355" s="85"/>
      <c r="DN355" s="85"/>
      <c r="DO355" s="85"/>
      <c r="DP355" s="85"/>
    </row>
    <row r="356">
      <c r="A356" s="91"/>
      <c r="B356" s="91"/>
      <c r="C356" s="91"/>
      <c r="D356" s="91"/>
      <c r="E356" s="78"/>
      <c r="F356" s="15"/>
      <c r="G356" s="15"/>
      <c r="H356" s="91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  <c r="BM356" s="15"/>
      <c r="BN356" s="92"/>
      <c r="BO356" s="92"/>
      <c r="BP356" s="92"/>
      <c r="BQ356" s="92"/>
      <c r="BR356" s="92"/>
      <c r="BS356" s="92"/>
      <c r="BT356" s="92"/>
      <c r="BU356" s="92"/>
      <c r="BV356" s="92"/>
      <c r="BW356" s="92"/>
      <c r="BX356" s="92"/>
      <c r="BY356" s="92"/>
      <c r="BZ356" s="92"/>
      <c r="CA356" s="92"/>
      <c r="CB356" s="92"/>
      <c r="CC356" s="92"/>
      <c r="CD356" s="92"/>
      <c r="CE356" s="92"/>
      <c r="CF356" s="92"/>
      <c r="CG356" s="92"/>
      <c r="CH356" s="92"/>
      <c r="CI356" s="92"/>
      <c r="CJ356" s="92"/>
      <c r="CK356" s="92"/>
      <c r="CL356" s="92"/>
      <c r="CM356" s="92"/>
      <c r="CN356" s="92"/>
      <c r="CO356" s="92"/>
      <c r="CP356" s="92"/>
      <c r="CQ356" s="92"/>
      <c r="CR356" s="92"/>
      <c r="CS356" s="92"/>
      <c r="CT356" s="92"/>
      <c r="CU356" s="92"/>
      <c r="CV356" s="92"/>
      <c r="CW356" s="92"/>
      <c r="CX356" s="85"/>
      <c r="CY356" s="85"/>
      <c r="CZ356" s="85"/>
      <c r="DA356" s="85"/>
      <c r="DB356" s="85"/>
      <c r="DC356" s="85"/>
      <c r="DD356" s="85"/>
      <c r="DE356" s="85"/>
      <c r="DF356" s="85"/>
      <c r="DG356" s="85"/>
      <c r="DH356" s="85"/>
      <c r="DI356" s="85"/>
      <c r="DJ356" s="85"/>
      <c r="DK356" s="85"/>
      <c r="DL356" s="85"/>
      <c r="DM356" s="85"/>
      <c r="DN356" s="85"/>
      <c r="DO356" s="85"/>
      <c r="DP356" s="85"/>
    </row>
    <row r="357">
      <c r="A357" s="91"/>
      <c r="B357" s="91"/>
      <c r="C357" s="91"/>
      <c r="D357" s="91"/>
      <c r="E357" s="78"/>
      <c r="F357" s="15"/>
      <c r="G357" s="15"/>
      <c r="H357" s="91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92"/>
      <c r="BO357" s="92"/>
      <c r="BP357" s="92"/>
      <c r="BQ357" s="92"/>
      <c r="BR357" s="92"/>
      <c r="BS357" s="92"/>
      <c r="BT357" s="92"/>
      <c r="BU357" s="92"/>
      <c r="BV357" s="92"/>
      <c r="BW357" s="92"/>
      <c r="BX357" s="92"/>
      <c r="BY357" s="92"/>
      <c r="BZ357" s="92"/>
      <c r="CA357" s="92"/>
      <c r="CB357" s="92"/>
      <c r="CC357" s="92"/>
      <c r="CD357" s="92"/>
      <c r="CE357" s="92"/>
      <c r="CF357" s="92"/>
      <c r="CG357" s="92"/>
      <c r="CH357" s="92"/>
      <c r="CI357" s="92"/>
      <c r="CJ357" s="92"/>
      <c r="CK357" s="92"/>
      <c r="CL357" s="92"/>
      <c r="CM357" s="92"/>
      <c r="CN357" s="92"/>
      <c r="CO357" s="92"/>
      <c r="CP357" s="92"/>
      <c r="CQ357" s="92"/>
      <c r="CR357" s="92"/>
      <c r="CS357" s="92"/>
      <c r="CT357" s="92"/>
      <c r="CU357" s="92"/>
      <c r="CV357" s="92"/>
      <c r="CW357" s="92"/>
      <c r="CX357" s="85"/>
      <c r="CY357" s="85"/>
      <c r="CZ357" s="85"/>
      <c r="DA357" s="85"/>
      <c r="DB357" s="85"/>
      <c r="DC357" s="85"/>
      <c r="DD357" s="85"/>
      <c r="DE357" s="85"/>
      <c r="DF357" s="85"/>
      <c r="DG357" s="85"/>
      <c r="DH357" s="85"/>
      <c r="DI357" s="85"/>
      <c r="DJ357" s="85"/>
      <c r="DK357" s="85"/>
      <c r="DL357" s="85"/>
      <c r="DM357" s="85"/>
      <c r="DN357" s="85"/>
      <c r="DO357" s="85"/>
      <c r="DP357" s="85"/>
    </row>
    <row r="358">
      <c r="A358" s="91"/>
      <c r="B358" s="91"/>
      <c r="C358" s="91"/>
      <c r="D358" s="91"/>
      <c r="E358" s="78"/>
      <c r="F358" s="15"/>
      <c r="G358" s="15"/>
      <c r="H358" s="91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92"/>
      <c r="BO358" s="92"/>
      <c r="BP358" s="92"/>
      <c r="BQ358" s="92"/>
      <c r="BR358" s="92"/>
      <c r="BS358" s="92"/>
      <c r="BT358" s="92"/>
      <c r="BU358" s="92"/>
      <c r="BV358" s="92"/>
      <c r="BW358" s="92"/>
      <c r="BX358" s="92"/>
      <c r="BY358" s="92"/>
      <c r="BZ358" s="92"/>
      <c r="CA358" s="92"/>
      <c r="CB358" s="92"/>
      <c r="CC358" s="92"/>
      <c r="CD358" s="92"/>
      <c r="CE358" s="92"/>
      <c r="CF358" s="92"/>
      <c r="CG358" s="92"/>
      <c r="CH358" s="92"/>
      <c r="CI358" s="92"/>
      <c r="CJ358" s="92"/>
      <c r="CK358" s="92"/>
      <c r="CL358" s="92"/>
      <c r="CM358" s="92"/>
      <c r="CN358" s="92"/>
      <c r="CO358" s="92"/>
      <c r="CP358" s="92"/>
      <c r="CQ358" s="92"/>
      <c r="CR358" s="92"/>
      <c r="CS358" s="92"/>
      <c r="CT358" s="92"/>
      <c r="CU358" s="92"/>
      <c r="CV358" s="92"/>
      <c r="CW358" s="92"/>
      <c r="CX358" s="85"/>
      <c r="CY358" s="85"/>
      <c r="CZ358" s="85"/>
      <c r="DA358" s="85"/>
      <c r="DB358" s="85"/>
      <c r="DC358" s="85"/>
      <c r="DD358" s="85"/>
      <c r="DE358" s="85"/>
      <c r="DF358" s="85"/>
      <c r="DG358" s="85"/>
      <c r="DH358" s="85"/>
      <c r="DI358" s="85"/>
      <c r="DJ358" s="85"/>
      <c r="DK358" s="85"/>
      <c r="DL358" s="85"/>
      <c r="DM358" s="85"/>
      <c r="DN358" s="85"/>
      <c r="DO358" s="85"/>
      <c r="DP358" s="85"/>
    </row>
    <row r="359">
      <c r="A359" s="91"/>
      <c r="B359" s="91"/>
      <c r="C359" s="91"/>
      <c r="D359" s="91"/>
      <c r="E359" s="78"/>
      <c r="F359" s="15"/>
      <c r="G359" s="15"/>
      <c r="H359" s="91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92"/>
      <c r="BO359" s="92"/>
      <c r="BP359" s="92"/>
      <c r="BQ359" s="92"/>
      <c r="BR359" s="92"/>
      <c r="BS359" s="92"/>
      <c r="BT359" s="92"/>
      <c r="BU359" s="92"/>
      <c r="BV359" s="92"/>
      <c r="BW359" s="92"/>
      <c r="BX359" s="92"/>
      <c r="BY359" s="92"/>
      <c r="BZ359" s="92"/>
      <c r="CA359" s="92"/>
      <c r="CB359" s="92"/>
      <c r="CC359" s="92"/>
      <c r="CD359" s="92"/>
      <c r="CE359" s="92"/>
      <c r="CF359" s="92"/>
      <c r="CG359" s="92"/>
      <c r="CH359" s="92"/>
      <c r="CI359" s="92"/>
      <c r="CJ359" s="92"/>
      <c r="CK359" s="92"/>
      <c r="CL359" s="92"/>
      <c r="CM359" s="92"/>
      <c r="CN359" s="92"/>
      <c r="CO359" s="92"/>
      <c r="CP359" s="92"/>
      <c r="CQ359" s="92"/>
      <c r="CR359" s="92"/>
      <c r="CS359" s="92"/>
      <c r="CT359" s="92"/>
      <c r="CU359" s="92"/>
      <c r="CV359" s="92"/>
      <c r="CW359" s="92"/>
      <c r="CX359" s="85"/>
      <c r="CY359" s="85"/>
      <c r="CZ359" s="85"/>
      <c r="DA359" s="85"/>
      <c r="DB359" s="85"/>
      <c r="DC359" s="85"/>
      <c r="DD359" s="85"/>
      <c r="DE359" s="85"/>
      <c r="DF359" s="85"/>
      <c r="DG359" s="85"/>
      <c r="DH359" s="85"/>
      <c r="DI359" s="85"/>
      <c r="DJ359" s="85"/>
      <c r="DK359" s="85"/>
      <c r="DL359" s="85"/>
      <c r="DM359" s="85"/>
      <c r="DN359" s="85"/>
      <c r="DO359" s="85"/>
      <c r="DP359" s="85"/>
    </row>
    <row r="360">
      <c r="A360" s="91"/>
      <c r="B360" s="91"/>
      <c r="C360" s="91"/>
      <c r="D360" s="91"/>
      <c r="E360" s="78"/>
      <c r="F360" s="15"/>
      <c r="G360" s="15"/>
      <c r="H360" s="91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92"/>
      <c r="BO360" s="92"/>
      <c r="BP360" s="92"/>
      <c r="BQ360" s="92"/>
      <c r="BR360" s="92"/>
      <c r="BS360" s="92"/>
      <c r="BT360" s="92"/>
      <c r="BU360" s="92"/>
      <c r="BV360" s="92"/>
      <c r="BW360" s="92"/>
      <c r="BX360" s="92"/>
      <c r="BY360" s="92"/>
      <c r="BZ360" s="92"/>
      <c r="CA360" s="92"/>
      <c r="CB360" s="92"/>
      <c r="CC360" s="92"/>
      <c r="CD360" s="92"/>
      <c r="CE360" s="92"/>
      <c r="CF360" s="92"/>
      <c r="CG360" s="92"/>
      <c r="CH360" s="92"/>
      <c r="CI360" s="92"/>
      <c r="CJ360" s="92"/>
      <c r="CK360" s="92"/>
      <c r="CL360" s="92"/>
      <c r="CM360" s="92"/>
      <c r="CN360" s="92"/>
      <c r="CO360" s="92"/>
      <c r="CP360" s="92"/>
      <c r="CQ360" s="92"/>
      <c r="CR360" s="92"/>
      <c r="CS360" s="92"/>
      <c r="CT360" s="92"/>
      <c r="CU360" s="92"/>
      <c r="CV360" s="92"/>
      <c r="CW360" s="92"/>
      <c r="CX360" s="85"/>
      <c r="CY360" s="85"/>
      <c r="CZ360" s="85"/>
      <c r="DA360" s="85"/>
      <c r="DB360" s="85"/>
      <c r="DC360" s="85"/>
      <c r="DD360" s="85"/>
      <c r="DE360" s="85"/>
      <c r="DF360" s="85"/>
      <c r="DG360" s="85"/>
      <c r="DH360" s="85"/>
      <c r="DI360" s="85"/>
      <c r="DJ360" s="85"/>
      <c r="DK360" s="85"/>
      <c r="DL360" s="85"/>
      <c r="DM360" s="85"/>
      <c r="DN360" s="85"/>
      <c r="DO360" s="85"/>
      <c r="DP360" s="85"/>
    </row>
    <row r="361">
      <c r="A361" s="91"/>
      <c r="B361" s="91"/>
      <c r="C361" s="91"/>
      <c r="D361" s="91"/>
      <c r="E361" s="78"/>
      <c r="F361" s="15"/>
      <c r="G361" s="15"/>
      <c r="H361" s="91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92"/>
      <c r="BO361" s="92"/>
      <c r="BP361" s="92"/>
      <c r="BQ361" s="92"/>
      <c r="BR361" s="92"/>
      <c r="BS361" s="92"/>
      <c r="BT361" s="92"/>
      <c r="BU361" s="92"/>
      <c r="BV361" s="92"/>
      <c r="BW361" s="92"/>
      <c r="BX361" s="92"/>
      <c r="BY361" s="92"/>
      <c r="BZ361" s="92"/>
      <c r="CA361" s="92"/>
      <c r="CB361" s="92"/>
      <c r="CC361" s="92"/>
      <c r="CD361" s="92"/>
      <c r="CE361" s="92"/>
      <c r="CF361" s="92"/>
      <c r="CG361" s="92"/>
      <c r="CH361" s="92"/>
      <c r="CI361" s="92"/>
      <c r="CJ361" s="92"/>
      <c r="CK361" s="92"/>
      <c r="CL361" s="92"/>
      <c r="CM361" s="92"/>
      <c r="CN361" s="92"/>
      <c r="CO361" s="92"/>
      <c r="CP361" s="92"/>
      <c r="CQ361" s="92"/>
      <c r="CR361" s="92"/>
      <c r="CS361" s="92"/>
      <c r="CT361" s="92"/>
      <c r="CU361" s="92"/>
      <c r="CV361" s="92"/>
      <c r="CW361" s="92"/>
      <c r="CX361" s="85"/>
      <c r="CY361" s="85"/>
      <c r="CZ361" s="85"/>
      <c r="DA361" s="85"/>
      <c r="DB361" s="85"/>
      <c r="DC361" s="85"/>
      <c r="DD361" s="85"/>
      <c r="DE361" s="85"/>
      <c r="DF361" s="85"/>
      <c r="DG361" s="85"/>
      <c r="DH361" s="85"/>
      <c r="DI361" s="85"/>
      <c r="DJ361" s="85"/>
      <c r="DK361" s="85"/>
      <c r="DL361" s="85"/>
      <c r="DM361" s="85"/>
      <c r="DN361" s="85"/>
      <c r="DO361" s="85"/>
      <c r="DP361" s="85"/>
    </row>
    <row r="362">
      <c r="A362" s="91"/>
      <c r="B362" s="91"/>
      <c r="C362" s="91"/>
      <c r="D362" s="91"/>
      <c r="E362" s="78"/>
      <c r="F362" s="15"/>
      <c r="G362" s="15"/>
      <c r="H362" s="91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92"/>
      <c r="BO362" s="92"/>
      <c r="BP362" s="92"/>
      <c r="BQ362" s="92"/>
      <c r="BR362" s="92"/>
      <c r="BS362" s="92"/>
      <c r="BT362" s="92"/>
      <c r="BU362" s="92"/>
      <c r="BV362" s="92"/>
      <c r="BW362" s="92"/>
      <c r="BX362" s="92"/>
      <c r="BY362" s="92"/>
      <c r="BZ362" s="92"/>
      <c r="CA362" s="92"/>
      <c r="CB362" s="92"/>
      <c r="CC362" s="92"/>
      <c r="CD362" s="92"/>
      <c r="CE362" s="92"/>
      <c r="CF362" s="92"/>
      <c r="CG362" s="92"/>
      <c r="CH362" s="92"/>
      <c r="CI362" s="92"/>
      <c r="CJ362" s="92"/>
      <c r="CK362" s="92"/>
      <c r="CL362" s="92"/>
      <c r="CM362" s="92"/>
      <c r="CN362" s="92"/>
      <c r="CO362" s="92"/>
      <c r="CP362" s="92"/>
      <c r="CQ362" s="92"/>
      <c r="CR362" s="92"/>
      <c r="CS362" s="92"/>
      <c r="CT362" s="92"/>
      <c r="CU362" s="92"/>
      <c r="CV362" s="92"/>
      <c r="CW362" s="92"/>
      <c r="CX362" s="85"/>
      <c r="CY362" s="85"/>
      <c r="CZ362" s="85"/>
      <c r="DA362" s="85"/>
      <c r="DB362" s="85"/>
      <c r="DC362" s="85"/>
      <c r="DD362" s="85"/>
      <c r="DE362" s="85"/>
      <c r="DF362" s="85"/>
      <c r="DG362" s="85"/>
      <c r="DH362" s="85"/>
      <c r="DI362" s="85"/>
      <c r="DJ362" s="85"/>
      <c r="DK362" s="85"/>
      <c r="DL362" s="85"/>
      <c r="DM362" s="85"/>
      <c r="DN362" s="85"/>
      <c r="DO362" s="85"/>
      <c r="DP362" s="85"/>
    </row>
    <row r="363">
      <c r="A363" s="91"/>
      <c r="B363" s="91"/>
      <c r="C363" s="91"/>
      <c r="D363" s="91"/>
      <c r="E363" s="78"/>
      <c r="F363" s="15"/>
      <c r="G363" s="15"/>
      <c r="H363" s="91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92"/>
      <c r="BO363" s="92"/>
      <c r="BP363" s="92"/>
      <c r="BQ363" s="92"/>
      <c r="BR363" s="92"/>
      <c r="BS363" s="92"/>
      <c r="BT363" s="92"/>
      <c r="BU363" s="92"/>
      <c r="BV363" s="92"/>
      <c r="BW363" s="92"/>
      <c r="BX363" s="92"/>
      <c r="BY363" s="92"/>
      <c r="BZ363" s="92"/>
      <c r="CA363" s="92"/>
      <c r="CB363" s="92"/>
      <c r="CC363" s="92"/>
      <c r="CD363" s="92"/>
      <c r="CE363" s="92"/>
      <c r="CF363" s="92"/>
      <c r="CG363" s="92"/>
      <c r="CH363" s="92"/>
      <c r="CI363" s="92"/>
      <c r="CJ363" s="92"/>
      <c r="CK363" s="92"/>
      <c r="CL363" s="92"/>
      <c r="CM363" s="92"/>
      <c r="CN363" s="92"/>
      <c r="CO363" s="92"/>
      <c r="CP363" s="92"/>
      <c r="CQ363" s="92"/>
      <c r="CR363" s="92"/>
      <c r="CS363" s="92"/>
      <c r="CT363" s="92"/>
      <c r="CU363" s="92"/>
      <c r="CV363" s="92"/>
      <c r="CW363" s="92"/>
      <c r="CX363" s="85"/>
      <c r="CY363" s="85"/>
      <c r="CZ363" s="85"/>
      <c r="DA363" s="85"/>
      <c r="DB363" s="85"/>
      <c r="DC363" s="85"/>
      <c r="DD363" s="85"/>
      <c r="DE363" s="85"/>
      <c r="DF363" s="85"/>
      <c r="DG363" s="85"/>
      <c r="DH363" s="85"/>
      <c r="DI363" s="85"/>
      <c r="DJ363" s="85"/>
      <c r="DK363" s="85"/>
      <c r="DL363" s="85"/>
      <c r="DM363" s="85"/>
      <c r="DN363" s="85"/>
      <c r="DO363" s="85"/>
      <c r="DP363" s="85"/>
    </row>
    <row r="364">
      <c r="A364" s="91"/>
      <c r="B364" s="91"/>
      <c r="C364" s="91"/>
      <c r="D364" s="91"/>
      <c r="E364" s="78"/>
      <c r="F364" s="15"/>
      <c r="G364" s="15"/>
      <c r="H364" s="91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  <c r="BJ364" s="15"/>
      <c r="BK364" s="15"/>
      <c r="BL364" s="15"/>
      <c r="BM364" s="15"/>
      <c r="BN364" s="92"/>
      <c r="BO364" s="92"/>
      <c r="BP364" s="92"/>
      <c r="BQ364" s="92"/>
      <c r="BR364" s="92"/>
      <c r="BS364" s="92"/>
      <c r="BT364" s="92"/>
      <c r="BU364" s="92"/>
      <c r="BV364" s="92"/>
      <c r="BW364" s="92"/>
      <c r="BX364" s="92"/>
      <c r="BY364" s="92"/>
      <c r="BZ364" s="92"/>
      <c r="CA364" s="92"/>
      <c r="CB364" s="92"/>
      <c r="CC364" s="92"/>
      <c r="CD364" s="92"/>
      <c r="CE364" s="92"/>
      <c r="CF364" s="92"/>
      <c r="CG364" s="92"/>
      <c r="CH364" s="92"/>
      <c r="CI364" s="92"/>
      <c r="CJ364" s="92"/>
      <c r="CK364" s="92"/>
      <c r="CL364" s="92"/>
      <c r="CM364" s="92"/>
      <c r="CN364" s="92"/>
      <c r="CO364" s="92"/>
      <c r="CP364" s="92"/>
      <c r="CQ364" s="92"/>
      <c r="CR364" s="92"/>
      <c r="CS364" s="92"/>
      <c r="CT364" s="92"/>
      <c r="CU364" s="92"/>
      <c r="CV364" s="92"/>
      <c r="CW364" s="92"/>
      <c r="CX364" s="85"/>
      <c r="CY364" s="85"/>
      <c r="CZ364" s="85"/>
      <c r="DA364" s="85"/>
      <c r="DB364" s="85"/>
      <c r="DC364" s="85"/>
      <c r="DD364" s="85"/>
      <c r="DE364" s="85"/>
      <c r="DF364" s="85"/>
      <c r="DG364" s="85"/>
      <c r="DH364" s="85"/>
      <c r="DI364" s="85"/>
      <c r="DJ364" s="85"/>
      <c r="DK364" s="85"/>
      <c r="DL364" s="85"/>
      <c r="DM364" s="85"/>
      <c r="DN364" s="85"/>
      <c r="DO364" s="85"/>
      <c r="DP364" s="85"/>
    </row>
    <row r="365">
      <c r="A365" s="91"/>
      <c r="B365" s="91"/>
      <c r="C365" s="91"/>
      <c r="D365" s="91"/>
      <c r="E365" s="78"/>
      <c r="F365" s="15"/>
      <c r="G365" s="15"/>
      <c r="H365" s="91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92"/>
      <c r="BO365" s="92"/>
      <c r="BP365" s="92"/>
      <c r="BQ365" s="92"/>
      <c r="BR365" s="92"/>
      <c r="BS365" s="92"/>
      <c r="BT365" s="92"/>
      <c r="BU365" s="92"/>
      <c r="BV365" s="92"/>
      <c r="BW365" s="92"/>
      <c r="BX365" s="92"/>
      <c r="BY365" s="92"/>
      <c r="BZ365" s="92"/>
      <c r="CA365" s="92"/>
      <c r="CB365" s="92"/>
      <c r="CC365" s="92"/>
      <c r="CD365" s="92"/>
      <c r="CE365" s="92"/>
      <c r="CF365" s="92"/>
      <c r="CG365" s="92"/>
      <c r="CH365" s="92"/>
      <c r="CI365" s="92"/>
      <c r="CJ365" s="92"/>
      <c r="CK365" s="92"/>
      <c r="CL365" s="92"/>
      <c r="CM365" s="92"/>
      <c r="CN365" s="92"/>
      <c r="CO365" s="92"/>
      <c r="CP365" s="92"/>
      <c r="CQ365" s="92"/>
      <c r="CR365" s="92"/>
      <c r="CS365" s="92"/>
      <c r="CT365" s="92"/>
      <c r="CU365" s="92"/>
      <c r="CV365" s="92"/>
      <c r="CW365" s="92"/>
      <c r="CX365" s="85"/>
      <c r="CY365" s="85"/>
      <c r="CZ365" s="85"/>
      <c r="DA365" s="85"/>
      <c r="DB365" s="85"/>
      <c r="DC365" s="85"/>
      <c r="DD365" s="85"/>
      <c r="DE365" s="85"/>
      <c r="DF365" s="85"/>
      <c r="DG365" s="85"/>
      <c r="DH365" s="85"/>
      <c r="DI365" s="85"/>
      <c r="DJ365" s="85"/>
      <c r="DK365" s="85"/>
      <c r="DL365" s="85"/>
      <c r="DM365" s="85"/>
      <c r="DN365" s="85"/>
      <c r="DO365" s="85"/>
      <c r="DP365" s="85"/>
    </row>
    <row r="366">
      <c r="A366" s="91"/>
      <c r="B366" s="91"/>
      <c r="C366" s="91"/>
      <c r="D366" s="91"/>
      <c r="E366" s="78"/>
      <c r="F366" s="15"/>
      <c r="G366" s="15"/>
      <c r="H366" s="91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  <c r="BM366" s="15"/>
      <c r="BN366" s="92"/>
      <c r="BO366" s="92"/>
      <c r="BP366" s="92"/>
      <c r="BQ366" s="92"/>
      <c r="BR366" s="92"/>
      <c r="BS366" s="92"/>
      <c r="BT366" s="92"/>
      <c r="BU366" s="92"/>
      <c r="BV366" s="92"/>
      <c r="BW366" s="92"/>
      <c r="BX366" s="92"/>
      <c r="BY366" s="92"/>
      <c r="BZ366" s="92"/>
      <c r="CA366" s="92"/>
      <c r="CB366" s="92"/>
      <c r="CC366" s="92"/>
      <c r="CD366" s="92"/>
      <c r="CE366" s="92"/>
      <c r="CF366" s="92"/>
      <c r="CG366" s="92"/>
      <c r="CH366" s="92"/>
      <c r="CI366" s="92"/>
      <c r="CJ366" s="92"/>
      <c r="CK366" s="92"/>
      <c r="CL366" s="92"/>
      <c r="CM366" s="92"/>
      <c r="CN366" s="92"/>
      <c r="CO366" s="92"/>
      <c r="CP366" s="92"/>
      <c r="CQ366" s="92"/>
      <c r="CR366" s="92"/>
      <c r="CS366" s="92"/>
      <c r="CT366" s="92"/>
      <c r="CU366" s="92"/>
      <c r="CV366" s="92"/>
      <c r="CW366" s="92"/>
      <c r="CX366" s="85"/>
      <c r="CY366" s="85"/>
      <c r="CZ366" s="85"/>
      <c r="DA366" s="85"/>
      <c r="DB366" s="85"/>
      <c r="DC366" s="85"/>
      <c r="DD366" s="85"/>
      <c r="DE366" s="85"/>
      <c r="DF366" s="85"/>
      <c r="DG366" s="85"/>
      <c r="DH366" s="85"/>
      <c r="DI366" s="85"/>
      <c r="DJ366" s="85"/>
      <c r="DK366" s="85"/>
      <c r="DL366" s="85"/>
      <c r="DM366" s="85"/>
      <c r="DN366" s="85"/>
      <c r="DO366" s="85"/>
      <c r="DP366" s="85"/>
    </row>
    <row r="367">
      <c r="A367" s="91"/>
      <c r="B367" s="91"/>
      <c r="C367" s="91"/>
      <c r="D367" s="91"/>
      <c r="E367" s="78"/>
      <c r="F367" s="15"/>
      <c r="G367" s="15"/>
      <c r="H367" s="91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92"/>
      <c r="BO367" s="92"/>
      <c r="BP367" s="92"/>
      <c r="BQ367" s="92"/>
      <c r="BR367" s="92"/>
      <c r="BS367" s="92"/>
      <c r="BT367" s="92"/>
      <c r="BU367" s="92"/>
      <c r="BV367" s="92"/>
      <c r="BW367" s="92"/>
      <c r="BX367" s="92"/>
      <c r="BY367" s="92"/>
      <c r="BZ367" s="92"/>
      <c r="CA367" s="92"/>
      <c r="CB367" s="92"/>
      <c r="CC367" s="92"/>
      <c r="CD367" s="92"/>
      <c r="CE367" s="92"/>
      <c r="CF367" s="92"/>
      <c r="CG367" s="92"/>
      <c r="CH367" s="92"/>
      <c r="CI367" s="92"/>
      <c r="CJ367" s="92"/>
      <c r="CK367" s="92"/>
      <c r="CL367" s="92"/>
      <c r="CM367" s="92"/>
      <c r="CN367" s="92"/>
      <c r="CO367" s="92"/>
      <c r="CP367" s="92"/>
      <c r="CQ367" s="92"/>
      <c r="CR367" s="92"/>
      <c r="CS367" s="92"/>
      <c r="CT367" s="92"/>
      <c r="CU367" s="92"/>
      <c r="CV367" s="92"/>
      <c r="CW367" s="92"/>
      <c r="CX367" s="85"/>
      <c r="CY367" s="85"/>
      <c r="CZ367" s="85"/>
      <c r="DA367" s="85"/>
      <c r="DB367" s="85"/>
      <c r="DC367" s="85"/>
      <c r="DD367" s="85"/>
      <c r="DE367" s="85"/>
      <c r="DF367" s="85"/>
      <c r="DG367" s="85"/>
      <c r="DH367" s="85"/>
      <c r="DI367" s="85"/>
      <c r="DJ367" s="85"/>
      <c r="DK367" s="85"/>
      <c r="DL367" s="85"/>
      <c r="DM367" s="85"/>
      <c r="DN367" s="85"/>
      <c r="DO367" s="85"/>
      <c r="DP367" s="85"/>
    </row>
    <row r="368">
      <c r="A368" s="91"/>
      <c r="B368" s="91"/>
      <c r="C368" s="91"/>
      <c r="D368" s="91"/>
      <c r="E368" s="78"/>
      <c r="F368" s="15"/>
      <c r="G368" s="15"/>
      <c r="H368" s="91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  <c r="BL368" s="15"/>
      <c r="BM368" s="15"/>
      <c r="BN368" s="92"/>
      <c r="BO368" s="92"/>
      <c r="BP368" s="92"/>
      <c r="BQ368" s="92"/>
      <c r="BR368" s="92"/>
      <c r="BS368" s="92"/>
      <c r="BT368" s="92"/>
      <c r="BU368" s="92"/>
      <c r="BV368" s="92"/>
      <c r="BW368" s="92"/>
      <c r="BX368" s="92"/>
      <c r="BY368" s="92"/>
      <c r="BZ368" s="92"/>
      <c r="CA368" s="92"/>
      <c r="CB368" s="92"/>
      <c r="CC368" s="92"/>
      <c r="CD368" s="92"/>
      <c r="CE368" s="92"/>
      <c r="CF368" s="92"/>
      <c r="CG368" s="92"/>
      <c r="CH368" s="92"/>
      <c r="CI368" s="92"/>
      <c r="CJ368" s="92"/>
      <c r="CK368" s="92"/>
      <c r="CL368" s="92"/>
      <c r="CM368" s="92"/>
      <c r="CN368" s="92"/>
      <c r="CO368" s="92"/>
      <c r="CP368" s="92"/>
      <c r="CQ368" s="92"/>
      <c r="CR368" s="92"/>
      <c r="CS368" s="92"/>
      <c r="CT368" s="92"/>
      <c r="CU368" s="92"/>
      <c r="CV368" s="92"/>
      <c r="CW368" s="92"/>
      <c r="CX368" s="85"/>
      <c r="CY368" s="85"/>
      <c r="CZ368" s="85"/>
      <c r="DA368" s="85"/>
      <c r="DB368" s="85"/>
      <c r="DC368" s="85"/>
      <c r="DD368" s="85"/>
      <c r="DE368" s="85"/>
      <c r="DF368" s="85"/>
      <c r="DG368" s="85"/>
      <c r="DH368" s="85"/>
      <c r="DI368" s="85"/>
      <c r="DJ368" s="85"/>
      <c r="DK368" s="85"/>
      <c r="DL368" s="85"/>
      <c r="DM368" s="85"/>
      <c r="DN368" s="85"/>
      <c r="DO368" s="85"/>
      <c r="DP368" s="85"/>
    </row>
    <row r="369">
      <c r="A369" s="91"/>
      <c r="B369" s="91"/>
      <c r="C369" s="91"/>
      <c r="D369" s="91"/>
      <c r="E369" s="78"/>
      <c r="F369" s="15"/>
      <c r="G369" s="15"/>
      <c r="H369" s="91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92"/>
      <c r="BO369" s="92"/>
      <c r="BP369" s="92"/>
      <c r="BQ369" s="92"/>
      <c r="BR369" s="92"/>
      <c r="BS369" s="92"/>
      <c r="BT369" s="92"/>
      <c r="BU369" s="92"/>
      <c r="BV369" s="92"/>
      <c r="BW369" s="92"/>
      <c r="BX369" s="92"/>
      <c r="BY369" s="92"/>
      <c r="BZ369" s="92"/>
      <c r="CA369" s="92"/>
      <c r="CB369" s="92"/>
      <c r="CC369" s="92"/>
      <c r="CD369" s="92"/>
      <c r="CE369" s="92"/>
      <c r="CF369" s="92"/>
      <c r="CG369" s="92"/>
      <c r="CH369" s="92"/>
      <c r="CI369" s="92"/>
      <c r="CJ369" s="92"/>
      <c r="CK369" s="92"/>
      <c r="CL369" s="92"/>
      <c r="CM369" s="92"/>
      <c r="CN369" s="92"/>
      <c r="CO369" s="92"/>
      <c r="CP369" s="92"/>
      <c r="CQ369" s="92"/>
      <c r="CR369" s="92"/>
      <c r="CS369" s="92"/>
      <c r="CT369" s="92"/>
      <c r="CU369" s="92"/>
      <c r="CV369" s="92"/>
      <c r="CW369" s="92"/>
      <c r="CX369" s="85"/>
      <c r="CY369" s="85"/>
      <c r="CZ369" s="85"/>
      <c r="DA369" s="85"/>
      <c r="DB369" s="85"/>
      <c r="DC369" s="85"/>
      <c r="DD369" s="85"/>
      <c r="DE369" s="85"/>
      <c r="DF369" s="85"/>
      <c r="DG369" s="85"/>
      <c r="DH369" s="85"/>
      <c r="DI369" s="85"/>
      <c r="DJ369" s="85"/>
      <c r="DK369" s="85"/>
      <c r="DL369" s="85"/>
      <c r="DM369" s="85"/>
      <c r="DN369" s="85"/>
      <c r="DO369" s="85"/>
      <c r="DP369" s="85"/>
    </row>
    <row r="370">
      <c r="A370" s="91"/>
      <c r="B370" s="91"/>
      <c r="C370" s="91"/>
      <c r="D370" s="91"/>
      <c r="E370" s="78"/>
      <c r="F370" s="15"/>
      <c r="G370" s="15"/>
      <c r="H370" s="91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L370" s="15"/>
      <c r="BM370" s="15"/>
      <c r="BN370" s="92"/>
      <c r="BO370" s="92"/>
      <c r="BP370" s="92"/>
      <c r="BQ370" s="92"/>
      <c r="BR370" s="92"/>
      <c r="BS370" s="92"/>
      <c r="BT370" s="92"/>
      <c r="BU370" s="92"/>
      <c r="BV370" s="92"/>
      <c r="BW370" s="92"/>
      <c r="BX370" s="92"/>
      <c r="BY370" s="92"/>
      <c r="BZ370" s="92"/>
      <c r="CA370" s="92"/>
      <c r="CB370" s="92"/>
      <c r="CC370" s="92"/>
      <c r="CD370" s="92"/>
      <c r="CE370" s="92"/>
      <c r="CF370" s="92"/>
      <c r="CG370" s="92"/>
      <c r="CH370" s="92"/>
      <c r="CI370" s="92"/>
      <c r="CJ370" s="92"/>
      <c r="CK370" s="92"/>
      <c r="CL370" s="92"/>
      <c r="CM370" s="92"/>
      <c r="CN370" s="92"/>
      <c r="CO370" s="92"/>
      <c r="CP370" s="92"/>
      <c r="CQ370" s="92"/>
      <c r="CR370" s="92"/>
      <c r="CS370" s="92"/>
      <c r="CT370" s="92"/>
      <c r="CU370" s="92"/>
      <c r="CV370" s="92"/>
      <c r="CW370" s="92"/>
      <c r="CX370" s="85"/>
      <c r="CY370" s="85"/>
      <c r="CZ370" s="85"/>
      <c r="DA370" s="85"/>
      <c r="DB370" s="85"/>
      <c r="DC370" s="85"/>
      <c r="DD370" s="85"/>
      <c r="DE370" s="85"/>
      <c r="DF370" s="85"/>
      <c r="DG370" s="85"/>
      <c r="DH370" s="85"/>
      <c r="DI370" s="85"/>
      <c r="DJ370" s="85"/>
      <c r="DK370" s="85"/>
      <c r="DL370" s="85"/>
      <c r="DM370" s="85"/>
      <c r="DN370" s="85"/>
      <c r="DO370" s="85"/>
      <c r="DP370" s="85"/>
    </row>
    <row r="371">
      <c r="A371" s="91"/>
      <c r="B371" s="91"/>
      <c r="C371" s="91"/>
      <c r="D371" s="91"/>
      <c r="E371" s="78"/>
      <c r="F371" s="15"/>
      <c r="G371" s="15"/>
      <c r="H371" s="91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92"/>
      <c r="BO371" s="92"/>
      <c r="BP371" s="92"/>
      <c r="BQ371" s="92"/>
      <c r="BR371" s="92"/>
      <c r="BS371" s="92"/>
      <c r="BT371" s="92"/>
      <c r="BU371" s="92"/>
      <c r="BV371" s="92"/>
      <c r="BW371" s="92"/>
      <c r="BX371" s="92"/>
      <c r="BY371" s="92"/>
      <c r="BZ371" s="92"/>
      <c r="CA371" s="92"/>
      <c r="CB371" s="92"/>
      <c r="CC371" s="92"/>
      <c r="CD371" s="92"/>
      <c r="CE371" s="92"/>
      <c r="CF371" s="92"/>
      <c r="CG371" s="92"/>
      <c r="CH371" s="92"/>
      <c r="CI371" s="92"/>
      <c r="CJ371" s="92"/>
      <c r="CK371" s="92"/>
      <c r="CL371" s="92"/>
      <c r="CM371" s="92"/>
      <c r="CN371" s="92"/>
      <c r="CO371" s="92"/>
      <c r="CP371" s="92"/>
      <c r="CQ371" s="92"/>
      <c r="CR371" s="92"/>
      <c r="CS371" s="92"/>
      <c r="CT371" s="92"/>
      <c r="CU371" s="92"/>
      <c r="CV371" s="92"/>
      <c r="CW371" s="92"/>
      <c r="CX371" s="85"/>
      <c r="CY371" s="85"/>
      <c r="CZ371" s="85"/>
      <c r="DA371" s="85"/>
      <c r="DB371" s="85"/>
      <c r="DC371" s="85"/>
      <c r="DD371" s="85"/>
      <c r="DE371" s="85"/>
      <c r="DF371" s="85"/>
      <c r="DG371" s="85"/>
      <c r="DH371" s="85"/>
      <c r="DI371" s="85"/>
      <c r="DJ371" s="85"/>
      <c r="DK371" s="85"/>
      <c r="DL371" s="85"/>
      <c r="DM371" s="85"/>
      <c r="DN371" s="85"/>
      <c r="DO371" s="85"/>
      <c r="DP371" s="85"/>
    </row>
    <row r="372">
      <c r="A372" s="91"/>
      <c r="B372" s="91"/>
      <c r="C372" s="91"/>
      <c r="D372" s="91"/>
      <c r="E372" s="78"/>
      <c r="F372" s="15"/>
      <c r="G372" s="15"/>
      <c r="H372" s="91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  <c r="BL372" s="15"/>
      <c r="BM372" s="15"/>
      <c r="BN372" s="92"/>
      <c r="BO372" s="92"/>
      <c r="BP372" s="92"/>
      <c r="BQ372" s="92"/>
      <c r="BR372" s="92"/>
      <c r="BS372" s="92"/>
      <c r="BT372" s="92"/>
      <c r="BU372" s="92"/>
      <c r="BV372" s="92"/>
      <c r="BW372" s="92"/>
      <c r="BX372" s="92"/>
      <c r="BY372" s="92"/>
      <c r="BZ372" s="92"/>
      <c r="CA372" s="92"/>
      <c r="CB372" s="92"/>
      <c r="CC372" s="92"/>
      <c r="CD372" s="92"/>
      <c r="CE372" s="92"/>
      <c r="CF372" s="92"/>
      <c r="CG372" s="92"/>
      <c r="CH372" s="92"/>
      <c r="CI372" s="92"/>
      <c r="CJ372" s="92"/>
      <c r="CK372" s="92"/>
      <c r="CL372" s="92"/>
      <c r="CM372" s="92"/>
      <c r="CN372" s="92"/>
      <c r="CO372" s="92"/>
      <c r="CP372" s="92"/>
      <c r="CQ372" s="92"/>
      <c r="CR372" s="92"/>
      <c r="CS372" s="92"/>
      <c r="CT372" s="92"/>
      <c r="CU372" s="92"/>
      <c r="CV372" s="92"/>
      <c r="CW372" s="92"/>
      <c r="CX372" s="85"/>
      <c r="CY372" s="85"/>
      <c r="CZ372" s="85"/>
      <c r="DA372" s="85"/>
      <c r="DB372" s="85"/>
      <c r="DC372" s="85"/>
      <c r="DD372" s="85"/>
      <c r="DE372" s="85"/>
      <c r="DF372" s="85"/>
      <c r="DG372" s="85"/>
      <c r="DH372" s="85"/>
      <c r="DI372" s="85"/>
      <c r="DJ372" s="85"/>
      <c r="DK372" s="85"/>
      <c r="DL372" s="85"/>
      <c r="DM372" s="85"/>
      <c r="DN372" s="85"/>
      <c r="DO372" s="85"/>
      <c r="DP372" s="85"/>
    </row>
    <row r="373">
      <c r="A373" s="91"/>
      <c r="B373" s="91"/>
      <c r="C373" s="91"/>
      <c r="D373" s="91"/>
      <c r="E373" s="78"/>
      <c r="F373" s="15"/>
      <c r="G373" s="15"/>
      <c r="H373" s="91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92"/>
      <c r="BO373" s="92"/>
      <c r="BP373" s="92"/>
      <c r="BQ373" s="92"/>
      <c r="BR373" s="92"/>
      <c r="BS373" s="92"/>
      <c r="BT373" s="92"/>
      <c r="BU373" s="92"/>
      <c r="BV373" s="92"/>
      <c r="BW373" s="92"/>
      <c r="BX373" s="92"/>
      <c r="BY373" s="92"/>
      <c r="BZ373" s="92"/>
      <c r="CA373" s="92"/>
      <c r="CB373" s="92"/>
      <c r="CC373" s="92"/>
      <c r="CD373" s="92"/>
      <c r="CE373" s="92"/>
      <c r="CF373" s="92"/>
      <c r="CG373" s="92"/>
      <c r="CH373" s="92"/>
      <c r="CI373" s="92"/>
      <c r="CJ373" s="92"/>
      <c r="CK373" s="92"/>
      <c r="CL373" s="92"/>
      <c r="CM373" s="92"/>
      <c r="CN373" s="92"/>
      <c r="CO373" s="92"/>
      <c r="CP373" s="92"/>
      <c r="CQ373" s="92"/>
      <c r="CR373" s="92"/>
      <c r="CS373" s="92"/>
      <c r="CT373" s="92"/>
      <c r="CU373" s="92"/>
      <c r="CV373" s="92"/>
      <c r="CW373" s="92"/>
      <c r="CX373" s="85"/>
      <c r="CY373" s="85"/>
      <c r="CZ373" s="85"/>
      <c r="DA373" s="85"/>
      <c r="DB373" s="85"/>
      <c r="DC373" s="85"/>
      <c r="DD373" s="85"/>
      <c r="DE373" s="85"/>
      <c r="DF373" s="85"/>
      <c r="DG373" s="85"/>
      <c r="DH373" s="85"/>
      <c r="DI373" s="85"/>
      <c r="DJ373" s="85"/>
      <c r="DK373" s="85"/>
      <c r="DL373" s="85"/>
      <c r="DM373" s="85"/>
      <c r="DN373" s="85"/>
      <c r="DO373" s="85"/>
      <c r="DP373" s="85"/>
    </row>
    <row r="374">
      <c r="A374" s="91"/>
      <c r="B374" s="91"/>
      <c r="C374" s="91"/>
      <c r="D374" s="91"/>
      <c r="E374" s="78"/>
      <c r="F374" s="15"/>
      <c r="G374" s="15"/>
      <c r="H374" s="91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  <c r="BJ374" s="15"/>
      <c r="BK374" s="15"/>
      <c r="BL374" s="15"/>
      <c r="BM374" s="15"/>
      <c r="BN374" s="92"/>
      <c r="BO374" s="92"/>
      <c r="BP374" s="92"/>
      <c r="BQ374" s="92"/>
      <c r="BR374" s="92"/>
      <c r="BS374" s="92"/>
      <c r="BT374" s="92"/>
      <c r="BU374" s="92"/>
      <c r="BV374" s="92"/>
      <c r="BW374" s="92"/>
      <c r="BX374" s="92"/>
      <c r="BY374" s="92"/>
      <c r="BZ374" s="92"/>
      <c r="CA374" s="92"/>
      <c r="CB374" s="92"/>
      <c r="CC374" s="92"/>
      <c r="CD374" s="92"/>
      <c r="CE374" s="92"/>
      <c r="CF374" s="92"/>
      <c r="CG374" s="92"/>
      <c r="CH374" s="92"/>
      <c r="CI374" s="92"/>
      <c r="CJ374" s="92"/>
      <c r="CK374" s="92"/>
      <c r="CL374" s="92"/>
      <c r="CM374" s="92"/>
      <c r="CN374" s="92"/>
      <c r="CO374" s="92"/>
      <c r="CP374" s="92"/>
      <c r="CQ374" s="92"/>
      <c r="CR374" s="92"/>
      <c r="CS374" s="92"/>
      <c r="CT374" s="92"/>
      <c r="CU374" s="92"/>
      <c r="CV374" s="92"/>
      <c r="CW374" s="92"/>
      <c r="CX374" s="85"/>
      <c r="CY374" s="85"/>
      <c r="CZ374" s="85"/>
      <c r="DA374" s="85"/>
      <c r="DB374" s="85"/>
      <c r="DC374" s="85"/>
      <c r="DD374" s="85"/>
      <c r="DE374" s="85"/>
      <c r="DF374" s="85"/>
      <c r="DG374" s="85"/>
      <c r="DH374" s="85"/>
      <c r="DI374" s="85"/>
      <c r="DJ374" s="85"/>
      <c r="DK374" s="85"/>
      <c r="DL374" s="85"/>
      <c r="DM374" s="85"/>
      <c r="DN374" s="85"/>
      <c r="DO374" s="85"/>
      <c r="DP374" s="85"/>
    </row>
    <row r="375">
      <c r="A375" s="91"/>
      <c r="B375" s="91"/>
      <c r="C375" s="91"/>
      <c r="D375" s="91"/>
      <c r="E375" s="78"/>
      <c r="F375" s="15"/>
      <c r="G375" s="15"/>
      <c r="H375" s="91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92"/>
      <c r="BO375" s="92"/>
      <c r="BP375" s="92"/>
      <c r="BQ375" s="92"/>
      <c r="BR375" s="92"/>
      <c r="BS375" s="92"/>
      <c r="BT375" s="92"/>
      <c r="BU375" s="92"/>
      <c r="BV375" s="92"/>
      <c r="BW375" s="92"/>
      <c r="BX375" s="92"/>
      <c r="BY375" s="92"/>
      <c r="BZ375" s="92"/>
      <c r="CA375" s="92"/>
      <c r="CB375" s="92"/>
      <c r="CC375" s="92"/>
      <c r="CD375" s="92"/>
      <c r="CE375" s="92"/>
      <c r="CF375" s="92"/>
      <c r="CG375" s="92"/>
      <c r="CH375" s="92"/>
      <c r="CI375" s="92"/>
      <c r="CJ375" s="92"/>
      <c r="CK375" s="92"/>
      <c r="CL375" s="92"/>
      <c r="CM375" s="92"/>
      <c r="CN375" s="92"/>
      <c r="CO375" s="92"/>
      <c r="CP375" s="92"/>
      <c r="CQ375" s="92"/>
      <c r="CR375" s="92"/>
      <c r="CS375" s="92"/>
      <c r="CT375" s="92"/>
      <c r="CU375" s="92"/>
      <c r="CV375" s="92"/>
      <c r="CW375" s="92"/>
      <c r="CX375" s="85"/>
      <c r="CY375" s="85"/>
      <c r="CZ375" s="85"/>
      <c r="DA375" s="85"/>
      <c r="DB375" s="85"/>
      <c r="DC375" s="85"/>
      <c r="DD375" s="85"/>
      <c r="DE375" s="85"/>
      <c r="DF375" s="85"/>
      <c r="DG375" s="85"/>
      <c r="DH375" s="85"/>
      <c r="DI375" s="85"/>
      <c r="DJ375" s="85"/>
      <c r="DK375" s="85"/>
      <c r="DL375" s="85"/>
      <c r="DM375" s="85"/>
      <c r="DN375" s="85"/>
      <c r="DO375" s="85"/>
      <c r="DP375" s="85"/>
    </row>
    <row r="376">
      <c r="A376" s="91"/>
      <c r="B376" s="91"/>
      <c r="C376" s="91"/>
      <c r="D376" s="91"/>
      <c r="E376" s="78"/>
      <c r="F376" s="15"/>
      <c r="G376" s="15"/>
      <c r="H376" s="91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  <c r="BL376" s="15"/>
      <c r="BM376" s="15"/>
      <c r="BN376" s="92"/>
      <c r="BO376" s="92"/>
      <c r="BP376" s="92"/>
      <c r="BQ376" s="92"/>
      <c r="BR376" s="92"/>
      <c r="BS376" s="92"/>
      <c r="BT376" s="92"/>
      <c r="BU376" s="92"/>
      <c r="BV376" s="92"/>
      <c r="BW376" s="92"/>
      <c r="BX376" s="92"/>
      <c r="BY376" s="92"/>
      <c r="BZ376" s="92"/>
      <c r="CA376" s="92"/>
      <c r="CB376" s="92"/>
      <c r="CC376" s="92"/>
      <c r="CD376" s="92"/>
      <c r="CE376" s="92"/>
      <c r="CF376" s="92"/>
      <c r="CG376" s="92"/>
      <c r="CH376" s="92"/>
      <c r="CI376" s="92"/>
      <c r="CJ376" s="92"/>
      <c r="CK376" s="92"/>
      <c r="CL376" s="92"/>
      <c r="CM376" s="92"/>
      <c r="CN376" s="92"/>
      <c r="CO376" s="92"/>
      <c r="CP376" s="92"/>
      <c r="CQ376" s="92"/>
      <c r="CR376" s="92"/>
      <c r="CS376" s="92"/>
      <c r="CT376" s="92"/>
      <c r="CU376" s="92"/>
      <c r="CV376" s="92"/>
      <c r="CW376" s="92"/>
      <c r="CX376" s="85"/>
      <c r="CY376" s="85"/>
      <c r="CZ376" s="85"/>
      <c r="DA376" s="85"/>
      <c r="DB376" s="85"/>
      <c r="DC376" s="85"/>
      <c r="DD376" s="85"/>
      <c r="DE376" s="85"/>
      <c r="DF376" s="85"/>
      <c r="DG376" s="85"/>
      <c r="DH376" s="85"/>
      <c r="DI376" s="85"/>
      <c r="DJ376" s="85"/>
      <c r="DK376" s="85"/>
      <c r="DL376" s="85"/>
      <c r="DM376" s="85"/>
      <c r="DN376" s="85"/>
      <c r="DO376" s="85"/>
      <c r="DP376" s="85"/>
    </row>
    <row r="377">
      <c r="A377" s="91"/>
      <c r="B377" s="91"/>
      <c r="C377" s="91"/>
      <c r="D377" s="91"/>
      <c r="E377" s="78"/>
      <c r="F377" s="15"/>
      <c r="G377" s="15"/>
      <c r="H377" s="91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92"/>
      <c r="BO377" s="92"/>
      <c r="BP377" s="92"/>
      <c r="BQ377" s="92"/>
      <c r="BR377" s="92"/>
      <c r="BS377" s="92"/>
      <c r="BT377" s="92"/>
      <c r="BU377" s="92"/>
      <c r="BV377" s="92"/>
      <c r="BW377" s="92"/>
      <c r="BX377" s="92"/>
      <c r="BY377" s="92"/>
      <c r="BZ377" s="92"/>
      <c r="CA377" s="92"/>
      <c r="CB377" s="92"/>
      <c r="CC377" s="92"/>
      <c r="CD377" s="92"/>
      <c r="CE377" s="92"/>
      <c r="CF377" s="92"/>
      <c r="CG377" s="92"/>
      <c r="CH377" s="92"/>
      <c r="CI377" s="92"/>
      <c r="CJ377" s="92"/>
      <c r="CK377" s="92"/>
      <c r="CL377" s="92"/>
      <c r="CM377" s="92"/>
      <c r="CN377" s="92"/>
      <c r="CO377" s="92"/>
      <c r="CP377" s="92"/>
      <c r="CQ377" s="92"/>
      <c r="CR377" s="92"/>
      <c r="CS377" s="92"/>
      <c r="CT377" s="92"/>
      <c r="CU377" s="92"/>
      <c r="CV377" s="92"/>
      <c r="CW377" s="92"/>
      <c r="CX377" s="85"/>
      <c r="CY377" s="85"/>
      <c r="CZ377" s="85"/>
      <c r="DA377" s="85"/>
      <c r="DB377" s="85"/>
      <c r="DC377" s="85"/>
      <c r="DD377" s="85"/>
      <c r="DE377" s="85"/>
      <c r="DF377" s="85"/>
      <c r="DG377" s="85"/>
      <c r="DH377" s="85"/>
      <c r="DI377" s="85"/>
      <c r="DJ377" s="85"/>
      <c r="DK377" s="85"/>
      <c r="DL377" s="85"/>
      <c r="DM377" s="85"/>
      <c r="DN377" s="85"/>
      <c r="DO377" s="85"/>
      <c r="DP377" s="85"/>
    </row>
    <row r="378">
      <c r="A378" s="91"/>
      <c r="B378" s="91"/>
      <c r="C378" s="91"/>
      <c r="D378" s="91"/>
      <c r="E378" s="78"/>
      <c r="F378" s="15"/>
      <c r="G378" s="15"/>
      <c r="H378" s="91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  <c r="BJ378" s="15"/>
      <c r="BK378" s="15"/>
      <c r="BL378" s="15"/>
      <c r="BM378" s="15"/>
      <c r="BN378" s="92"/>
      <c r="BO378" s="92"/>
      <c r="BP378" s="92"/>
      <c r="BQ378" s="92"/>
      <c r="BR378" s="92"/>
      <c r="BS378" s="92"/>
      <c r="BT378" s="92"/>
      <c r="BU378" s="92"/>
      <c r="BV378" s="92"/>
      <c r="BW378" s="92"/>
      <c r="BX378" s="92"/>
      <c r="BY378" s="92"/>
      <c r="BZ378" s="92"/>
      <c r="CA378" s="92"/>
      <c r="CB378" s="92"/>
      <c r="CC378" s="92"/>
      <c r="CD378" s="92"/>
      <c r="CE378" s="92"/>
      <c r="CF378" s="92"/>
      <c r="CG378" s="92"/>
      <c r="CH378" s="92"/>
      <c r="CI378" s="92"/>
      <c r="CJ378" s="92"/>
      <c r="CK378" s="92"/>
      <c r="CL378" s="92"/>
      <c r="CM378" s="92"/>
      <c r="CN378" s="92"/>
      <c r="CO378" s="92"/>
      <c r="CP378" s="92"/>
      <c r="CQ378" s="92"/>
      <c r="CR378" s="92"/>
      <c r="CS378" s="92"/>
      <c r="CT378" s="92"/>
      <c r="CU378" s="92"/>
      <c r="CV378" s="92"/>
      <c r="CW378" s="92"/>
      <c r="CX378" s="85"/>
      <c r="CY378" s="85"/>
      <c r="CZ378" s="85"/>
      <c r="DA378" s="85"/>
      <c r="DB378" s="85"/>
      <c r="DC378" s="85"/>
      <c r="DD378" s="85"/>
      <c r="DE378" s="85"/>
      <c r="DF378" s="85"/>
      <c r="DG378" s="85"/>
      <c r="DH378" s="85"/>
      <c r="DI378" s="85"/>
      <c r="DJ378" s="85"/>
      <c r="DK378" s="85"/>
      <c r="DL378" s="85"/>
      <c r="DM378" s="85"/>
      <c r="DN378" s="85"/>
      <c r="DO378" s="85"/>
      <c r="DP378" s="85"/>
    </row>
    <row r="379">
      <c r="A379" s="91"/>
      <c r="B379" s="91"/>
      <c r="C379" s="91"/>
      <c r="D379" s="91"/>
      <c r="E379" s="78"/>
      <c r="F379" s="15"/>
      <c r="G379" s="15"/>
      <c r="H379" s="91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92"/>
      <c r="BO379" s="92"/>
      <c r="BP379" s="92"/>
      <c r="BQ379" s="92"/>
      <c r="BR379" s="92"/>
      <c r="BS379" s="92"/>
      <c r="BT379" s="92"/>
      <c r="BU379" s="92"/>
      <c r="BV379" s="92"/>
      <c r="BW379" s="92"/>
      <c r="BX379" s="92"/>
      <c r="BY379" s="92"/>
      <c r="BZ379" s="92"/>
      <c r="CA379" s="92"/>
      <c r="CB379" s="92"/>
      <c r="CC379" s="92"/>
      <c r="CD379" s="92"/>
      <c r="CE379" s="92"/>
      <c r="CF379" s="92"/>
      <c r="CG379" s="92"/>
      <c r="CH379" s="92"/>
      <c r="CI379" s="92"/>
      <c r="CJ379" s="92"/>
      <c r="CK379" s="92"/>
      <c r="CL379" s="92"/>
      <c r="CM379" s="92"/>
      <c r="CN379" s="92"/>
      <c r="CO379" s="92"/>
      <c r="CP379" s="92"/>
      <c r="CQ379" s="92"/>
      <c r="CR379" s="92"/>
      <c r="CS379" s="92"/>
      <c r="CT379" s="92"/>
      <c r="CU379" s="92"/>
      <c r="CV379" s="92"/>
      <c r="CW379" s="92"/>
      <c r="CX379" s="85"/>
      <c r="CY379" s="85"/>
      <c r="CZ379" s="85"/>
      <c r="DA379" s="85"/>
      <c r="DB379" s="85"/>
      <c r="DC379" s="85"/>
      <c r="DD379" s="85"/>
      <c r="DE379" s="85"/>
      <c r="DF379" s="85"/>
      <c r="DG379" s="85"/>
      <c r="DH379" s="85"/>
      <c r="DI379" s="85"/>
      <c r="DJ379" s="85"/>
      <c r="DK379" s="85"/>
      <c r="DL379" s="85"/>
      <c r="DM379" s="85"/>
      <c r="DN379" s="85"/>
      <c r="DO379" s="85"/>
      <c r="DP379" s="85"/>
    </row>
    <row r="380">
      <c r="A380" s="91"/>
      <c r="B380" s="91"/>
      <c r="C380" s="91"/>
      <c r="D380" s="91"/>
      <c r="E380" s="78"/>
      <c r="F380" s="15"/>
      <c r="G380" s="15"/>
      <c r="H380" s="91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  <c r="BJ380" s="15"/>
      <c r="BK380" s="15"/>
      <c r="BL380" s="15"/>
      <c r="BM380" s="15"/>
      <c r="BN380" s="92"/>
      <c r="BO380" s="92"/>
      <c r="BP380" s="92"/>
      <c r="BQ380" s="92"/>
      <c r="BR380" s="92"/>
      <c r="BS380" s="92"/>
      <c r="BT380" s="92"/>
      <c r="BU380" s="92"/>
      <c r="BV380" s="92"/>
      <c r="BW380" s="92"/>
      <c r="BX380" s="92"/>
      <c r="BY380" s="92"/>
      <c r="BZ380" s="92"/>
      <c r="CA380" s="92"/>
      <c r="CB380" s="92"/>
      <c r="CC380" s="92"/>
      <c r="CD380" s="92"/>
      <c r="CE380" s="92"/>
      <c r="CF380" s="92"/>
      <c r="CG380" s="92"/>
      <c r="CH380" s="92"/>
      <c r="CI380" s="92"/>
      <c r="CJ380" s="92"/>
      <c r="CK380" s="92"/>
      <c r="CL380" s="92"/>
      <c r="CM380" s="92"/>
      <c r="CN380" s="92"/>
      <c r="CO380" s="92"/>
      <c r="CP380" s="92"/>
      <c r="CQ380" s="92"/>
      <c r="CR380" s="92"/>
      <c r="CS380" s="92"/>
      <c r="CT380" s="92"/>
      <c r="CU380" s="92"/>
      <c r="CV380" s="92"/>
      <c r="CW380" s="92"/>
      <c r="CX380" s="85"/>
      <c r="CY380" s="85"/>
      <c r="CZ380" s="85"/>
      <c r="DA380" s="85"/>
      <c r="DB380" s="85"/>
      <c r="DC380" s="85"/>
      <c r="DD380" s="85"/>
      <c r="DE380" s="85"/>
      <c r="DF380" s="85"/>
      <c r="DG380" s="85"/>
      <c r="DH380" s="85"/>
      <c r="DI380" s="85"/>
      <c r="DJ380" s="85"/>
      <c r="DK380" s="85"/>
      <c r="DL380" s="85"/>
      <c r="DM380" s="85"/>
      <c r="DN380" s="85"/>
      <c r="DO380" s="85"/>
      <c r="DP380" s="85"/>
    </row>
    <row r="381">
      <c r="A381" s="91"/>
      <c r="B381" s="91"/>
      <c r="C381" s="91"/>
      <c r="D381" s="91"/>
      <c r="E381" s="78"/>
      <c r="F381" s="15"/>
      <c r="G381" s="15"/>
      <c r="H381" s="91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92"/>
      <c r="BO381" s="92"/>
      <c r="BP381" s="92"/>
      <c r="BQ381" s="92"/>
      <c r="BR381" s="92"/>
      <c r="BS381" s="92"/>
      <c r="BT381" s="92"/>
      <c r="BU381" s="92"/>
      <c r="BV381" s="92"/>
      <c r="BW381" s="92"/>
      <c r="BX381" s="92"/>
      <c r="BY381" s="92"/>
      <c r="BZ381" s="92"/>
      <c r="CA381" s="92"/>
      <c r="CB381" s="92"/>
      <c r="CC381" s="92"/>
      <c r="CD381" s="92"/>
      <c r="CE381" s="92"/>
      <c r="CF381" s="92"/>
      <c r="CG381" s="92"/>
      <c r="CH381" s="92"/>
      <c r="CI381" s="92"/>
      <c r="CJ381" s="92"/>
      <c r="CK381" s="92"/>
      <c r="CL381" s="92"/>
      <c r="CM381" s="92"/>
      <c r="CN381" s="92"/>
      <c r="CO381" s="92"/>
      <c r="CP381" s="92"/>
      <c r="CQ381" s="92"/>
      <c r="CR381" s="92"/>
      <c r="CS381" s="92"/>
      <c r="CT381" s="92"/>
      <c r="CU381" s="92"/>
      <c r="CV381" s="92"/>
      <c r="CW381" s="92"/>
      <c r="CX381" s="85"/>
      <c r="CY381" s="85"/>
      <c r="CZ381" s="85"/>
      <c r="DA381" s="85"/>
      <c r="DB381" s="85"/>
      <c r="DC381" s="85"/>
      <c r="DD381" s="85"/>
      <c r="DE381" s="85"/>
      <c r="DF381" s="85"/>
      <c r="DG381" s="85"/>
      <c r="DH381" s="85"/>
      <c r="DI381" s="85"/>
      <c r="DJ381" s="85"/>
      <c r="DK381" s="85"/>
      <c r="DL381" s="85"/>
      <c r="DM381" s="85"/>
      <c r="DN381" s="85"/>
      <c r="DO381" s="85"/>
      <c r="DP381" s="85"/>
    </row>
    <row r="382">
      <c r="A382" s="91"/>
      <c r="B382" s="91"/>
      <c r="C382" s="91"/>
      <c r="D382" s="91"/>
      <c r="E382" s="78"/>
      <c r="F382" s="15"/>
      <c r="G382" s="15"/>
      <c r="H382" s="91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  <c r="BJ382" s="15"/>
      <c r="BK382" s="15"/>
      <c r="BL382" s="15"/>
      <c r="BM382" s="15"/>
      <c r="BN382" s="92"/>
      <c r="BO382" s="92"/>
      <c r="BP382" s="92"/>
      <c r="BQ382" s="92"/>
      <c r="BR382" s="92"/>
      <c r="BS382" s="92"/>
      <c r="BT382" s="92"/>
      <c r="BU382" s="92"/>
      <c r="BV382" s="92"/>
      <c r="BW382" s="92"/>
      <c r="BX382" s="92"/>
      <c r="BY382" s="92"/>
      <c r="BZ382" s="92"/>
      <c r="CA382" s="92"/>
      <c r="CB382" s="92"/>
      <c r="CC382" s="92"/>
      <c r="CD382" s="92"/>
      <c r="CE382" s="92"/>
      <c r="CF382" s="92"/>
      <c r="CG382" s="92"/>
      <c r="CH382" s="92"/>
      <c r="CI382" s="92"/>
      <c r="CJ382" s="92"/>
      <c r="CK382" s="92"/>
      <c r="CL382" s="92"/>
      <c r="CM382" s="92"/>
      <c r="CN382" s="92"/>
      <c r="CO382" s="92"/>
      <c r="CP382" s="92"/>
      <c r="CQ382" s="92"/>
      <c r="CR382" s="92"/>
      <c r="CS382" s="92"/>
      <c r="CT382" s="92"/>
      <c r="CU382" s="92"/>
      <c r="CV382" s="92"/>
      <c r="CW382" s="92"/>
      <c r="CX382" s="85"/>
      <c r="CY382" s="85"/>
      <c r="CZ382" s="85"/>
      <c r="DA382" s="85"/>
      <c r="DB382" s="85"/>
      <c r="DC382" s="85"/>
      <c r="DD382" s="85"/>
      <c r="DE382" s="85"/>
      <c r="DF382" s="85"/>
      <c r="DG382" s="85"/>
      <c r="DH382" s="85"/>
      <c r="DI382" s="85"/>
      <c r="DJ382" s="85"/>
      <c r="DK382" s="85"/>
      <c r="DL382" s="85"/>
      <c r="DM382" s="85"/>
      <c r="DN382" s="85"/>
      <c r="DO382" s="85"/>
      <c r="DP382" s="85"/>
    </row>
    <row r="383">
      <c r="A383" s="91"/>
      <c r="B383" s="91"/>
      <c r="C383" s="91"/>
      <c r="D383" s="91"/>
      <c r="E383" s="78"/>
      <c r="F383" s="15"/>
      <c r="G383" s="15"/>
      <c r="H383" s="91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92"/>
      <c r="BO383" s="92"/>
      <c r="BP383" s="92"/>
      <c r="BQ383" s="92"/>
      <c r="BR383" s="92"/>
      <c r="BS383" s="92"/>
      <c r="BT383" s="92"/>
      <c r="BU383" s="92"/>
      <c r="BV383" s="92"/>
      <c r="BW383" s="92"/>
      <c r="BX383" s="92"/>
      <c r="BY383" s="92"/>
      <c r="BZ383" s="92"/>
      <c r="CA383" s="92"/>
      <c r="CB383" s="92"/>
      <c r="CC383" s="92"/>
      <c r="CD383" s="92"/>
      <c r="CE383" s="92"/>
      <c r="CF383" s="92"/>
      <c r="CG383" s="92"/>
      <c r="CH383" s="92"/>
      <c r="CI383" s="92"/>
      <c r="CJ383" s="92"/>
      <c r="CK383" s="92"/>
      <c r="CL383" s="92"/>
      <c r="CM383" s="92"/>
      <c r="CN383" s="92"/>
      <c r="CO383" s="92"/>
      <c r="CP383" s="92"/>
      <c r="CQ383" s="92"/>
      <c r="CR383" s="92"/>
      <c r="CS383" s="92"/>
      <c r="CT383" s="92"/>
      <c r="CU383" s="92"/>
      <c r="CV383" s="92"/>
      <c r="CW383" s="92"/>
      <c r="CX383" s="85"/>
      <c r="CY383" s="85"/>
      <c r="CZ383" s="85"/>
      <c r="DA383" s="85"/>
      <c r="DB383" s="85"/>
      <c r="DC383" s="85"/>
      <c r="DD383" s="85"/>
      <c r="DE383" s="85"/>
      <c r="DF383" s="85"/>
      <c r="DG383" s="85"/>
      <c r="DH383" s="85"/>
      <c r="DI383" s="85"/>
      <c r="DJ383" s="85"/>
      <c r="DK383" s="85"/>
      <c r="DL383" s="85"/>
      <c r="DM383" s="85"/>
      <c r="DN383" s="85"/>
      <c r="DO383" s="85"/>
      <c r="DP383" s="85"/>
    </row>
    <row r="384">
      <c r="A384" s="91"/>
      <c r="B384" s="91"/>
      <c r="C384" s="91"/>
      <c r="D384" s="91"/>
      <c r="E384" s="78"/>
      <c r="F384" s="15"/>
      <c r="G384" s="15"/>
      <c r="H384" s="91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  <c r="BJ384" s="15"/>
      <c r="BK384" s="15"/>
      <c r="BL384" s="15"/>
      <c r="BM384" s="15"/>
      <c r="BN384" s="92"/>
      <c r="BO384" s="92"/>
      <c r="BP384" s="92"/>
      <c r="BQ384" s="92"/>
      <c r="BR384" s="92"/>
      <c r="BS384" s="92"/>
      <c r="BT384" s="92"/>
      <c r="BU384" s="92"/>
      <c r="BV384" s="92"/>
      <c r="BW384" s="92"/>
      <c r="BX384" s="92"/>
      <c r="BY384" s="92"/>
      <c r="BZ384" s="92"/>
      <c r="CA384" s="92"/>
      <c r="CB384" s="92"/>
      <c r="CC384" s="92"/>
      <c r="CD384" s="92"/>
      <c r="CE384" s="92"/>
      <c r="CF384" s="92"/>
      <c r="CG384" s="92"/>
      <c r="CH384" s="92"/>
      <c r="CI384" s="92"/>
      <c r="CJ384" s="92"/>
      <c r="CK384" s="92"/>
      <c r="CL384" s="92"/>
      <c r="CM384" s="92"/>
      <c r="CN384" s="92"/>
      <c r="CO384" s="92"/>
      <c r="CP384" s="92"/>
      <c r="CQ384" s="92"/>
      <c r="CR384" s="92"/>
      <c r="CS384" s="92"/>
      <c r="CT384" s="92"/>
      <c r="CU384" s="92"/>
      <c r="CV384" s="92"/>
      <c r="CW384" s="92"/>
      <c r="CX384" s="85"/>
      <c r="CY384" s="85"/>
      <c r="CZ384" s="85"/>
      <c r="DA384" s="85"/>
      <c r="DB384" s="85"/>
      <c r="DC384" s="85"/>
      <c r="DD384" s="85"/>
      <c r="DE384" s="85"/>
      <c r="DF384" s="85"/>
      <c r="DG384" s="85"/>
      <c r="DH384" s="85"/>
      <c r="DI384" s="85"/>
      <c r="DJ384" s="85"/>
      <c r="DK384" s="85"/>
      <c r="DL384" s="85"/>
      <c r="DM384" s="85"/>
      <c r="DN384" s="85"/>
      <c r="DO384" s="85"/>
      <c r="DP384" s="85"/>
    </row>
    <row r="385">
      <c r="A385" s="91"/>
      <c r="B385" s="91"/>
      <c r="C385" s="91"/>
      <c r="D385" s="91"/>
      <c r="E385" s="78"/>
      <c r="F385" s="15"/>
      <c r="G385" s="15"/>
      <c r="H385" s="91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92"/>
      <c r="BO385" s="92"/>
      <c r="BP385" s="92"/>
      <c r="BQ385" s="92"/>
      <c r="BR385" s="92"/>
      <c r="BS385" s="92"/>
      <c r="BT385" s="92"/>
      <c r="BU385" s="92"/>
      <c r="BV385" s="92"/>
      <c r="BW385" s="92"/>
      <c r="BX385" s="92"/>
      <c r="BY385" s="92"/>
      <c r="BZ385" s="92"/>
      <c r="CA385" s="92"/>
      <c r="CB385" s="92"/>
      <c r="CC385" s="92"/>
      <c r="CD385" s="92"/>
      <c r="CE385" s="92"/>
      <c r="CF385" s="92"/>
      <c r="CG385" s="92"/>
      <c r="CH385" s="92"/>
      <c r="CI385" s="92"/>
      <c r="CJ385" s="92"/>
      <c r="CK385" s="92"/>
      <c r="CL385" s="92"/>
      <c r="CM385" s="92"/>
      <c r="CN385" s="92"/>
      <c r="CO385" s="92"/>
      <c r="CP385" s="92"/>
      <c r="CQ385" s="92"/>
      <c r="CR385" s="92"/>
      <c r="CS385" s="92"/>
      <c r="CT385" s="92"/>
      <c r="CU385" s="92"/>
      <c r="CV385" s="92"/>
      <c r="CW385" s="92"/>
      <c r="CX385" s="85"/>
      <c r="CY385" s="85"/>
      <c r="CZ385" s="85"/>
      <c r="DA385" s="85"/>
      <c r="DB385" s="85"/>
      <c r="DC385" s="85"/>
      <c r="DD385" s="85"/>
      <c r="DE385" s="85"/>
      <c r="DF385" s="85"/>
      <c r="DG385" s="85"/>
      <c r="DH385" s="85"/>
      <c r="DI385" s="85"/>
      <c r="DJ385" s="85"/>
      <c r="DK385" s="85"/>
      <c r="DL385" s="85"/>
      <c r="DM385" s="85"/>
      <c r="DN385" s="85"/>
      <c r="DO385" s="85"/>
      <c r="DP385" s="85"/>
    </row>
    <row r="386">
      <c r="A386" s="91"/>
      <c r="B386" s="91"/>
      <c r="C386" s="91"/>
      <c r="D386" s="91"/>
      <c r="E386" s="78"/>
      <c r="F386" s="15"/>
      <c r="G386" s="15"/>
      <c r="H386" s="91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L386" s="15"/>
      <c r="BM386" s="15"/>
      <c r="BN386" s="92"/>
      <c r="BO386" s="92"/>
      <c r="BP386" s="92"/>
      <c r="BQ386" s="92"/>
      <c r="BR386" s="92"/>
      <c r="BS386" s="92"/>
      <c r="BT386" s="92"/>
      <c r="BU386" s="92"/>
      <c r="BV386" s="92"/>
      <c r="BW386" s="92"/>
      <c r="BX386" s="92"/>
      <c r="BY386" s="92"/>
      <c r="BZ386" s="92"/>
      <c r="CA386" s="92"/>
      <c r="CB386" s="92"/>
      <c r="CC386" s="92"/>
      <c r="CD386" s="92"/>
      <c r="CE386" s="92"/>
      <c r="CF386" s="92"/>
      <c r="CG386" s="92"/>
      <c r="CH386" s="92"/>
      <c r="CI386" s="92"/>
      <c r="CJ386" s="92"/>
      <c r="CK386" s="92"/>
      <c r="CL386" s="92"/>
      <c r="CM386" s="92"/>
      <c r="CN386" s="92"/>
      <c r="CO386" s="92"/>
      <c r="CP386" s="92"/>
      <c r="CQ386" s="92"/>
      <c r="CR386" s="92"/>
      <c r="CS386" s="92"/>
      <c r="CT386" s="92"/>
      <c r="CU386" s="92"/>
      <c r="CV386" s="92"/>
      <c r="CW386" s="92"/>
      <c r="CX386" s="85"/>
      <c r="CY386" s="85"/>
      <c r="CZ386" s="85"/>
      <c r="DA386" s="85"/>
      <c r="DB386" s="85"/>
      <c r="DC386" s="85"/>
      <c r="DD386" s="85"/>
      <c r="DE386" s="85"/>
      <c r="DF386" s="85"/>
      <c r="DG386" s="85"/>
      <c r="DH386" s="85"/>
      <c r="DI386" s="85"/>
      <c r="DJ386" s="85"/>
      <c r="DK386" s="85"/>
      <c r="DL386" s="85"/>
      <c r="DM386" s="85"/>
      <c r="DN386" s="85"/>
      <c r="DO386" s="85"/>
      <c r="DP386" s="85"/>
    </row>
    <row r="387">
      <c r="A387" s="91"/>
      <c r="B387" s="91"/>
      <c r="C387" s="91"/>
      <c r="D387" s="91"/>
      <c r="E387" s="78"/>
      <c r="F387" s="15"/>
      <c r="G387" s="15"/>
      <c r="H387" s="91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92"/>
      <c r="BO387" s="92"/>
      <c r="BP387" s="92"/>
      <c r="BQ387" s="92"/>
      <c r="BR387" s="92"/>
      <c r="BS387" s="92"/>
      <c r="BT387" s="92"/>
      <c r="BU387" s="92"/>
      <c r="BV387" s="92"/>
      <c r="BW387" s="92"/>
      <c r="BX387" s="92"/>
      <c r="BY387" s="92"/>
      <c r="BZ387" s="92"/>
      <c r="CA387" s="92"/>
      <c r="CB387" s="92"/>
      <c r="CC387" s="92"/>
      <c r="CD387" s="92"/>
      <c r="CE387" s="92"/>
      <c r="CF387" s="92"/>
      <c r="CG387" s="92"/>
      <c r="CH387" s="92"/>
      <c r="CI387" s="92"/>
      <c r="CJ387" s="92"/>
      <c r="CK387" s="92"/>
      <c r="CL387" s="92"/>
      <c r="CM387" s="92"/>
      <c r="CN387" s="92"/>
      <c r="CO387" s="92"/>
      <c r="CP387" s="92"/>
      <c r="CQ387" s="92"/>
      <c r="CR387" s="92"/>
      <c r="CS387" s="92"/>
      <c r="CT387" s="92"/>
      <c r="CU387" s="92"/>
      <c r="CV387" s="92"/>
      <c r="CW387" s="92"/>
      <c r="CX387" s="85"/>
      <c r="CY387" s="85"/>
      <c r="CZ387" s="85"/>
      <c r="DA387" s="85"/>
      <c r="DB387" s="85"/>
      <c r="DC387" s="85"/>
      <c r="DD387" s="85"/>
      <c r="DE387" s="85"/>
      <c r="DF387" s="85"/>
      <c r="DG387" s="85"/>
      <c r="DH387" s="85"/>
      <c r="DI387" s="85"/>
      <c r="DJ387" s="85"/>
      <c r="DK387" s="85"/>
      <c r="DL387" s="85"/>
      <c r="DM387" s="85"/>
      <c r="DN387" s="85"/>
      <c r="DO387" s="85"/>
      <c r="DP387" s="85"/>
    </row>
    <row r="388">
      <c r="A388" s="91"/>
      <c r="B388" s="91"/>
      <c r="C388" s="91"/>
      <c r="D388" s="91"/>
      <c r="E388" s="78"/>
      <c r="F388" s="15"/>
      <c r="G388" s="15"/>
      <c r="H388" s="91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  <c r="BM388" s="15"/>
      <c r="BN388" s="92"/>
      <c r="BO388" s="92"/>
      <c r="BP388" s="92"/>
      <c r="BQ388" s="92"/>
      <c r="BR388" s="92"/>
      <c r="BS388" s="92"/>
      <c r="BT388" s="92"/>
      <c r="BU388" s="92"/>
      <c r="BV388" s="92"/>
      <c r="BW388" s="92"/>
      <c r="BX388" s="92"/>
      <c r="BY388" s="92"/>
      <c r="BZ388" s="92"/>
      <c r="CA388" s="92"/>
      <c r="CB388" s="92"/>
      <c r="CC388" s="92"/>
      <c r="CD388" s="92"/>
      <c r="CE388" s="92"/>
      <c r="CF388" s="92"/>
      <c r="CG388" s="92"/>
      <c r="CH388" s="92"/>
      <c r="CI388" s="92"/>
      <c r="CJ388" s="92"/>
      <c r="CK388" s="92"/>
      <c r="CL388" s="92"/>
      <c r="CM388" s="92"/>
      <c r="CN388" s="92"/>
      <c r="CO388" s="92"/>
      <c r="CP388" s="92"/>
      <c r="CQ388" s="92"/>
      <c r="CR388" s="92"/>
      <c r="CS388" s="92"/>
      <c r="CT388" s="92"/>
      <c r="CU388" s="92"/>
      <c r="CV388" s="92"/>
      <c r="CW388" s="92"/>
      <c r="CX388" s="85"/>
      <c r="CY388" s="85"/>
      <c r="CZ388" s="85"/>
      <c r="DA388" s="85"/>
      <c r="DB388" s="85"/>
      <c r="DC388" s="85"/>
      <c r="DD388" s="85"/>
      <c r="DE388" s="85"/>
      <c r="DF388" s="85"/>
      <c r="DG388" s="85"/>
      <c r="DH388" s="85"/>
      <c r="DI388" s="85"/>
      <c r="DJ388" s="85"/>
      <c r="DK388" s="85"/>
      <c r="DL388" s="85"/>
      <c r="DM388" s="85"/>
      <c r="DN388" s="85"/>
      <c r="DO388" s="85"/>
      <c r="DP388" s="85"/>
    </row>
    <row r="389">
      <c r="A389" s="91"/>
      <c r="B389" s="91"/>
      <c r="C389" s="91"/>
      <c r="D389" s="91"/>
      <c r="E389" s="78"/>
      <c r="F389" s="15"/>
      <c r="G389" s="15"/>
      <c r="H389" s="91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92"/>
      <c r="BO389" s="92"/>
      <c r="BP389" s="92"/>
      <c r="BQ389" s="92"/>
      <c r="BR389" s="92"/>
      <c r="BS389" s="92"/>
      <c r="BT389" s="92"/>
      <c r="BU389" s="92"/>
      <c r="BV389" s="92"/>
      <c r="BW389" s="92"/>
      <c r="BX389" s="92"/>
      <c r="BY389" s="92"/>
      <c r="BZ389" s="92"/>
      <c r="CA389" s="92"/>
      <c r="CB389" s="92"/>
      <c r="CC389" s="92"/>
      <c r="CD389" s="92"/>
      <c r="CE389" s="92"/>
      <c r="CF389" s="92"/>
      <c r="CG389" s="92"/>
      <c r="CH389" s="92"/>
      <c r="CI389" s="92"/>
      <c r="CJ389" s="92"/>
      <c r="CK389" s="92"/>
      <c r="CL389" s="92"/>
      <c r="CM389" s="92"/>
      <c r="CN389" s="92"/>
      <c r="CO389" s="92"/>
      <c r="CP389" s="92"/>
      <c r="CQ389" s="92"/>
      <c r="CR389" s="92"/>
      <c r="CS389" s="92"/>
      <c r="CT389" s="92"/>
      <c r="CU389" s="92"/>
      <c r="CV389" s="92"/>
      <c r="CW389" s="92"/>
      <c r="CX389" s="85"/>
      <c r="CY389" s="85"/>
      <c r="CZ389" s="85"/>
      <c r="DA389" s="85"/>
      <c r="DB389" s="85"/>
      <c r="DC389" s="85"/>
      <c r="DD389" s="85"/>
      <c r="DE389" s="85"/>
      <c r="DF389" s="85"/>
      <c r="DG389" s="85"/>
      <c r="DH389" s="85"/>
      <c r="DI389" s="85"/>
      <c r="DJ389" s="85"/>
      <c r="DK389" s="85"/>
      <c r="DL389" s="85"/>
      <c r="DM389" s="85"/>
      <c r="DN389" s="85"/>
      <c r="DO389" s="85"/>
      <c r="DP389" s="85"/>
    </row>
    <row r="390">
      <c r="A390" s="91"/>
      <c r="B390" s="91"/>
      <c r="C390" s="91"/>
      <c r="D390" s="91"/>
      <c r="E390" s="78"/>
      <c r="F390" s="15"/>
      <c r="G390" s="15"/>
      <c r="H390" s="91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  <c r="BJ390" s="15"/>
      <c r="BK390" s="15"/>
      <c r="BL390" s="15"/>
      <c r="BM390" s="15"/>
      <c r="BN390" s="92"/>
      <c r="BO390" s="92"/>
      <c r="BP390" s="92"/>
      <c r="BQ390" s="92"/>
      <c r="BR390" s="92"/>
      <c r="BS390" s="92"/>
      <c r="BT390" s="92"/>
      <c r="BU390" s="92"/>
      <c r="BV390" s="92"/>
      <c r="BW390" s="92"/>
      <c r="BX390" s="92"/>
      <c r="BY390" s="92"/>
      <c r="BZ390" s="92"/>
      <c r="CA390" s="92"/>
      <c r="CB390" s="92"/>
      <c r="CC390" s="92"/>
      <c r="CD390" s="92"/>
      <c r="CE390" s="92"/>
      <c r="CF390" s="92"/>
      <c r="CG390" s="92"/>
      <c r="CH390" s="92"/>
      <c r="CI390" s="92"/>
      <c r="CJ390" s="92"/>
      <c r="CK390" s="92"/>
      <c r="CL390" s="92"/>
      <c r="CM390" s="92"/>
      <c r="CN390" s="92"/>
      <c r="CO390" s="92"/>
      <c r="CP390" s="92"/>
      <c r="CQ390" s="92"/>
      <c r="CR390" s="92"/>
      <c r="CS390" s="92"/>
      <c r="CT390" s="92"/>
      <c r="CU390" s="92"/>
      <c r="CV390" s="92"/>
      <c r="CW390" s="92"/>
      <c r="CX390" s="85"/>
      <c r="CY390" s="85"/>
      <c r="CZ390" s="85"/>
      <c r="DA390" s="85"/>
      <c r="DB390" s="85"/>
      <c r="DC390" s="85"/>
      <c r="DD390" s="85"/>
      <c r="DE390" s="85"/>
      <c r="DF390" s="85"/>
      <c r="DG390" s="85"/>
      <c r="DH390" s="85"/>
      <c r="DI390" s="85"/>
      <c r="DJ390" s="85"/>
      <c r="DK390" s="85"/>
      <c r="DL390" s="85"/>
      <c r="DM390" s="85"/>
      <c r="DN390" s="85"/>
      <c r="DO390" s="85"/>
      <c r="DP390" s="85"/>
    </row>
    <row r="391">
      <c r="A391" s="91"/>
      <c r="B391" s="91"/>
      <c r="C391" s="91"/>
      <c r="D391" s="91"/>
      <c r="E391" s="78"/>
      <c r="F391" s="15"/>
      <c r="G391" s="15"/>
      <c r="H391" s="91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92"/>
      <c r="BO391" s="92"/>
      <c r="BP391" s="92"/>
      <c r="BQ391" s="92"/>
      <c r="BR391" s="92"/>
      <c r="BS391" s="92"/>
      <c r="BT391" s="92"/>
      <c r="BU391" s="92"/>
      <c r="BV391" s="92"/>
      <c r="BW391" s="92"/>
      <c r="BX391" s="92"/>
      <c r="BY391" s="92"/>
      <c r="BZ391" s="92"/>
      <c r="CA391" s="92"/>
      <c r="CB391" s="92"/>
      <c r="CC391" s="92"/>
      <c r="CD391" s="92"/>
      <c r="CE391" s="92"/>
      <c r="CF391" s="92"/>
      <c r="CG391" s="92"/>
      <c r="CH391" s="92"/>
      <c r="CI391" s="92"/>
      <c r="CJ391" s="92"/>
      <c r="CK391" s="92"/>
      <c r="CL391" s="92"/>
      <c r="CM391" s="92"/>
      <c r="CN391" s="92"/>
      <c r="CO391" s="92"/>
      <c r="CP391" s="92"/>
      <c r="CQ391" s="92"/>
      <c r="CR391" s="92"/>
      <c r="CS391" s="92"/>
      <c r="CT391" s="92"/>
      <c r="CU391" s="92"/>
      <c r="CV391" s="92"/>
      <c r="CW391" s="92"/>
      <c r="CX391" s="85"/>
      <c r="CY391" s="85"/>
      <c r="CZ391" s="85"/>
      <c r="DA391" s="85"/>
      <c r="DB391" s="85"/>
      <c r="DC391" s="85"/>
      <c r="DD391" s="85"/>
      <c r="DE391" s="85"/>
      <c r="DF391" s="85"/>
      <c r="DG391" s="85"/>
      <c r="DH391" s="85"/>
      <c r="DI391" s="85"/>
      <c r="DJ391" s="85"/>
      <c r="DK391" s="85"/>
      <c r="DL391" s="85"/>
      <c r="DM391" s="85"/>
      <c r="DN391" s="85"/>
      <c r="DO391" s="85"/>
      <c r="DP391" s="85"/>
    </row>
    <row r="392">
      <c r="A392" s="91"/>
      <c r="B392" s="91"/>
      <c r="C392" s="91"/>
      <c r="D392" s="91"/>
      <c r="E392" s="78"/>
      <c r="F392" s="15"/>
      <c r="G392" s="15"/>
      <c r="H392" s="91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  <c r="BJ392" s="15"/>
      <c r="BK392" s="15"/>
      <c r="BL392" s="15"/>
      <c r="BM392" s="15"/>
      <c r="BN392" s="92"/>
      <c r="BO392" s="92"/>
      <c r="BP392" s="92"/>
      <c r="BQ392" s="92"/>
      <c r="BR392" s="92"/>
      <c r="BS392" s="92"/>
      <c r="BT392" s="92"/>
      <c r="BU392" s="92"/>
      <c r="BV392" s="92"/>
      <c r="BW392" s="92"/>
      <c r="BX392" s="92"/>
      <c r="BY392" s="92"/>
      <c r="BZ392" s="92"/>
      <c r="CA392" s="92"/>
      <c r="CB392" s="92"/>
      <c r="CC392" s="92"/>
      <c r="CD392" s="92"/>
      <c r="CE392" s="92"/>
      <c r="CF392" s="92"/>
      <c r="CG392" s="92"/>
      <c r="CH392" s="92"/>
      <c r="CI392" s="92"/>
      <c r="CJ392" s="92"/>
      <c r="CK392" s="92"/>
      <c r="CL392" s="92"/>
      <c r="CM392" s="92"/>
      <c r="CN392" s="92"/>
      <c r="CO392" s="92"/>
      <c r="CP392" s="92"/>
      <c r="CQ392" s="92"/>
      <c r="CR392" s="92"/>
      <c r="CS392" s="92"/>
      <c r="CT392" s="92"/>
      <c r="CU392" s="92"/>
      <c r="CV392" s="92"/>
      <c r="CW392" s="92"/>
      <c r="CX392" s="85"/>
      <c r="CY392" s="85"/>
      <c r="CZ392" s="85"/>
      <c r="DA392" s="85"/>
      <c r="DB392" s="85"/>
      <c r="DC392" s="85"/>
      <c r="DD392" s="85"/>
      <c r="DE392" s="85"/>
      <c r="DF392" s="85"/>
      <c r="DG392" s="85"/>
      <c r="DH392" s="85"/>
      <c r="DI392" s="85"/>
      <c r="DJ392" s="85"/>
      <c r="DK392" s="85"/>
      <c r="DL392" s="85"/>
      <c r="DM392" s="85"/>
      <c r="DN392" s="85"/>
      <c r="DO392" s="85"/>
      <c r="DP392" s="85"/>
    </row>
    <row r="393">
      <c r="A393" s="91"/>
      <c r="B393" s="91"/>
      <c r="C393" s="91"/>
      <c r="D393" s="91"/>
      <c r="E393" s="78"/>
      <c r="F393" s="15"/>
      <c r="G393" s="15"/>
      <c r="H393" s="91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92"/>
      <c r="BO393" s="92"/>
      <c r="BP393" s="92"/>
      <c r="BQ393" s="92"/>
      <c r="BR393" s="92"/>
      <c r="BS393" s="92"/>
      <c r="BT393" s="92"/>
      <c r="BU393" s="92"/>
      <c r="BV393" s="92"/>
      <c r="BW393" s="92"/>
      <c r="BX393" s="92"/>
      <c r="BY393" s="92"/>
      <c r="BZ393" s="92"/>
      <c r="CA393" s="92"/>
      <c r="CB393" s="92"/>
      <c r="CC393" s="92"/>
      <c r="CD393" s="92"/>
      <c r="CE393" s="92"/>
      <c r="CF393" s="92"/>
      <c r="CG393" s="92"/>
      <c r="CH393" s="92"/>
      <c r="CI393" s="92"/>
      <c r="CJ393" s="92"/>
      <c r="CK393" s="92"/>
      <c r="CL393" s="92"/>
      <c r="CM393" s="92"/>
      <c r="CN393" s="92"/>
      <c r="CO393" s="92"/>
      <c r="CP393" s="92"/>
      <c r="CQ393" s="92"/>
      <c r="CR393" s="92"/>
      <c r="CS393" s="92"/>
      <c r="CT393" s="92"/>
      <c r="CU393" s="92"/>
      <c r="CV393" s="92"/>
      <c r="CW393" s="92"/>
      <c r="CX393" s="85"/>
      <c r="CY393" s="85"/>
      <c r="CZ393" s="85"/>
      <c r="DA393" s="85"/>
      <c r="DB393" s="85"/>
      <c r="DC393" s="85"/>
      <c r="DD393" s="85"/>
      <c r="DE393" s="85"/>
      <c r="DF393" s="85"/>
      <c r="DG393" s="85"/>
      <c r="DH393" s="85"/>
      <c r="DI393" s="85"/>
      <c r="DJ393" s="85"/>
      <c r="DK393" s="85"/>
      <c r="DL393" s="85"/>
      <c r="DM393" s="85"/>
      <c r="DN393" s="85"/>
      <c r="DO393" s="85"/>
      <c r="DP393" s="85"/>
    </row>
    <row r="394">
      <c r="A394" s="91"/>
      <c r="B394" s="91"/>
      <c r="C394" s="91"/>
      <c r="D394" s="91"/>
      <c r="E394" s="78"/>
      <c r="F394" s="15"/>
      <c r="G394" s="15"/>
      <c r="H394" s="91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  <c r="BJ394" s="15"/>
      <c r="BK394" s="15"/>
      <c r="BL394" s="15"/>
      <c r="BM394" s="15"/>
      <c r="BN394" s="92"/>
      <c r="BO394" s="92"/>
      <c r="BP394" s="92"/>
      <c r="BQ394" s="92"/>
      <c r="BR394" s="92"/>
      <c r="BS394" s="92"/>
      <c r="BT394" s="92"/>
      <c r="BU394" s="92"/>
      <c r="BV394" s="92"/>
      <c r="BW394" s="92"/>
      <c r="BX394" s="92"/>
      <c r="BY394" s="92"/>
      <c r="BZ394" s="92"/>
      <c r="CA394" s="92"/>
      <c r="CB394" s="92"/>
      <c r="CC394" s="92"/>
      <c r="CD394" s="92"/>
      <c r="CE394" s="92"/>
      <c r="CF394" s="92"/>
      <c r="CG394" s="92"/>
      <c r="CH394" s="92"/>
      <c r="CI394" s="92"/>
      <c r="CJ394" s="92"/>
      <c r="CK394" s="92"/>
      <c r="CL394" s="92"/>
      <c r="CM394" s="92"/>
      <c r="CN394" s="92"/>
      <c r="CO394" s="92"/>
      <c r="CP394" s="92"/>
      <c r="CQ394" s="92"/>
      <c r="CR394" s="92"/>
      <c r="CS394" s="92"/>
      <c r="CT394" s="92"/>
      <c r="CU394" s="92"/>
      <c r="CV394" s="92"/>
      <c r="CW394" s="92"/>
      <c r="CX394" s="85"/>
      <c r="CY394" s="85"/>
      <c r="CZ394" s="85"/>
      <c r="DA394" s="85"/>
      <c r="DB394" s="85"/>
      <c r="DC394" s="85"/>
      <c r="DD394" s="85"/>
      <c r="DE394" s="85"/>
      <c r="DF394" s="85"/>
      <c r="DG394" s="85"/>
      <c r="DH394" s="85"/>
      <c r="DI394" s="85"/>
      <c r="DJ394" s="85"/>
      <c r="DK394" s="85"/>
      <c r="DL394" s="85"/>
      <c r="DM394" s="85"/>
      <c r="DN394" s="85"/>
      <c r="DO394" s="85"/>
      <c r="DP394" s="85"/>
    </row>
    <row r="395">
      <c r="A395" s="91"/>
      <c r="B395" s="91"/>
      <c r="C395" s="91"/>
      <c r="D395" s="91"/>
      <c r="E395" s="78"/>
      <c r="F395" s="15"/>
      <c r="G395" s="15"/>
      <c r="H395" s="91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92"/>
      <c r="BO395" s="92"/>
      <c r="BP395" s="92"/>
      <c r="BQ395" s="92"/>
      <c r="BR395" s="92"/>
      <c r="BS395" s="92"/>
      <c r="BT395" s="92"/>
      <c r="BU395" s="92"/>
      <c r="BV395" s="92"/>
      <c r="BW395" s="92"/>
      <c r="BX395" s="92"/>
      <c r="BY395" s="92"/>
      <c r="BZ395" s="92"/>
      <c r="CA395" s="92"/>
      <c r="CB395" s="92"/>
      <c r="CC395" s="92"/>
      <c r="CD395" s="92"/>
      <c r="CE395" s="92"/>
      <c r="CF395" s="92"/>
      <c r="CG395" s="92"/>
      <c r="CH395" s="92"/>
      <c r="CI395" s="92"/>
      <c r="CJ395" s="92"/>
      <c r="CK395" s="92"/>
      <c r="CL395" s="92"/>
      <c r="CM395" s="92"/>
      <c r="CN395" s="92"/>
      <c r="CO395" s="92"/>
      <c r="CP395" s="92"/>
      <c r="CQ395" s="92"/>
      <c r="CR395" s="92"/>
      <c r="CS395" s="92"/>
      <c r="CT395" s="92"/>
      <c r="CU395" s="92"/>
      <c r="CV395" s="92"/>
      <c r="CW395" s="92"/>
      <c r="CX395" s="85"/>
      <c r="CY395" s="85"/>
      <c r="CZ395" s="85"/>
      <c r="DA395" s="85"/>
      <c r="DB395" s="85"/>
      <c r="DC395" s="85"/>
      <c r="DD395" s="85"/>
      <c r="DE395" s="85"/>
      <c r="DF395" s="85"/>
      <c r="DG395" s="85"/>
      <c r="DH395" s="85"/>
      <c r="DI395" s="85"/>
      <c r="DJ395" s="85"/>
      <c r="DK395" s="85"/>
      <c r="DL395" s="85"/>
      <c r="DM395" s="85"/>
      <c r="DN395" s="85"/>
      <c r="DO395" s="85"/>
      <c r="DP395" s="85"/>
    </row>
    <row r="396">
      <c r="A396" s="91"/>
      <c r="B396" s="91"/>
      <c r="C396" s="91"/>
      <c r="D396" s="91"/>
      <c r="E396" s="78"/>
      <c r="F396" s="15"/>
      <c r="G396" s="15"/>
      <c r="H396" s="91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L396" s="15"/>
      <c r="BM396" s="15"/>
      <c r="BN396" s="92"/>
      <c r="BO396" s="92"/>
      <c r="BP396" s="92"/>
      <c r="BQ396" s="92"/>
      <c r="BR396" s="92"/>
      <c r="BS396" s="92"/>
      <c r="BT396" s="92"/>
      <c r="BU396" s="92"/>
      <c r="BV396" s="92"/>
      <c r="BW396" s="92"/>
      <c r="BX396" s="92"/>
      <c r="BY396" s="92"/>
      <c r="BZ396" s="92"/>
      <c r="CA396" s="92"/>
      <c r="CB396" s="92"/>
      <c r="CC396" s="92"/>
      <c r="CD396" s="92"/>
      <c r="CE396" s="92"/>
      <c r="CF396" s="92"/>
      <c r="CG396" s="92"/>
      <c r="CH396" s="92"/>
      <c r="CI396" s="92"/>
      <c r="CJ396" s="92"/>
      <c r="CK396" s="92"/>
      <c r="CL396" s="92"/>
      <c r="CM396" s="92"/>
      <c r="CN396" s="92"/>
      <c r="CO396" s="92"/>
      <c r="CP396" s="92"/>
      <c r="CQ396" s="92"/>
      <c r="CR396" s="92"/>
      <c r="CS396" s="92"/>
      <c r="CT396" s="92"/>
      <c r="CU396" s="92"/>
      <c r="CV396" s="92"/>
      <c r="CW396" s="92"/>
      <c r="CX396" s="85"/>
      <c r="CY396" s="85"/>
      <c r="CZ396" s="85"/>
      <c r="DA396" s="85"/>
      <c r="DB396" s="85"/>
      <c r="DC396" s="85"/>
      <c r="DD396" s="85"/>
      <c r="DE396" s="85"/>
      <c r="DF396" s="85"/>
      <c r="DG396" s="85"/>
      <c r="DH396" s="85"/>
      <c r="DI396" s="85"/>
      <c r="DJ396" s="85"/>
      <c r="DK396" s="85"/>
      <c r="DL396" s="85"/>
      <c r="DM396" s="85"/>
      <c r="DN396" s="85"/>
      <c r="DO396" s="85"/>
      <c r="DP396" s="85"/>
    </row>
    <row r="397">
      <c r="A397" s="91"/>
      <c r="B397" s="91"/>
      <c r="C397" s="91"/>
      <c r="D397" s="91"/>
      <c r="E397" s="78"/>
      <c r="F397" s="15"/>
      <c r="G397" s="15"/>
      <c r="H397" s="91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92"/>
      <c r="BO397" s="92"/>
      <c r="BP397" s="92"/>
      <c r="BQ397" s="92"/>
      <c r="BR397" s="92"/>
      <c r="BS397" s="92"/>
      <c r="BT397" s="92"/>
      <c r="BU397" s="92"/>
      <c r="BV397" s="92"/>
      <c r="BW397" s="92"/>
      <c r="BX397" s="92"/>
      <c r="BY397" s="92"/>
      <c r="BZ397" s="92"/>
      <c r="CA397" s="92"/>
      <c r="CB397" s="92"/>
      <c r="CC397" s="92"/>
      <c r="CD397" s="92"/>
      <c r="CE397" s="92"/>
      <c r="CF397" s="92"/>
      <c r="CG397" s="92"/>
      <c r="CH397" s="92"/>
      <c r="CI397" s="92"/>
      <c r="CJ397" s="92"/>
      <c r="CK397" s="92"/>
      <c r="CL397" s="92"/>
      <c r="CM397" s="92"/>
      <c r="CN397" s="92"/>
      <c r="CO397" s="92"/>
      <c r="CP397" s="92"/>
      <c r="CQ397" s="92"/>
      <c r="CR397" s="92"/>
      <c r="CS397" s="92"/>
      <c r="CT397" s="92"/>
      <c r="CU397" s="92"/>
      <c r="CV397" s="92"/>
      <c r="CW397" s="92"/>
      <c r="CX397" s="85"/>
      <c r="CY397" s="85"/>
      <c r="CZ397" s="85"/>
      <c r="DA397" s="85"/>
      <c r="DB397" s="85"/>
      <c r="DC397" s="85"/>
      <c r="DD397" s="85"/>
      <c r="DE397" s="85"/>
      <c r="DF397" s="85"/>
      <c r="DG397" s="85"/>
      <c r="DH397" s="85"/>
      <c r="DI397" s="85"/>
      <c r="DJ397" s="85"/>
      <c r="DK397" s="85"/>
      <c r="DL397" s="85"/>
      <c r="DM397" s="85"/>
      <c r="DN397" s="85"/>
      <c r="DO397" s="85"/>
      <c r="DP397" s="85"/>
    </row>
    <row r="398">
      <c r="A398" s="91"/>
      <c r="B398" s="91"/>
      <c r="C398" s="91"/>
      <c r="D398" s="91"/>
      <c r="E398" s="78"/>
      <c r="F398" s="15"/>
      <c r="G398" s="15"/>
      <c r="H398" s="91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  <c r="BK398" s="15"/>
      <c r="BL398" s="15"/>
      <c r="BM398" s="15"/>
      <c r="BN398" s="92"/>
      <c r="BO398" s="92"/>
      <c r="BP398" s="92"/>
      <c r="BQ398" s="92"/>
      <c r="BR398" s="92"/>
      <c r="BS398" s="92"/>
      <c r="BT398" s="92"/>
      <c r="BU398" s="92"/>
      <c r="BV398" s="92"/>
      <c r="BW398" s="92"/>
      <c r="BX398" s="92"/>
      <c r="BY398" s="92"/>
      <c r="BZ398" s="92"/>
      <c r="CA398" s="92"/>
      <c r="CB398" s="92"/>
      <c r="CC398" s="92"/>
      <c r="CD398" s="92"/>
      <c r="CE398" s="92"/>
      <c r="CF398" s="92"/>
      <c r="CG398" s="92"/>
      <c r="CH398" s="92"/>
      <c r="CI398" s="92"/>
      <c r="CJ398" s="92"/>
      <c r="CK398" s="92"/>
      <c r="CL398" s="92"/>
      <c r="CM398" s="92"/>
      <c r="CN398" s="92"/>
      <c r="CO398" s="92"/>
      <c r="CP398" s="92"/>
      <c r="CQ398" s="92"/>
      <c r="CR398" s="92"/>
      <c r="CS398" s="92"/>
      <c r="CT398" s="92"/>
      <c r="CU398" s="92"/>
      <c r="CV398" s="92"/>
      <c r="CW398" s="92"/>
      <c r="CX398" s="85"/>
      <c r="CY398" s="85"/>
      <c r="CZ398" s="85"/>
      <c r="DA398" s="85"/>
      <c r="DB398" s="85"/>
      <c r="DC398" s="85"/>
      <c r="DD398" s="85"/>
      <c r="DE398" s="85"/>
      <c r="DF398" s="85"/>
      <c r="DG398" s="85"/>
      <c r="DH398" s="85"/>
      <c r="DI398" s="85"/>
      <c r="DJ398" s="85"/>
      <c r="DK398" s="85"/>
      <c r="DL398" s="85"/>
      <c r="DM398" s="85"/>
      <c r="DN398" s="85"/>
      <c r="DO398" s="85"/>
      <c r="DP398" s="85"/>
    </row>
    <row r="399">
      <c r="A399" s="91"/>
      <c r="B399" s="91"/>
      <c r="C399" s="91"/>
      <c r="D399" s="91"/>
      <c r="E399" s="78"/>
      <c r="F399" s="15"/>
      <c r="G399" s="15"/>
      <c r="H399" s="91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92"/>
      <c r="BO399" s="92"/>
      <c r="BP399" s="92"/>
      <c r="BQ399" s="92"/>
      <c r="BR399" s="92"/>
      <c r="BS399" s="92"/>
      <c r="BT399" s="92"/>
      <c r="BU399" s="92"/>
      <c r="BV399" s="92"/>
      <c r="BW399" s="92"/>
      <c r="BX399" s="92"/>
      <c r="BY399" s="92"/>
      <c r="BZ399" s="92"/>
      <c r="CA399" s="92"/>
      <c r="CB399" s="92"/>
      <c r="CC399" s="92"/>
      <c r="CD399" s="92"/>
      <c r="CE399" s="92"/>
      <c r="CF399" s="92"/>
      <c r="CG399" s="92"/>
      <c r="CH399" s="92"/>
      <c r="CI399" s="92"/>
      <c r="CJ399" s="92"/>
      <c r="CK399" s="92"/>
      <c r="CL399" s="92"/>
      <c r="CM399" s="92"/>
      <c r="CN399" s="92"/>
      <c r="CO399" s="92"/>
      <c r="CP399" s="92"/>
      <c r="CQ399" s="92"/>
      <c r="CR399" s="92"/>
      <c r="CS399" s="92"/>
      <c r="CT399" s="92"/>
      <c r="CU399" s="92"/>
      <c r="CV399" s="92"/>
      <c r="CW399" s="92"/>
      <c r="CX399" s="85"/>
      <c r="CY399" s="85"/>
      <c r="CZ399" s="85"/>
      <c r="DA399" s="85"/>
      <c r="DB399" s="85"/>
      <c r="DC399" s="85"/>
      <c r="DD399" s="85"/>
      <c r="DE399" s="85"/>
      <c r="DF399" s="85"/>
      <c r="DG399" s="85"/>
      <c r="DH399" s="85"/>
      <c r="DI399" s="85"/>
      <c r="DJ399" s="85"/>
      <c r="DK399" s="85"/>
      <c r="DL399" s="85"/>
      <c r="DM399" s="85"/>
      <c r="DN399" s="85"/>
      <c r="DO399" s="85"/>
      <c r="DP399" s="85"/>
    </row>
    <row r="400">
      <c r="A400" s="91"/>
      <c r="B400" s="91"/>
      <c r="C400" s="91"/>
      <c r="D400" s="91"/>
      <c r="E400" s="78"/>
      <c r="F400" s="15"/>
      <c r="G400" s="15"/>
      <c r="H400" s="91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  <c r="BJ400" s="15"/>
      <c r="BK400" s="15"/>
      <c r="BL400" s="15"/>
      <c r="BM400" s="15"/>
      <c r="BN400" s="92"/>
      <c r="BO400" s="92"/>
      <c r="BP400" s="92"/>
      <c r="BQ400" s="92"/>
      <c r="BR400" s="92"/>
      <c r="BS400" s="92"/>
      <c r="BT400" s="92"/>
      <c r="BU400" s="92"/>
      <c r="BV400" s="92"/>
      <c r="BW400" s="92"/>
      <c r="BX400" s="92"/>
      <c r="BY400" s="92"/>
      <c r="BZ400" s="92"/>
      <c r="CA400" s="92"/>
      <c r="CB400" s="92"/>
      <c r="CC400" s="92"/>
      <c r="CD400" s="92"/>
      <c r="CE400" s="92"/>
      <c r="CF400" s="92"/>
      <c r="CG400" s="92"/>
      <c r="CH400" s="92"/>
      <c r="CI400" s="92"/>
      <c r="CJ400" s="92"/>
      <c r="CK400" s="92"/>
      <c r="CL400" s="92"/>
      <c r="CM400" s="92"/>
      <c r="CN400" s="92"/>
      <c r="CO400" s="92"/>
      <c r="CP400" s="92"/>
      <c r="CQ400" s="92"/>
      <c r="CR400" s="92"/>
      <c r="CS400" s="92"/>
      <c r="CT400" s="92"/>
      <c r="CU400" s="92"/>
      <c r="CV400" s="92"/>
      <c r="CW400" s="92"/>
      <c r="CX400" s="85"/>
      <c r="CY400" s="85"/>
      <c r="CZ400" s="85"/>
      <c r="DA400" s="85"/>
      <c r="DB400" s="85"/>
      <c r="DC400" s="85"/>
      <c r="DD400" s="85"/>
      <c r="DE400" s="85"/>
      <c r="DF400" s="85"/>
      <c r="DG400" s="85"/>
      <c r="DH400" s="85"/>
      <c r="DI400" s="85"/>
      <c r="DJ400" s="85"/>
      <c r="DK400" s="85"/>
      <c r="DL400" s="85"/>
      <c r="DM400" s="85"/>
      <c r="DN400" s="85"/>
      <c r="DO400" s="85"/>
      <c r="DP400" s="85"/>
    </row>
    <row r="401">
      <c r="A401" s="91"/>
      <c r="B401" s="91"/>
      <c r="C401" s="91"/>
      <c r="D401" s="91"/>
      <c r="E401" s="78"/>
      <c r="F401" s="15"/>
      <c r="G401" s="15"/>
      <c r="H401" s="91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92"/>
      <c r="BO401" s="92"/>
      <c r="BP401" s="92"/>
      <c r="BQ401" s="92"/>
      <c r="BR401" s="92"/>
      <c r="BS401" s="92"/>
      <c r="BT401" s="92"/>
      <c r="BU401" s="92"/>
      <c r="BV401" s="92"/>
      <c r="BW401" s="92"/>
      <c r="BX401" s="92"/>
      <c r="BY401" s="92"/>
      <c r="BZ401" s="92"/>
      <c r="CA401" s="92"/>
      <c r="CB401" s="92"/>
      <c r="CC401" s="92"/>
      <c r="CD401" s="92"/>
      <c r="CE401" s="92"/>
      <c r="CF401" s="92"/>
      <c r="CG401" s="92"/>
      <c r="CH401" s="92"/>
      <c r="CI401" s="92"/>
      <c r="CJ401" s="92"/>
      <c r="CK401" s="92"/>
      <c r="CL401" s="92"/>
      <c r="CM401" s="92"/>
      <c r="CN401" s="92"/>
      <c r="CO401" s="92"/>
      <c r="CP401" s="92"/>
      <c r="CQ401" s="92"/>
      <c r="CR401" s="92"/>
      <c r="CS401" s="92"/>
      <c r="CT401" s="92"/>
      <c r="CU401" s="92"/>
      <c r="CV401" s="92"/>
      <c r="CW401" s="92"/>
      <c r="CX401" s="85"/>
      <c r="CY401" s="85"/>
      <c r="CZ401" s="85"/>
      <c r="DA401" s="85"/>
      <c r="DB401" s="85"/>
      <c r="DC401" s="85"/>
      <c r="DD401" s="85"/>
      <c r="DE401" s="85"/>
      <c r="DF401" s="85"/>
      <c r="DG401" s="85"/>
      <c r="DH401" s="85"/>
      <c r="DI401" s="85"/>
      <c r="DJ401" s="85"/>
      <c r="DK401" s="85"/>
      <c r="DL401" s="85"/>
      <c r="DM401" s="85"/>
      <c r="DN401" s="85"/>
      <c r="DO401" s="85"/>
      <c r="DP401" s="85"/>
    </row>
    <row r="402">
      <c r="A402" s="91"/>
      <c r="B402" s="91"/>
      <c r="C402" s="91"/>
      <c r="D402" s="91"/>
      <c r="E402" s="78"/>
      <c r="F402" s="15"/>
      <c r="G402" s="15"/>
      <c r="H402" s="91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  <c r="BJ402" s="15"/>
      <c r="BK402" s="15"/>
      <c r="BL402" s="15"/>
      <c r="BM402" s="15"/>
      <c r="BN402" s="92"/>
      <c r="BO402" s="92"/>
      <c r="BP402" s="92"/>
      <c r="BQ402" s="92"/>
      <c r="BR402" s="92"/>
      <c r="BS402" s="92"/>
      <c r="BT402" s="92"/>
      <c r="BU402" s="92"/>
      <c r="BV402" s="92"/>
      <c r="BW402" s="92"/>
      <c r="BX402" s="92"/>
      <c r="BY402" s="92"/>
      <c r="BZ402" s="92"/>
      <c r="CA402" s="92"/>
      <c r="CB402" s="92"/>
      <c r="CC402" s="92"/>
      <c r="CD402" s="92"/>
      <c r="CE402" s="92"/>
      <c r="CF402" s="92"/>
      <c r="CG402" s="92"/>
      <c r="CH402" s="92"/>
      <c r="CI402" s="92"/>
      <c r="CJ402" s="92"/>
      <c r="CK402" s="92"/>
      <c r="CL402" s="92"/>
      <c r="CM402" s="92"/>
      <c r="CN402" s="92"/>
      <c r="CO402" s="92"/>
      <c r="CP402" s="92"/>
      <c r="CQ402" s="92"/>
      <c r="CR402" s="92"/>
      <c r="CS402" s="92"/>
      <c r="CT402" s="92"/>
      <c r="CU402" s="92"/>
      <c r="CV402" s="92"/>
      <c r="CW402" s="92"/>
      <c r="CX402" s="85"/>
      <c r="CY402" s="85"/>
      <c r="CZ402" s="85"/>
      <c r="DA402" s="85"/>
      <c r="DB402" s="85"/>
      <c r="DC402" s="85"/>
      <c r="DD402" s="85"/>
      <c r="DE402" s="85"/>
      <c r="DF402" s="85"/>
      <c r="DG402" s="85"/>
      <c r="DH402" s="85"/>
      <c r="DI402" s="85"/>
      <c r="DJ402" s="85"/>
      <c r="DK402" s="85"/>
      <c r="DL402" s="85"/>
      <c r="DM402" s="85"/>
      <c r="DN402" s="85"/>
      <c r="DO402" s="85"/>
      <c r="DP402" s="85"/>
    </row>
    <row r="403">
      <c r="A403" s="91"/>
      <c r="B403" s="91"/>
      <c r="C403" s="91"/>
      <c r="D403" s="91"/>
      <c r="E403" s="78"/>
      <c r="F403" s="15"/>
      <c r="G403" s="15"/>
      <c r="H403" s="91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92"/>
      <c r="BO403" s="92"/>
      <c r="BP403" s="92"/>
      <c r="BQ403" s="92"/>
      <c r="BR403" s="92"/>
      <c r="BS403" s="92"/>
      <c r="BT403" s="92"/>
      <c r="BU403" s="92"/>
      <c r="BV403" s="92"/>
      <c r="BW403" s="92"/>
      <c r="BX403" s="92"/>
      <c r="BY403" s="92"/>
      <c r="BZ403" s="92"/>
      <c r="CA403" s="92"/>
      <c r="CB403" s="92"/>
      <c r="CC403" s="92"/>
      <c r="CD403" s="92"/>
      <c r="CE403" s="92"/>
      <c r="CF403" s="92"/>
      <c r="CG403" s="92"/>
      <c r="CH403" s="92"/>
      <c r="CI403" s="92"/>
      <c r="CJ403" s="92"/>
      <c r="CK403" s="92"/>
      <c r="CL403" s="92"/>
      <c r="CM403" s="92"/>
      <c r="CN403" s="92"/>
      <c r="CO403" s="92"/>
      <c r="CP403" s="92"/>
      <c r="CQ403" s="92"/>
      <c r="CR403" s="92"/>
      <c r="CS403" s="92"/>
      <c r="CT403" s="92"/>
      <c r="CU403" s="92"/>
      <c r="CV403" s="92"/>
      <c r="CW403" s="92"/>
      <c r="CX403" s="85"/>
      <c r="CY403" s="85"/>
      <c r="CZ403" s="85"/>
      <c r="DA403" s="85"/>
      <c r="DB403" s="85"/>
      <c r="DC403" s="85"/>
      <c r="DD403" s="85"/>
      <c r="DE403" s="85"/>
      <c r="DF403" s="85"/>
      <c r="DG403" s="85"/>
      <c r="DH403" s="85"/>
      <c r="DI403" s="85"/>
      <c r="DJ403" s="85"/>
      <c r="DK403" s="85"/>
      <c r="DL403" s="85"/>
      <c r="DM403" s="85"/>
      <c r="DN403" s="85"/>
      <c r="DO403" s="85"/>
      <c r="DP403" s="85"/>
    </row>
    <row r="404">
      <c r="A404" s="91"/>
      <c r="B404" s="91"/>
      <c r="C404" s="91"/>
      <c r="D404" s="91"/>
      <c r="E404" s="78"/>
      <c r="F404" s="15"/>
      <c r="G404" s="15"/>
      <c r="H404" s="91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  <c r="BK404" s="15"/>
      <c r="BL404" s="15"/>
      <c r="BM404" s="15"/>
      <c r="BN404" s="92"/>
      <c r="BO404" s="92"/>
      <c r="BP404" s="92"/>
      <c r="BQ404" s="92"/>
      <c r="BR404" s="92"/>
      <c r="BS404" s="92"/>
      <c r="BT404" s="92"/>
      <c r="BU404" s="92"/>
      <c r="BV404" s="92"/>
      <c r="BW404" s="92"/>
      <c r="BX404" s="92"/>
      <c r="BY404" s="92"/>
      <c r="BZ404" s="92"/>
      <c r="CA404" s="92"/>
      <c r="CB404" s="92"/>
      <c r="CC404" s="92"/>
      <c r="CD404" s="92"/>
      <c r="CE404" s="92"/>
      <c r="CF404" s="92"/>
      <c r="CG404" s="92"/>
      <c r="CH404" s="92"/>
      <c r="CI404" s="92"/>
      <c r="CJ404" s="92"/>
      <c r="CK404" s="92"/>
      <c r="CL404" s="92"/>
      <c r="CM404" s="92"/>
      <c r="CN404" s="92"/>
      <c r="CO404" s="92"/>
      <c r="CP404" s="92"/>
      <c r="CQ404" s="92"/>
      <c r="CR404" s="92"/>
      <c r="CS404" s="92"/>
      <c r="CT404" s="92"/>
      <c r="CU404" s="92"/>
      <c r="CV404" s="92"/>
      <c r="CW404" s="92"/>
      <c r="CX404" s="85"/>
      <c r="CY404" s="85"/>
      <c r="CZ404" s="85"/>
      <c r="DA404" s="85"/>
      <c r="DB404" s="85"/>
      <c r="DC404" s="85"/>
      <c r="DD404" s="85"/>
      <c r="DE404" s="85"/>
      <c r="DF404" s="85"/>
      <c r="DG404" s="85"/>
      <c r="DH404" s="85"/>
      <c r="DI404" s="85"/>
      <c r="DJ404" s="85"/>
      <c r="DK404" s="85"/>
      <c r="DL404" s="85"/>
      <c r="DM404" s="85"/>
      <c r="DN404" s="85"/>
      <c r="DO404" s="85"/>
      <c r="DP404" s="85"/>
    </row>
    <row r="405">
      <c r="A405" s="91"/>
      <c r="B405" s="91"/>
      <c r="C405" s="91"/>
      <c r="D405" s="91"/>
      <c r="E405" s="78"/>
      <c r="F405" s="15"/>
      <c r="G405" s="15"/>
      <c r="H405" s="91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92"/>
      <c r="BO405" s="92"/>
      <c r="BP405" s="92"/>
      <c r="BQ405" s="92"/>
      <c r="BR405" s="92"/>
      <c r="BS405" s="92"/>
      <c r="BT405" s="92"/>
      <c r="BU405" s="92"/>
      <c r="BV405" s="92"/>
      <c r="BW405" s="92"/>
      <c r="BX405" s="92"/>
      <c r="BY405" s="92"/>
      <c r="BZ405" s="92"/>
      <c r="CA405" s="92"/>
      <c r="CB405" s="92"/>
      <c r="CC405" s="92"/>
      <c r="CD405" s="92"/>
      <c r="CE405" s="92"/>
      <c r="CF405" s="92"/>
      <c r="CG405" s="92"/>
      <c r="CH405" s="92"/>
      <c r="CI405" s="92"/>
      <c r="CJ405" s="92"/>
      <c r="CK405" s="92"/>
      <c r="CL405" s="92"/>
      <c r="CM405" s="92"/>
      <c r="CN405" s="92"/>
      <c r="CO405" s="92"/>
      <c r="CP405" s="92"/>
      <c r="CQ405" s="92"/>
      <c r="CR405" s="92"/>
      <c r="CS405" s="92"/>
      <c r="CT405" s="92"/>
      <c r="CU405" s="92"/>
      <c r="CV405" s="92"/>
      <c r="CW405" s="92"/>
      <c r="CX405" s="85"/>
      <c r="CY405" s="85"/>
      <c r="CZ405" s="85"/>
      <c r="DA405" s="85"/>
      <c r="DB405" s="85"/>
      <c r="DC405" s="85"/>
      <c r="DD405" s="85"/>
      <c r="DE405" s="85"/>
      <c r="DF405" s="85"/>
      <c r="DG405" s="85"/>
      <c r="DH405" s="85"/>
      <c r="DI405" s="85"/>
      <c r="DJ405" s="85"/>
      <c r="DK405" s="85"/>
      <c r="DL405" s="85"/>
      <c r="DM405" s="85"/>
      <c r="DN405" s="85"/>
      <c r="DO405" s="85"/>
      <c r="DP405" s="85"/>
    </row>
    <row r="406">
      <c r="A406" s="91"/>
      <c r="B406" s="91"/>
      <c r="C406" s="91"/>
      <c r="D406" s="91"/>
      <c r="E406" s="78"/>
      <c r="F406" s="15"/>
      <c r="G406" s="15"/>
      <c r="H406" s="91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  <c r="BH406" s="15"/>
      <c r="BI406" s="15"/>
      <c r="BJ406" s="15"/>
      <c r="BK406" s="15"/>
      <c r="BL406" s="15"/>
      <c r="BM406" s="15"/>
      <c r="BN406" s="92"/>
      <c r="BO406" s="92"/>
      <c r="BP406" s="92"/>
      <c r="BQ406" s="92"/>
      <c r="BR406" s="92"/>
      <c r="BS406" s="92"/>
      <c r="BT406" s="92"/>
      <c r="BU406" s="92"/>
      <c r="BV406" s="92"/>
      <c r="BW406" s="92"/>
      <c r="BX406" s="92"/>
      <c r="BY406" s="92"/>
      <c r="BZ406" s="92"/>
      <c r="CA406" s="92"/>
      <c r="CB406" s="92"/>
      <c r="CC406" s="92"/>
      <c r="CD406" s="92"/>
      <c r="CE406" s="92"/>
      <c r="CF406" s="92"/>
      <c r="CG406" s="92"/>
      <c r="CH406" s="92"/>
      <c r="CI406" s="92"/>
      <c r="CJ406" s="92"/>
      <c r="CK406" s="92"/>
      <c r="CL406" s="92"/>
      <c r="CM406" s="92"/>
      <c r="CN406" s="92"/>
      <c r="CO406" s="92"/>
      <c r="CP406" s="92"/>
      <c r="CQ406" s="92"/>
      <c r="CR406" s="92"/>
      <c r="CS406" s="92"/>
      <c r="CT406" s="92"/>
      <c r="CU406" s="92"/>
      <c r="CV406" s="92"/>
      <c r="CW406" s="92"/>
      <c r="CX406" s="85"/>
      <c r="CY406" s="85"/>
      <c r="CZ406" s="85"/>
      <c r="DA406" s="85"/>
      <c r="DB406" s="85"/>
      <c r="DC406" s="85"/>
      <c r="DD406" s="85"/>
      <c r="DE406" s="85"/>
      <c r="DF406" s="85"/>
      <c r="DG406" s="85"/>
      <c r="DH406" s="85"/>
      <c r="DI406" s="85"/>
      <c r="DJ406" s="85"/>
      <c r="DK406" s="85"/>
      <c r="DL406" s="85"/>
      <c r="DM406" s="85"/>
      <c r="DN406" s="85"/>
      <c r="DO406" s="85"/>
      <c r="DP406" s="85"/>
    </row>
    <row r="407">
      <c r="A407" s="91"/>
      <c r="B407" s="91"/>
      <c r="C407" s="91"/>
      <c r="D407" s="91"/>
      <c r="E407" s="78"/>
      <c r="F407" s="15"/>
      <c r="G407" s="15"/>
      <c r="H407" s="91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92"/>
      <c r="BO407" s="92"/>
      <c r="BP407" s="92"/>
      <c r="BQ407" s="92"/>
      <c r="BR407" s="92"/>
      <c r="BS407" s="92"/>
      <c r="BT407" s="92"/>
      <c r="BU407" s="92"/>
      <c r="BV407" s="92"/>
      <c r="BW407" s="92"/>
      <c r="BX407" s="92"/>
      <c r="BY407" s="92"/>
      <c r="BZ407" s="92"/>
      <c r="CA407" s="92"/>
      <c r="CB407" s="92"/>
      <c r="CC407" s="92"/>
      <c r="CD407" s="92"/>
      <c r="CE407" s="92"/>
      <c r="CF407" s="92"/>
      <c r="CG407" s="92"/>
      <c r="CH407" s="92"/>
      <c r="CI407" s="92"/>
      <c r="CJ407" s="92"/>
      <c r="CK407" s="92"/>
      <c r="CL407" s="92"/>
      <c r="CM407" s="92"/>
      <c r="CN407" s="92"/>
      <c r="CO407" s="92"/>
      <c r="CP407" s="92"/>
      <c r="CQ407" s="92"/>
      <c r="CR407" s="92"/>
      <c r="CS407" s="92"/>
      <c r="CT407" s="92"/>
      <c r="CU407" s="92"/>
      <c r="CV407" s="92"/>
      <c r="CW407" s="92"/>
      <c r="CX407" s="85"/>
      <c r="CY407" s="85"/>
      <c r="CZ407" s="85"/>
      <c r="DA407" s="85"/>
      <c r="DB407" s="85"/>
      <c r="DC407" s="85"/>
      <c r="DD407" s="85"/>
      <c r="DE407" s="85"/>
      <c r="DF407" s="85"/>
      <c r="DG407" s="85"/>
      <c r="DH407" s="85"/>
      <c r="DI407" s="85"/>
      <c r="DJ407" s="85"/>
      <c r="DK407" s="85"/>
      <c r="DL407" s="85"/>
      <c r="DM407" s="85"/>
      <c r="DN407" s="85"/>
      <c r="DO407" s="85"/>
      <c r="DP407" s="85"/>
    </row>
    <row r="408">
      <c r="A408" s="91"/>
      <c r="B408" s="91"/>
      <c r="C408" s="91"/>
      <c r="D408" s="91"/>
      <c r="E408" s="78"/>
      <c r="F408" s="15"/>
      <c r="G408" s="15"/>
      <c r="H408" s="91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92"/>
      <c r="BO408" s="92"/>
      <c r="BP408" s="92"/>
      <c r="BQ408" s="92"/>
      <c r="BR408" s="92"/>
      <c r="BS408" s="92"/>
      <c r="BT408" s="92"/>
      <c r="BU408" s="92"/>
      <c r="BV408" s="92"/>
      <c r="BW408" s="92"/>
      <c r="BX408" s="92"/>
      <c r="BY408" s="92"/>
      <c r="BZ408" s="92"/>
      <c r="CA408" s="92"/>
      <c r="CB408" s="92"/>
      <c r="CC408" s="92"/>
      <c r="CD408" s="92"/>
      <c r="CE408" s="92"/>
      <c r="CF408" s="92"/>
      <c r="CG408" s="92"/>
      <c r="CH408" s="92"/>
      <c r="CI408" s="92"/>
      <c r="CJ408" s="92"/>
      <c r="CK408" s="92"/>
      <c r="CL408" s="92"/>
      <c r="CM408" s="92"/>
      <c r="CN408" s="92"/>
      <c r="CO408" s="92"/>
      <c r="CP408" s="92"/>
      <c r="CQ408" s="92"/>
      <c r="CR408" s="92"/>
      <c r="CS408" s="92"/>
      <c r="CT408" s="92"/>
      <c r="CU408" s="92"/>
      <c r="CV408" s="92"/>
      <c r="CW408" s="92"/>
      <c r="CX408" s="85"/>
      <c r="CY408" s="85"/>
      <c r="CZ408" s="85"/>
      <c r="DA408" s="85"/>
      <c r="DB408" s="85"/>
      <c r="DC408" s="85"/>
      <c r="DD408" s="85"/>
      <c r="DE408" s="85"/>
      <c r="DF408" s="85"/>
      <c r="DG408" s="85"/>
      <c r="DH408" s="85"/>
      <c r="DI408" s="85"/>
      <c r="DJ408" s="85"/>
      <c r="DK408" s="85"/>
      <c r="DL408" s="85"/>
      <c r="DM408" s="85"/>
      <c r="DN408" s="85"/>
      <c r="DO408" s="85"/>
      <c r="DP408" s="85"/>
    </row>
    <row r="409">
      <c r="A409" s="91"/>
      <c r="B409" s="91"/>
      <c r="C409" s="91"/>
      <c r="D409" s="91"/>
      <c r="E409" s="78"/>
      <c r="F409" s="15"/>
      <c r="G409" s="15"/>
      <c r="H409" s="91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92"/>
      <c r="BO409" s="92"/>
      <c r="BP409" s="92"/>
      <c r="BQ409" s="92"/>
      <c r="BR409" s="92"/>
      <c r="BS409" s="92"/>
      <c r="BT409" s="92"/>
      <c r="BU409" s="92"/>
      <c r="BV409" s="92"/>
      <c r="BW409" s="92"/>
      <c r="BX409" s="92"/>
      <c r="BY409" s="92"/>
      <c r="BZ409" s="92"/>
      <c r="CA409" s="92"/>
      <c r="CB409" s="92"/>
      <c r="CC409" s="92"/>
      <c r="CD409" s="92"/>
      <c r="CE409" s="92"/>
      <c r="CF409" s="92"/>
      <c r="CG409" s="92"/>
      <c r="CH409" s="92"/>
      <c r="CI409" s="92"/>
      <c r="CJ409" s="92"/>
      <c r="CK409" s="92"/>
      <c r="CL409" s="92"/>
      <c r="CM409" s="92"/>
      <c r="CN409" s="92"/>
      <c r="CO409" s="92"/>
      <c r="CP409" s="92"/>
      <c r="CQ409" s="92"/>
      <c r="CR409" s="92"/>
      <c r="CS409" s="92"/>
      <c r="CT409" s="92"/>
      <c r="CU409" s="92"/>
      <c r="CV409" s="92"/>
      <c r="CW409" s="92"/>
      <c r="CX409" s="85"/>
      <c r="CY409" s="85"/>
      <c r="CZ409" s="85"/>
      <c r="DA409" s="85"/>
      <c r="DB409" s="85"/>
      <c r="DC409" s="85"/>
      <c r="DD409" s="85"/>
      <c r="DE409" s="85"/>
      <c r="DF409" s="85"/>
      <c r="DG409" s="85"/>
      <c r="DH409" s="85"/>
      <c r="DI409" s="85"/>
      <c r="DJ409" s="85"/>
      <c r="DK409" s="85"/>
      <c r="DL409" s="85"/>
      <c r="DM409" s="85"/>
      <c r="DN409" s="85"/>
      <c r="DO409" s="85"/>
      <c r="DP409" s="85"/>
    </row>
    <row r="410">
      <c r="A410" s="91"/>
      <c r="B410" s="91"/>
      <c r="C410" s="91"/>
      <c r="D410" s="91"/>
      <c r="E410" s="78"/>
      <c r="F410" s="15"/>
      <c r="G410" s="15"/>
      <c r="H410" s="91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  <c r="BM410" s="15"/>
      <c r="BN410" s="92"/>
      <c r="BO410" s="92"/>
      <c r="BP410" s="92"/>
      <c r="BQ410" s="92"/>
      <c r="BR410" s="92"/>
      <c r="BS410" s="92"/>
      <c r="BT410" s="92"/>
      <c r="BU410" s="92"/>
      <c r="BV410" s="92"/>
      <c r="BW410" s="92"/>
      <c r="BX410" s="92"/>
      <c r="BY410" s="92"/>
      <c r="BZ410" s="92"/>
      <c r="CA410" s="92"/>
      <c r="CB410" s="92"/>
      <c r="CC410" s="92"/>
      <c r="CD410" s="92"/>
      <c r="CE410" s="92"/>
      <c r="CF410" s="92"/>
      <c r="CG410" s="92"/>
      <c r="CH410" s="92"/>
      <c r="CI410" s="92"/>
      <c r="CJ410" s="92"/>
      <c r="CK410" s="92"/>
      <c r="CL410" s="92"/>
      <c r="CM410" s="92"/>
      <c r="CN410" s="92"/>
      <c r="CO410" s="92"/>
      <c r="CP410" s="92"/>
      <c r="CQ410" s="92"/>
      <c r="CR410" s="92"/>
      <c r="CS410" s="92"/>
      <c r="CT410" s="92"/>
      <c r="CU410" s="92"/>
      <c r="CV410" s="92"/>
      <c r="CW410" s="92"/>
      <c r="CX410" s="85"/>
      <c r="CY410" s="85"/>
      <c r="CZ410" s="85"/>
      <c r="DA410" s="85"/>
      <c r="DB410" s="85"/>
      <c r="DC410" s="85"/>
      <c r="DD410" s="85"/>
      <c r="DE410" s="85"/>
      <c r="DF410" s="85"/>
      <c r="DG410" s="85"/>
      <c r="DH410" s="85"/>
      <c r="DI410" s="85"/>
      <c r="DJ410" s="85"/>
      <c r="DK410" s="85"/>
      <c r="DL410" s="85"/>
      <c r="DM410" s="85"/>
      <c r="DN410" s="85"/>
      <c r="DO410" s="85"/>
      <c r="DP410" s="85"/>
    </row>
    <row r="411">
      <c r="A411" s="91"/>
      <c r="B411" s="91"/>
      <c r="C411" s="91"/>
      <c r="D411" s="91"/>
      <c r="E411" s="78"/>
      <c r="F411" s="15"/>
      <c r="G411" s="15"/>
      <c r="H411" s="91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92"/>
      <c r="BO411" s="92"/>
      <c r="BP411" s="92"/>
      <c r="BQ411" s="92"/>
      <c r="BR411" s="92"/>
      <c r="BS411" s="92"/>
      <c r="BT411" s="92"/>
      <c r="BU411" s="92"/>
      <c r="BV411" s="92"/>
      <c r="BW411" s="92"/>
      <c r="BX411" s="92"/>
      <c r="BY411" s="92"/>
      <c r="BZ411" s="92"/>
      <c r="CA411" s="92"/>
      <c r="CB411" s="92"/>
      <c r="CC411" s="92"/>
      <c r="CD411" s="92"/>
      <c r="CE411" s="92"/>
      <c r="CF411" s="92"/>
      <c r="CG411" s="92"/>
      <c r="CH411" s="92"/>
      <c r="CI411" s="92"/>
      <c r="CJ411" s="92"/>
      <c r="CK411" s="92"/>
      <c r="CL411" s="92"/>
      <c r="CM411" s="92"/>
      <c r="CN411" s="92"/>
      <c r="CO411" s="92"/>
      <c r="CP411" s="92"/>
      <c r="CQ411" s="92"/>
      <c r="CR411" s="92"/>
      <c r="CS411" s="92"/>
      <c r="CT411" s="92"/>
      <c r="CU411" s="92"/>
      <c r="CV411" s="92"/>
      <c r="CW411" s="92"/>
      <c r="CX411" s="85"/>
      <c r="CY411" s="85"/>
      <c r="CZ411" s="85"/>
      <c r="DA411" s="85"/>
      <c r="DB411" s="85"/>
      <c r="DC411" s="85"/>
      <c r="DD411" s="85"/>
      <c r="DE411" s="85"/>
      <c r="DF411" s="85"/>
      <c r="DG411" s="85"/>
      <c r="DH411" s="85"/>
      <c r="DI411" s="85"/>
      <c r="DJ411" s="85"/>
      <c r="DK411" s="85"/>
      <c r="DL411" s="85"/>
      <c r="DM411" s="85"/>
      <c r="DN411" s="85"/>
      <c r="DO411" s="85"/>
      <c r="DP411" s="85"/>
    </row>
    <row r="412">
      <c r="A412" s="91"/>
      <c r="B412" s="91"/>
      <c r="C412" s="91"/>
      <c r="D412" s="91"/>
      <c r="E412" s="78"/>
      <c r="F412" s="15"/>
      <c r="G412" s="15"/>
      <c r="H412" s="91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  <c r="BM412" s="15"/>
      <c r="BN412" s="92"/>
      <c r="BO412" s="92"/>
      <c r="BP412" s="92"/>
      <c r="BQ412" s="92"/>
      <c r="BR412" s="92"/>
      <c r="BS412" s="92"/>
      <c r="BT412" s="92"/>
      <c r="BU412" s="92"/>
      <c r="BV412" s="92"/>
      <c r="BW412" s="92"/>
      <c r="BX412" s="92"/>
      <c r="BY412" s="92"/>
      <c r="BZ412" s="92"/>
      <c r="CA412" s="92"/>
      <c r="CB412" s="92"/>
      <c r="CC412" s="92"/>
      <c r="CD412" s="92"/>
      <c r="CE412" s="92"/>
      <c r="CF412" s="92"/>
      <c r="CG412" s="92"/>
      <c r="CH412" s="92"/>
      <c r="CI412" s="92"/>
      <c r="CJ412" s="92"/>
      <c r="CK412" s="92"/>
      <c r="CL412" s="92"/>
      <c r="CM412" s="92"/>
      <c r="CN412" s="92"/>
      <c r="CO412" s="92"/>
      <c r="CP412" s="92"/>
      <c r="CQ412" s="92"/>
      <c r="CR412" s="92"/>
      <c r="CS412" s="92"/>
      <c r="CT412" s="92"/>
      <c r="CU412" s="92"/>
      <c r="CV412" s="92"/>
      <c r="CW412" s="92"/>
      <c r="CX412" s="85"/>
      <c r="CY412" s="85"/>
      <c r="CZ412" s="85"/>
      <c r="DA412" s="85"/>
      <c r="DB412" s="85"/>
      <c r="DC412" s="85"/>
      <c r="DD412" s="85"/>
      <c r="DE412" s="85"/>
      <c r="DF412" s="85"/>
      <c r="DG412" s="85"/>
      <c r="DH412" s="85"/>
      <c r="DI412" s="85"/>
      <c r="DJ412" s="85"/>
      <c r="DK412" s="85"/>
      <c r="DL412" s="85"/>
      <c r="DM412" s="85"/>
      <c r="DN412" s="85"/>
      <c r="DO412" s="85"/>
      <c r="DP412" s="85"/>
    </row>
    <row r="413">
      <c r="A413" s="91"/>
      <c r="B413" s="91"/>
      <c r="C413" s="91"/>
      <c r="D413" s="91"/>
      <c r="E413" s="78"/>
      <c r="F413" s="15"/>
      <c r="G413" s="15"/>
      <c r="H413" s="91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92"/>
      <c r="BO413" s="92"/>
      <c r="BP413" s="92"/>
      <c r="BQ413" s="92"/>
      <c r="BR413" s="92"/>
      <c r="BS413" s="92"/>
      <c r="BT413" s="92"/>
      <c r="BU413" s="92"/>
      <c r="BV413" s="92"/>
      <c r="BW413" s="92"/>
      <c r="BX413" s="92"/>
      <c r="BY413" s="92"/>
      <c r="BZ413" s="92"/>
      <c r="CA413" s="92"/>
      <c r="CB413" s="92"/>
      <c r="CC413" s="92"/>
      <c r="CD413" s="92"/>
      <c r="CE413" s="92"/>
      <c r="CF413" s="92"/>
      <c r="CG413" s="92"/>
      <c r="CH413" s="92"/>
      <c r="CI413" s="92"/>
      <c r="CJ413" s="92"/>
      <c r="CK413" s="92"/>
      <c r="CL413" s="92"/>
      <c r="CM413" s="92"/>
      <c r="CN413" s="92"/>
      <c r="CO413" s="92"/>
      <c r="CP413" s="92"/>
      <c r="CQ413" s="92"/>
      <c r="CR413" s="92"/>
      <c r="CS413" s="92"/>
      <c r="CT413" s="92"/>
      <c r="CU413" s="92"/>
      <c r="CV413" s="92"/>
      <c r="CW413" s="92"/>
      <c r="CX413" s="85"/>
      <c r="CY413" s="85"/>
      <c r="CZ413" s="85"/>
      <c r="DA413" s="85"/>
      <c r="DB413" s="85"/>
      <c r="DC413" s="85"/>
      <c r="DD413" s="85"/>
      <c r="DE413" s="85"/>
      <c r="DF413" s="85"/>
      <c r="DG413" s="85"/>
      <c r="DH413" s="85"/>
      <c r="DI413" s="85"/>
      <c r="DJ413" s="85"/>
      <c r="DK413" s="85"/>
      <c r="DL413" s="85"/>
      <c r="DM413" s="85"/>
      <c r="DN413" s="85"/>
      <c r="DO413" s="85"/>
      <c r="DP413" s="85"/>
    </row>
    <row r="414">
      <c r="A414" s="91"/>
      <c r="B414" s="91"/>
      <c r="C414" s="91"/>
      <c r="D414" s="91"/>
      <c r="E414" s="78"/>
      <c r="F414" s="15"/>
      <c r="G414" s="15"/>
      <c r="H414" s="91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  <c r="BJ414" s="15"/>
      <c r="BK414" s="15"/>
      <c r="BL414" s="15"/>
      <c r="BM414" s="15"/>
      <c r="BN414" s="92"/>
      <c r="BO414" s="92"/>
      <c r="BP414" s="92"/>
      <c r="BQ414" s="92"/>
      <c r="BR414" s="92"/>
      <c r="BS414" s="92"/>
      <c r="BT414" s="92"/>
      <c r="BU414" s="92"/>
      <c r="BV414" s="92"/>
      <c r="BW414" s="92"/>
      <c r="BX414" s="92"/>
      <c r="BY414" s="92"/>
      <c r="BZ414" s="92"/>
      <c r="CA414" s="92"/>
      <c r="CB414" s="92"/>
      <c r="CC414" s="92"/>
      <c r="CD414" s="92"/>
      <c r="CE414" s="92"/>
      <c r="CF414" s="92"/>
      <c r="CG414" s="92"/>
      <c r="CH414" s="92"/>
      <c r="CI414" s="92"/>
      <c r="CJ414" s="92"/>
      <c r="CK414" s="92"/>
      <c r="CL414" s="92"/>
      <c r="CM414" s="92"/>
      <c r="CN414" s="92"/>
      <c r="CO414" s="92"/>
      <c r="CP414" s="92"/>
      <c r="CQ414" s="92"/>
      <c r="CR414" s="92"/>
      <c r="CS414" s="92"/>
      <c r="CT414" s="92"/>
      <c r="CU414" s="92"/>
      <c r="CV414" s="92"/>
      <c r="CW414" s="92"/>
      <c r="CX414" s="85"/>
      <c r="CY414" s="85"/>
      <c r="CZ414" s="85"/>
      <c r="DA414" s="85"/>
      <c r="DB414" s="85"/>
      <c r="DC414" s="85"/>
      <c r="DD414" s="85"/>
      <c r="DE414" s="85"/>
      <c r="DF414" s="85"/>
      <c r="DG414" s="85"/>
      <c r="DH414" s="85"/>
      <c r="DI414" s="85"/>
      <c r="DJ414" s="85"/>
      <c r="DK414" s="85"/>
      <c r="DL414" s="85"/>
      <c r="DM414" s="85"/>
      <c r="DN414" s="85"/>
      <c r="DO414" s="85"/>
      <c r="DP414" s="85"/>
    </row>
    <row r="415">
      <c r="A415" s="91"/>
      <c r="B415" s="91"/>
      <c r="C415" s="91"/>
      <c r="D415" s="91"/>
      <c r="E415" s="78"/>
      <c r="F415" s="15"/>
      <c r="G415" s="15"/>
      <c r="H415" s="91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92"/>
      <c r="BO415" s="92"/>
      <c r="BP415" s="92"/>
      <c r="BQ415" s="92"/>
      <c r="BR415" s="92"/>
      <c r="BS415" s="92"/>
      <c r="BT415" s="92"/>
      <c r="BU415" s="92"/>
      <c r="BV415" s="92"/>
      <c r="BW415" s="92"/>
      <c r="BX415" s="92"/>
      <c r="BY415" s="92"/>
      <c r="BZ415" s="92"/>
      <c r="CA415" s="92"/>
      <c r="CB415" s="92"/>
      <c r="CC415" s="92"/>
      <c r="CD415" s="92"/>
      <c r="CE415" s="92"/>
      <c r="CF415" s="92"/>
      <c r="CG415" s="92"/>
      <c r="CH415" s="92"/>
      <c r="CI415" s="92"/>
      <c r="CJ415" s="92"/>
      <c r="CK415" s="92"/>
      <c r="CL415" s="92"/>
      <c r="CM415" s="92"/>
      <c r="CN415" s="92"/>
      <c r="CO415" s="92"/>
      <c r="CP415" s="92"/>
      <c r="CQ415" s="92"/>
      <c r="CR415" s="92"/>
      <c r="CS415" s="92"/>
      <c r="CT415" s="92"/>
      <c r="CU415" s="92"/>
      <c r="CV415" s="92"/>
      <c r="CW415" s="92"/>
      <c r="CX415" s="85"/>
      <c r="CY415" s="85"/>
      <c r="CZ415" s="85"/>
      <c r="DA415" s="85"/>
      <c r="DB415" s="85"/>
      <c r="DC415" s="85"/>
      <c r="DD415" s="85"/>
      <c r="DE415" s="85"/>
      <c r="DF415" s="85"/>
      <c r="DG415" s="85"/>
      <c r="DH415" s="85"/>
      <c r="DI415" s="85"/>
      <c r="DJ415" s="85"/>
      <c r="DK415" s="85"/>
      <c r="DL415" s="85"/>
      <c r="DM415" s="85"/>
      <c r="DN415" s="85"/>
      <c r="DO415" s="85"/>
      <c r="DP415" s="85"/>
    </row>
    <row r="416">
      <c r="A416" s="91"/>
      <c r="B416" s="91"/>
      <c r="C416" s="91"/>
      <c r="D416" s="91"/>
      <c r="E416" s="78"/>
      <c r="F416" s="15"/>
      <c r="G416" s="15"/>
      <c r="H416" s="91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  <c r="BM416" s="15"/>
      <c r="BN416" s="92"/>
      <c r="BO416" s="92"/>
      <c r="BP416" s="92"/>
      <c r="BQ416" s="92"/>
      <c r="BR416" s="92"/>
      <c r="BS416" s="92"/>
      <c r="BT416" s="92"/>
      <c r="BU416" s="92"/>
      <c r="BV416" s="92"/>
      <c r="BW416" s="92"/>
      <c r="BX416" s="92"/>
      <c r="BY416" s="92"/>
      <c r="BZ416" s="92"/>
      <c r="CA416" s="92"/>
      <c r="CB416" s="92"/>
      <c r="CC416" s="92"/>
      <c r="CD416" s="92"/>
      <c r="CE416" s="92"/>
      <c r="CF416" s="92"/>
      <c r="CG416" s="92"/>
      <c r="CH416" s="92"/>
      <c r="CI416" s="92"/>
      <c r="CJ416" s="92"/>
      <c r="CK416" s="92"/>
      <c r="CL416" s="92"/>
      <c r="CM416" s="92"/>
      <c r="CN416" s="92"/>
      <c r="CO416" s="92"/>
      <c r="CP416" s="92"/>
      <c r="CQ416" s="92"/>
      <c r="CR416" s="92"/>
      <c r="CS416" s="92"/>
      <c r="CT416" s="92"/>
      <c r="CU416" s="92"/>
      <c r="CV416" s="92"/>
      <c r="CW416" s="92"/>
      <c r="CX416" s="85"/>
      <c r="CY416" s="85"/>
      <c r="CZ416" s="85"/>
      <c r="DA416" s="85"/>
      <c r="DB416" s="85"/>
      <c r="DC416" s="85"/>
      <c r="DD416" s="85"/>
      <c r="DE416" s="85"/>
      <c r="DF416" s="85"/>
      <c r="DG416" s="85"/>
      <c r="DH416" s="85"/>
      <c r="DI416" s="85"/>
      <c r="DJ416" s="85"/>
      <c r="DK416" s="85"/>
      <c r="DL416" s="85"/>
      <c r="DM416" s="85"/>
      <c r="DN416" s="85"/>
      <c r="DO416" s="85"/>
      <c r="DP416" s="85"/>
    </row>
    <row r="417">
      <c r="A417" s="91"/>
      <c r="B417" s="91"/>
      <c r="C417" s="91"/>
      <c r="D417" s="91"/>
      <c r="E417" s="78"/>
      <c r="F417" s="15"/>
      <c r="G417" s="15"/>
      <c r="H417" s="91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92"/>
      <c r="BO417" s="92"/>
      <c r="BP417" s="92"/>
      <c r="BQ417" s="92"/>
      <c r="BR417" s="92"/>
      <c r="BS417" s="92"/>
      <c r="BT417" s="92"/>
      <c r="BU417" s="92"/>
      <c r="BV417" s="92"/>
      <c r="BW417" s="92"/>
      <c r="BX417" s="92"/>
      <c r="BY417" s="92"/>
      <c r="BZ417" s="92"/>
      <c r="CA417" s="92"/>
      <c r="CB417" s="92"/>
      <c r="CC417" s="92"/>
      <c r="CD417" s="92"/>
      <c r="CE417" s="92"/>
      <c r="CF417" s="92"/>
      <c r="CG417" s="92"/>
      <c r="CH417" s="92"/>
      <c r="CI417" s="92"/>
      <c r="CJ417" s="92"/>
      <c r="CK417" s="92"/>
      <c r="CL417" s="92"/>
      <c r="CM417" s="92"/>
      <c r="CN417" s="92"/>
      <c r="CO417" s="92"/>
      <c r="CP417" s="92"/>
      <c r="CQ417" s="92"/>
      <c r="CR417" s="92"/>
      <c r="CS417" s="92"/>
      <c r="CT417" s="92"/>
      <c r="CU417" s="92"/>
      <c r="CV417" s="92"/>
      <c r="CW417" s="92"/>
      <c r="CX417" s="85"/>
      <c r="CY417" s="85"/>
      <c r="CZ417" s="85"/>
      <c r="DA417" s="85"/>
      <c r="DB417" s="85"/>
      <c r="DC417" s="85"/>
      <c r="DD417" s="85"/>
      <c r="DE417" s="85"/>
      <c r="DF417" s="85"/>
      <c r="DG417" s="85"/>
      <c r="DH417" s="85"/>
      <c r="DI417" s="85"/>
      <c r="DJ417" s="85"/>
      <c r="DK417" s="85"/>
      <c r="DL417" s="85"/>
      <c r="DM417" s="85"/>
      <c r="DN417" s="85"/>
      <c r="DO417" s="85"/>
      <c r="DP417" s="85"/>
    </row>
    <row r="418">
      <c r="A418" s="91"/>
      <c r="B418" s="91"/>
      <c r="C418" s="91"/>
      <c r="D418" s="91"/>
      <c r="E418" s="78"/>
      <c r="F418" s="15"/>
      <c r="G418" s="15"/>
      <c r="H418" s="91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  <c r="BL418" s="15"/>
      <c r="BM418" s="15"/>
      <c r="BN418" s="92"/>
      <c r="BO418" s="92"/>
      <c r="BP418" s="92"/>
      <c r="BQ418" s="92"/>
      <c r="BR418" s="92"/>
      <c r="BS418" s="92"/>
      <c r="BT418" s="92"/>
      <c r="BU418" s="92"/>
      <c r="BV418" s="92"/>
      <c r="BW418" s="92"/>
      <c r="BX418" s="92"/>
      <c r="BY418" s="92"/>
      <c r="BZ418" s="92"/>
      <c r="CA418" s="92"/>
      <c r="CB418" s="92"/>
      <c r="CC418" s="92"/>
      <c r="CD418" s="92"/>
      <c r="CE418" s="92"/>
      <c r="CF418" s="92"/>
      <c r="CG418" s="92"/>
      <c r="CH418" s="92"/>
      <c r="CI418" s="92"/>
      <c r="CJ418" s="92"/>
      <c r="CK418" s="92"/>
      <c r="CL418" s="92"/>
      <c r="CM418" s="92"/>
      <c r="CN418" s="92"/>
      <c r="CO418" s="92"/>
      <c r="CP418" s="92"/>
      <c r="CQ418" s="92"/>
      <c r="CR418" s="92"/>
      <c r="CS418" s="92"/>
      <c r="CT418" s="92"/>
      <c r="CU418" s="92"/>
      <c r="CV418" s="92"/>
      <c r="CW418" s="92"/>
      <c r="CX418" s="85"/>
      <c r="CY418" s="85"/>
      <c r="CZ418" s="85"/>
      <c r="DA418" s="85"/>
      <c r="DB418" s="85"/>
      <c r="DC418" s="85"/>
      <c r="DD418" s="85"/>
      <c r="DE418" s="85"/>
      <c r="DF418" s="85"/>
      <c r="DG418" s="85"/>
      <c r="DH418" s="85"/>
      <c r="DI418" s="85"/>
      <c r="DJ418" s="85"/>
      <c r="DK418" s="85"/>
      <c r="DL418" s="85"/>
      <c r="DM418" s="85"/>
      <c r="DN418" s="85"/>
      <c r="DO418" s="85"/>
      <c r="DP418" s="85"/>
    </row>
    <row r="419">
      <c r="A419" s="91"/>
      <c r="B419" s="91"/>
      <c r="C419" s="91"/>
      <c r="D419" s="91"/>
      <c r="E419" s="78"/>
      <c r="F419" s="15"/>
      <c r="G419" s="15"/>
      <c r="H419" s="91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92"/>
      <c r="BO419" s="92"/>
      <c r="BP419" s="92"/>
      <c r="BQ419" s="92"/>
      <c r="BR419" s="92"/>
      <c r="BS419" s="92"/>
      <c r="BT419" s="92"/>
      <c r="BU419" s="92"/>
      <c r="BV419" s="92"/>
      <c r="BW419" s="92"/>
      <c r="BX419" s="92"/>
      <c r="BY419" s="92"/>
      <c r="BZ419" s="92"/>
      <c r="CA419" s="92"/>
      <c r="CB419" s="92"/>
      <c r="CC419" s="92"/>
      <c r="CD419" s="92"/>
      <c r="CE419" s="92"/>
      <c r="CF419" s="92"/>
      <c r="CG419" s="92"/>
      <c r="CH419" s="92"/>
      <c r="CI419" s="92"/>
      <c r="CJ419" s="92"/>
      <c r="CK419" s="92"/>
      <c r="CL419" s="92"/>
      <c r="CM419" s="92"/>
      <c r="CN419" s="92"/>
      <c r="CO419" s="92"/>
      <c r="CP419" s="92"/>
      <c r="CQ419" s="92"/>
      <c r="CR419" s="92"/>
      <c r="CS419" s="92"/>
      <c r="CT419" s="92"/>
      <c r="CU419" s="92"/>
      <c r="CV419" s="92"/>
      <c r="CW419" s="92"/>
      <c r="CX419" s="85"/>
      <c r="CY419" s="85"/>
      <c r="CZ419" s="85"/>
      <c r="DA419" s="85"/>
      <c r="DB419" s="85"/>
      <c r="DC419" s="85"/>
      <c r="DD419" s="85"/>
      <c r="DE419" s="85"/>
      <c r="DF419" s="85"/>
      <c r="DG419" s="85"/>
      <c r="DH419" s="85"/>
      <c r="DI419" s="85"/>
      <c r="DJ419" s="85"/>
      <c r="DK419" s="85"/>
      <c r="DL419" s="85"/>
      <c r="DM419" s="85"/>
      <c r="DN419" s="85"/>
      <c r="DO419" s="85"/>
      <c r="DP419" s="85"/>
    </row>
    <row r="420">
      <c r="A420" s="91"/>
      <c r="B420" s="91"/>
      <c r="C420" s="91"/>
      <c r="D420" s="91"/>
      <c r="E420" s="78"/>
      <c r="F420" s="15"/>
      <c r="G420" s="15"/>
      <c r="H420" s="91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  <c r="BK420" s="15"/>
      <c r="BL420" s="15"/>
      <c r="BM420" s="15"/>
      <c r="BN420" s="92"/>
      <c r="BO420" s="92"/>
      <c r="BP420" s="92"/>
      <c r="BQ420" s="92"/>
      <c r="BR420" s="92"/>
      <c r="BS420" s="92"/>
      <c r="BT420" s="92"/>
      <c r="BU420" s="92"/>
      <c r="BV420" s="92"/>
      <c r="BW420" s="92"/>
      <c r="BX420" s="92"/>
      <c r="BY420" s="92"/>
      <c r="BZ420" s="92"/>
      <c r="CA420" s="92"/>
      <c r="CB420" s="92"/>
      <c r="CC420" s="92"/>
      <c r="CD420" s="92"/>
      <c r="CE420" s="92"/>
      <c r="CF420" s="92"/>
      <c r="CG420" s="92"/>
      <c r="CH420" s="92"/>
      <c r="CI420" s="92"/>
      <c r="CJ420" s="92"/>
      <c r="CK420" s="92"/>
      <c r="CL420" s="92"/>
      <c r="CM420" s="92"/>
      <c r="CN420" s="92"/>
      <c r="CO420" s="92"/>
      <c r="CP420" s="92"/>
      <c r="CQ420" s="92"/>
      <c r="CR420" s="92"/>
      <c r="CS420" s="92"/>
      <c r="CT420" s="92"/>
      <c r="CU420" s="92"/>
      <c r="CV420" s="92"/>
      <c r="CW420" s="92"/>
      <c r="CX420" s="85"/>
      <c r="CY420" s="85"/>
      <c r="CZ420" s="85"/>
      <c r="DA420" s="85"/>
      <c r="DB420" s="85"/>
      <c r="DC420" s="85"/>
      <c r="DD420" s="85"/>
      <c r="DE420" s="85"/>
      <c r="DF420" s="85"/>
      <c r="DG420" s="85"/>
      <c r="DH420" s="85"/>
      <c r="DI420" s="85"/>
      <c r="DJ420" s="85"/>
      <c r="DK420" s="85"/>
      <c r="DL420" s="85"/>
      <c r="DM420" s="85"/>
      <c r="DN420" s="85"/>
      <c r="DO420" s="85"/>
      <c r="DP420" s="85"/>
    </row>
    <row r="421">
      <c r="A421" s="91"/>
      <c r="B421" s="91"/>
      <c r="C421" s="91"/>
      <c r="D421" s="91"/>
      <c r="E421" s="78"/>
      <c r="F421" s="15"/>
      <c r="G421" s="15"/>
      <c r="H421" s="91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92"/>
      <c r="BO421" s="92"/>
      <c r="BP421" s="92"/>
      <c r="BQ421" s="92"/>
      <c r="BR421" s="92"/>
      <c r="BS421" s="92"/>
      <c r="BT421" s="92"/>
      <c r="BU421" s="92"/>
      <c r="BV421" s="92"/>
      <c r="BW421" s="92"/>
      <c r="BX421" s="92"/>
      <c r="BY421" s="92"/>
      <c r="BZ421" s="92"/>
      <c r="CA421" s="92"/>
      <c r="CB421" s="92"/>
      <c r="CC421" s="92"/>
      <c r="CD421" s="92"/>
      <c r="CE421" s="92"/>
      <c r="CF421" s="92"/>
      <c r="CG421" s="92"/>
      <c r="CH421" s="92"/>
      <c r="CI421" s="92"/>
      <c r="CJ421" s="92"/>
      <c r="CK421" s="92"/>
      <c r="CL421" s="92"/>
      <c r="CM421" s="92"/>
      <c r="CN421" s="92"/>
      <c r="CO421" s="92"/>
      <c r="CP421" s="92"/>
      <c r="CQ421" s="92"/>
      <c r="CR421" s="92"/>
      <c r="CS421" s="92"/>
      <c r="CT421" s="92"/>
      <c r="CU421" s="92"/>
      <c r="CV421" s="92"/>
      <c r="CW421" s="92"/>
      <c r="CX421" s="85"/>
      <c r="CY421" s="85"/>
      <c r="CZ421" s="85"/>
      <c r="DA421" s="85"/>
      <c r="DB421" s="85"/>
      <c r="DC421" s="85"/>
      <c r="DD421" s="85"/>
      <c r="DE421" s="85"/>
      <c r="DF421" s="85"/>
      <c r="DG421" s="85"/>
      <c r="DH421" s="85"/>
      <c r="DI421" s="85"/>
      <c r="DJ421" s="85"/>
      <c r="DK421" s="85"/>
      <c r="DL421" s="85"/>
      <c r="DM421" s="85"/>
      <c r="DN421" s="85"/>
      <c r="DO421" s="85"/>
      <c r="DP421" s="85"/>
    </row>
    <row r="422">
      <c r="A422" s="91"/>
      <c r="B422" s="91"/>
      <c r="C422" s="91"/>
      <c r="D422" s="91"/>
      <c r="E422" s="78"/>
      <c r="F422" s="15"/>
      <c r="G422" s="15"/>
      <c r="H422" s="91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  <c r="BJ422" s="15"/>
      <c r="BK422" s="15"/>
      <c r="BL422" s="15"/>
      <c r="BM422" s="15"/>
      <c r="BN422" s="92"/>
      <c r="BO422" s="92"/>
      <c r="BP422" s="92"/>
      <c r="BQ422" s="92"/>
      <c r="BR422" s="92"/>
      <c r="BS422" s="92"/>
      <c r="BT422" s="92"/>
      <c r="BU422" s="92"/>
      <c r="BV422" s="92"/>
      <c r="BW422" s="92"/>
      <c r="BX422" s="92"/>
      <c r="BY422" s="92"/>
      <c r="BZ422" s="92"/>
      <c r="CA422" s="92"/>
      <c r="CB422" s="92"/>
      <c r="CC422" s="92"/>
      <c r="CD422" s="92"/>
      <c r="CE422" s="92"/>
      <c r="CF422" s="92"/>
      <c r="CG422" s="92"/>
      <c r="CH422" s="92"/>
      <c r="CI422" s="92"/>
      <c r="CJ422" s="92"/>
      <c r="CK422" s="92"/>
      <c r="CL422" s="92"/>
      <c r="CM422" s="92"/>
      <c r="CN422" s="92"/>
      <c r="CO422" s="92"/>
      <c r="CP422" s="92"/>
      <c r="CQ422" s="92"/>
      <c r="CR422" s="92"/>
      <c r="CS422" s="92"/>
      <c r="CT422" s="92"/>
      <c r="CU422" s="92"/>
      <c r="CV422" s="92"/>
      <c r="CW422" s="92"/>
      <c r="CX422" s="85"/>
      <c r="CY422" s="85"/>
      <c r="CZ422" s="85"/>
      <c r="DA422" s="85"/>
      <c r="DB422" s="85"/>
      <c r="DC422" s="85"/>
      <c r="DD422" s="85"/>
      <c r="DE422" s="85"/>
      <c r="DF422" s="85"/>
      <c r="DG422" s="85"/>
      <c r="DH422" s="85"/>
      <c r="DI422" s="85"/>
      <c r="DJ422" s="85"/>
      <c r="DK422" s="85"/>
      <c r="DL422" s="85"/>
      <c r="DM422" s="85"/>
      <c r="DN422" s="85"/>
      <c r="DO422" s="85"/>
      <c r="DP422" s="85"/>
    </row>
    <row r="423">
      <c r="A423" s="91"/>
      <c r="B423" s="91"/>
      <c r="C423" s="91"/>
      <c r="D423" s="91"/>
      <c r="E423" s="78"/>
      <c r="F423" s="15"/>
      <c r="G423" s="15"/>
      <c r="H423" s="91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92"/>
      <c r="BO423" s="92"/>
      <c r="BP423" s="92"/>
      <c r="BQ423" s="92"/>
      <c r="BR423" s="92"/>
      <c r="BS423" s="92"/>
      <c r="BT423" s="92"/>
      <c r="BU423" s="92"/>
      <c r="BV423" s="92"/>
      <c r="BW423" s="92"/>
      <c r="BX423" s="92"/>
      <c r="BY423" s="92"/>
      <c r="BZ423" s="92"/>
      <c r="CA423" s="92"/>
      <c r="CB423" s="92"/>
      <c r="CC423" s="92"/>
      <c r="CD423" s="92"/>
      <c r="CE423" s="92"/>
      <c r="CF423" s="92"/>
      <c r="CG423" s="92"/>
      <c r="CH423" s="92"/>
      <c r="CI423" s="92"/>
      <c r="CJ423" s="92"/>
      <c r="CK423" s="92"/>
      <c r="CL423" s="92"/>
      <c r="CM423" s="92"/>
      <c r="CN423" s="92"/>
      <c r="CO423" s="92"/>
      <c r="CP423" s="92"/>
      <c r="CQ423" s="92"/>
      <c r="CR423" s="92"/>
      <c r="CS423" s="92"/>
      <c r="CT423" s="92"/>
      <c r="CU423" s="92"/>
      <c r="CV423" s="92"/>
      <c r="CW423" s="92"/>
      <c r="CX423" s="85"/>
      <c r="CY423" s="85"/>
      <c r="CZ423" s="85"/>
      <c r="DA423" s="85"/>
      <c r="DB423" s="85"/>
      <c r="DC423" s="85"/>
      <c r="DD423" s="85"/>
      <c r="DE423" s="85"/>
      <c r="DF423" s="85"/>
      <c r="DG423" s="85"/>
      <c r="DH423" s="85"/>
      <c r="DI423" s="85"/>
      <c r="DJ423" s="85"/>
      <c r="DK423" s="85"/>
      <c r="DL423" s="85"/>
      <c r="DM423" s="85"/>
      <c r="DN423" s="85"/>
      <c r="DO423" s="85"/>
      <c r="DP423" s="85"/>
    </row>
    <row r="424">
      <c r="A424" s="91"/>
      <c r="B424" s="91"/>
      <c r="C424" s="91"/>
      <c r="D424" s="91"/>
      <c r="E424" s="78"/>
      <c r="F424" s="15"/>
      <c r="G424" s="15"/>
      <c r="H424" s="91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  <c r="BJ424" s="15"/>
      <c r="BK424" s="15"/>
      <c r="BL424" s="15"/>
      <c r="BM424" s="15"/>
      <c r="BN424" s="92"/>
      <c r="BO424" s="92"/>
      <c r="BP424" s="92"/>
      <c r="BQ424" s="92"/>
      <c r="BR424" s="92"/>
      <c r="BS424" s="92"/>
      <c r="BT424" s="92"/>
      <c r="BU424" s="92"/>
      <c r="BV424" s="92"/>
      <c r="BW424" s="92"/>
      <c r="BX424" s="92"/>
      <c r="BY424" s="92"/>
      <c r="BZ424" s="92"/>
      <c r="CA424" s="92"/>
      <c r="CB424" s="92"/>
      <c r="CC424" s="92"/>
      <c r="CD424" s="92"/>
      <c r="CE424" s="92"/>
      <c r="CF424" s="92"/>
      <c r="CG424" s="92"/>
      <c r="CH424" s="92"/>
      <c r="CI424" s="92"/>
      <c r="CJ424" s="92"/>
      <c r="CK424" s="92"/>
      <c r="CL424" s="92"/>
      <c r="CM424" s="92"/>
      <c r="CN424" s="92"/>
      <c r="CO424" s="92"/>
      <c r="CP424" s="92"/>
      <c r="CQ424" s="92"/>
      <c r="CR424" s="92"/>
      <c r="CS424" s="92"/>
      <c r="CT424" s="92"/>
      <c r="CU424" s="92"/>
      <c r="CV424" s="92"/>
      <c r="CW424" s="92"/>
      <c r="CX424" s="85"/>
      <c r="CY424" s="85"/>
      <c r="CZ424" s="85"/>
      <c r="DA424" s="85"/>
      <c r="DB424" s="85"/>
      <c r="DC424" s="85"/>
      <c r="DD424" s="85"/>
      <c r="DE424" s="85"/>
      <c r="DF424" s="85"/>
      <c r="DG424" s="85"/>
      <c r="DH424" s="85"/>
      <c r="DI424" s="85"/>
      <c r="DJ424" s="85"/>
      <c r="DK424" s="85"/>
      <c r="DL424" s="85"/>
      <c r="DM424" s="85"/>
      <c r="DN424" s="85"/>
      <c r="DO424" s="85"/>
      <c r="DP424" s="85"/>
    </row>
    <row r="425">
      <c r="A425" s="91"/>
      <c r="B425" s="91"/>
      <c r="C425" s="91"/>
      <c r="D425" s="91"/>
      <c r="E425" s="78"/>
      <c r="F425" s="15"/>
      <c r="G425" s="15"/>
      <c r="H425" s="91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92"/>
      <c r="BO425" s="92"/>
      <c r="BP425" s="92"/>
      <c r="BQ425" s="92"/>
      <c r="BR425" s="92"/>
      <c r="BS425" s="92"/>
      <c r="BT425" s="92"/>
      <c r="BU425" s="92"/>
      <c r="BV425" s="92"/>
      <c r="BW425" s="92"/>
      <c r="BX425" s="92"/>
      <c r="BY425" s="92"/>
      <c r="BZ425" s="92"/>
      <c r="CA425" s="92"/>
      <c r="CB425" s="92"/>
      <c r="CC425" s="92"/>
      <c r="CD425" s="92"/>
      <c r="CE425" s="92"/>
      <c r="CF425" s="92"/>
      <c r="CG425" s="92"/>
      <c r="CH425" s="92"/>
      <c r="CI425" s="92"/>
      <c r="CJ425" s="92"/>
      <c r="CK425" s="92"/>
      <c r="CL425" s="92"/>
      <c r="CM425" s="92"/>
      <c r="CN425" s="92"/>
      <c r="CO425" s="92"/>
      <c r="CP425" s="92"/>
      <c r="CQ425" s="92"/>
      <c r="CR425" s="92"/>
      <c r="CS425" s="92"/>
      <c r="CT425" s="92"/>
      <c r="CU425" s="92"/>
      <c r="CV425" s="92"/>
      <c r="CW425" s="92"/>
      <c r="CX425" s="85"/>
      <c r="CY425" s="85"/>
      <c r="CZ425" s="85"/>
      <c r="DA425" s="85"/>
      <c r="DB425" s="85"/>
      <c r="DC425" s="85"/>
      <c r="DD425" s="85"/>
      <c r="DE425" s="85"/>
      <c r="DF425" s="85"/>
      <c r="DG425" s="85"/>
      <c r="DH425" s="85"/>
      <c r="DI425" s="85"/>
      <c r="DJ425" s="85"/>
      <c r="DK425" s="85"/>
      <c r="DL425" s="85"/>
      <c r="DM425" s="85"/>
      <c r="DN425" s="85"/>
      <c r="DO425" s="85"/>
      <c r="DP425" s="85"/>
    </row>
    <row r="426">
      <c r="A426" s="91"/>
      <c r="B426" s="91"/>
      <c r="C426" s="91"/>
      <c r="D426" s="91"/>
      <c r="E426" s="78"/>
      <c r="F426" s="15"/>
      <c r="G426" s="15"/>
      <c r="H426" s="91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  <c r="BH426" s="15"/>
      <c r="BI426" s="15"/>
      <c r="BJ426" s="15"/>
      <c r="BK426" s="15"/>
      <c r="BL426" s="15"/>
      <c r="BM426" s="15"/>
      <c r="BN426" s="92"/>
      <c r="BO426" s="92"/>
      <c r="BP426" s="92"/>
      <c r="BQ426" s="92"/>
      <c r="BR426" s="92"/>
      <c r="BS426" s="92"/>
      <c r="BT426" s="92"/>
      <c r="BU426" s="92"/>
      <c r="BV426" s="92"/>
      <c r="BW426" s="92"/>
      <c r="BX426" s="92"/>
      <c r="BY426" s="92"/>
      <c r="BZ426" s="92"/>
      <c r="CA426" s="92"/>
      <c r="CB426" s="92"/>
      <c r="CC426" s="92"/>
      <c r="CD426" s="92"/>
      <c r="CE426" s="92"/>
      <c r="CF426" s="92"/>
      <c r="CG426" s="92"/>
      <c r="CH426" s="92"/>
      <c r="CI426" s="92"/>
      <c r="CJ426" s="92"/>
      <c r="CK426" s="92"/>
      <c r="CL426" s="92"/>
      <c r="CM426" s="92"/>
      <c r="CN426" s="92"/>
      <c r="CO426" s="92"/>
      <c r="CP426" s="92"/>
      <c r="CQ426" s="92"/>
      <c r="CR426" s="92"/>
      <c r="CS426" s="92"/>
      <c r="CT426" s="92"/>
      <c r="CU426" s="92"/>
      <c r="CV426" s="92"/>
      <c r="CW426" s="92"/>
      <c r="CX426" s="85"/>
      <c r="CY426" s="85"/>
      <c r="CZ426" s="85"/>
      <c r="DA426" s="85"/>
      <c r="DB426" s="85"/>
      <c r="DC426" s="85"/>
      <c r="DD426" s="85"/>
      <c r="DE426" s="85"/>
      <c r="DF426" s="85"/>
      <c r="DG426" s="85"/>
      <c r="DH426" s="85"/>
      <c r="DI426" s="85"/>
      <c r="DJ426" s="85"/>
      <c r="DK426" s="85"/>
      <c r="DL426" s="85"/>
      <c r="DM426" s="85"/>
      <c r="DN426" s="85"/>
      <c r="DO426" s="85"/>
      <c r="DP426" s="85"/>
    </row>
    <row r="427">
      <c r="A427" s="91"/>
      <c r="B427" s="91"/>
      <c r="C427" s="91"/>
      <c r="D427" s="91"/>
      <c r="E427" s="78"/>
      <c r="F427" s="15"/>
      <c r="G427" s="15"/>
      <c r="H427" s="91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92"/>
      <c r="BO427" s="92"/>
      <c r="BP427" s="92"/>
      <c r="BQ427" s="92"/>
      <c r="BR427" s="92"/>
      <c r="BS427" s="92"/>
      <c r="BT427" s="92"/>
      <c r="BU427" s="92"/>
      <c r="BV427" s="92"/>
      <c r="BW427" s="92"/>
      <c r="BX427" s="92"/>
      <c r="BY427" s="92"/>
      <c r="BZ427" s="92"/>
      <c r="CA427" s="92"/>
      <c r="CB427" s="92"/>
      <c r="CC427" s="92"/>
      <c r="CD427" s="92"/>
      <c r="CE427" s="92"/>
      <c r="CF427" s="92"/>
      <c r="CG427" s="92"/>
      <c r="CH427" s="92"/>
      <c r="CI427" s="92"/>
      <c r="CJ427" s="92"/>
      <c r="CK427" s="92"/>
      <c r="CL427" s="92"/>
      <c r="CM427" s="92"/>
      <c r="CN427" s="92"/>
      <c r="CO427" s="92"/>
      <c r="CP427" s="92"/>
      <c r="CQ427" s="92"/>
      <c r="CR427" s="92"/>
      <c r="CS427" s="92"/>
      <c r="CT427" s="92"/>
      <c r="CU427" s="92"/>
      <c r="CV427" s="92"/>
      <c r="CW427" s="92"/>
      <c r="CX427" s="85"/>
      <c r="CY427" s="85"/>
      <c r="CZ427" s="85"/>
      <c r="DA427" s="85"/>
      <c r="DB427" s="85"/>
      <c r="DC427" s="85"/>
      <c r="DD427" s="85"/>
      <c r="DE427" s="85"/>
      <c r="DF427" s="85"/>
      <c r="DG427" s="85"/>
      <c r="DH427" s="85"/>
      <c r="DI427" s="85"/>
      <c r="DJ427" s="85"/>
      <c r="DK427" s="85"/>
      <c r="DL427" s="85"/>
      <c r="DM427" s="85"/>
      <c r="DN427" s="85"/>
      <c r="DO427" s="85"/>
      <c r="DP427" s="85"/>
    </row>
    <row r="428">
      <c r="A428" s="91"/>
      <c r="B428" s="91"/>
      <c r="C428" s="91"/>
      <c r="D428" s="91"/>
      <c r="E428" s="78"/>
      <c r="F428" s="15"/>
      <c r="G428" s="15"/>
      <c r="H428" s="91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  <c r="BJ428" s="15"/>
      <c r="BK428" s="15"/>
      <c r="BL428" s="15"/>
      <c r="BM428" s="15"/>
      <c r="BN428" s="92"/>
      <c r="BO428" s="92"/>
      <c r="BP428" s="92"/>
      <c r="BQ428" s="92"/>
      <c r="BR428" s="92"/>
      <c r="BS428" s="92"/>
      <c r="BT428" s="92"/>
      <c r="BU428" s="92"/>
      <c r="BV428" s="92"/>
      <c r="BW428" s="92"/>
      <c r="BX428" s="92"/>
      <c r="BY428" s="92"/>
      <c r="BZ428" s="92"/>
      <c r="CA428" s="92"/>
      <c r="CB428" s="92"/>
      <c r="CC428" s="92"/>
      <c r="CD428" s="92"/>
      <c r="CE428" s="92"/>
      <c r="CF428" s="92"/>
      <c r="CG428" s="92"/>
      <c r="CH428" s="92"/>
      <c r="CI428" s="92"/>
      <c r="CJ428" s="92"/>
      <c r="CK428" s="92"/>
      <c r="CL428" s="92"/>
      <c r="CM428" s="92"/>
      <c r="CN428" s="92"/>
      <c r="CO428" s="92"/>
      <c r="CP428" s="92"/>
      <c r="CQ428" s="92"/>
      <c r="CR428" s="92"/>
      <c r="CS428" s="92"/>
      <c r="CT428" s="92"/>
      <c r="CU428" s="92"/>
      <c r="CV428" s="92"/>
      <c r="CW428" s="92"/>
      <c r="CX428" s="85"/>
      <c r="CY428" s="85"/>
      <c r="CZ428" s="85"/>
      <c r="DA428" s="85"/>
      <c r="DB428" s="85"/>
      <c r="DC428" s="85"/>
      <c r="DD428" s="85"/>
      <c r="DE428" s="85"/>
      <c r="DF428" s="85"/>
      <c r="DG428" s="85"/>
      <c r="DH428" s="85"/>
      <c r="DI428" s="85"/>
      <c r="DJ428" s="85"/>
      <c r="DK428" s="85"/>
      <c r="DL428" s="85"/>
      <c r="DM428" s="85"/>
      <c r="DN428" s="85"/>
      <c r="DO428" s="85"/>
      <c r="DP428" s="85"/>
    </row>
    <row r="429">
      <c r="A429" s="91"/>
      <c r="B429" s="91"/>
      <c r="C429" s="91"/>
      <c r="D429" s="91"/>
      <c r="E429" s="78"/>
      <c r="F429" s="15"/>
      <c r="G429" s="15"/>
      <c r="H429" s="91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92"/>
      <c r="BO429" s="92"/>
      <c r="BP429" s="92"/>
      <c r="BQ429" s="92"/>
      <c r="BR429" s="92"/>
      <c r="BS429" s="92"/>
      <c r="BT429" s="92"/>
      <c r="BU429" s="92"/>
      <c r="BV429" s="92"/>
      <c r="BW429" s="92"/>
      <c r="BX429" s="92"/>
      <c r="BY429" s="92"/>
      <c r="BZ429" s="92"/>
      <c r="CA429" s="92"/>
      <c r="CB429" s="92"/>
      <c r="CC429" s="92"/>
      <c r="CD429" s="92"/>
      <c r="CE429" s="92"/>
      <c r="CF429" s="92"/>
      <c r="CG429" s="92"/>
      <c r="CH429" s="92"/>
      <c r="CI429" s="92"/>
      <c r="CJ429" s="92"/>
      <c r="CK429" s="92"/>
      <c r="CL429" s="92"/>
      <c r="CM429" s="92"/>
      <c r="CN429" s="92"/>
      <c r="CO429" s="92"/>
      <c r="CP429" s="92"/>
      <c r="CQ429" s="92"/>
      <c r="CR429" s="92"/>
      <c r="CS429" s="92"/>
      <c r="CT429" s="92"/>
      <c r="CU429" s="92"/>
      <c r="CV429" s="92"/>
      <c r="CW429" s="92"/>
      <c r="CX429" s="85"/>
      <c r="CY429" s="85"/>
      <c r="CZ429" s="85"/>
      <c r="DA429" s="85"/>
      <c r="DB429" s="85"/>
      <c r="DC429" s="85"/>
      <c r="DD429" s="85"/>
      <c r="DE429" s="85"/>
      <c r="DF429" s="85"/>
      <c r="DG429" s="85"/>
      <c r="DH429" s="85"/>
      <c r="DI429" s="85"/>
      <c r="DJ429" s="85"/>
      <c r="DK429" s="85"/>
      <c r="DL429" s="85"/>
      <c r="DM429" s="85"/>
      <c r="DN429" s="85"/>
      <c r="DO429" s="85"/>
      <c r="DP429" s="85"/>
    </row>
    <row r="430">
      <c r="A430" s="91"/>
      <c r="B430" s="91"/>
      <c r="C430" s="91"/>
      <c r="D430" s="91"/>
      <c r="E430" s="78"/>
      <c r="F430" s="15"/>
      <c r="G430" s="15"/>
      <c r="H430" s="91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  <c r="BH430" s="15"/>
      <c r="BI430" s="15"/>
      <c r="BJ430" s="15"/>
      <c r="BK430" s="15"/>
      <c r="BL430" s="15"/>
      <c r="BM430" s="15"/>
      <c r="BN430" s="92"/>
      <c r="BO430" s="92"/>
      <c r="BP430" s="92"/>
      <c r="BQ430" s="92"/>
      <c r="BR430" s="92"/>
      <c r="BS430" s="92"/>
      <c r="BT430" s="92"/>
      <c r="BU430" s="92"/>
      <c r="BV430" s="92"/>
      <c r="BW430" s="92"/>
      <c r="BX430" s="92"/>
      <c r="BY430" s="92"/>
      <c r="BZ430" s="92"/>
      <c r="CA430" s="92"/>
      <c r="CB430" s="92"/>
      <c r="CC430" s="92"/>
      <c r="CD430" s="92"/>
      <c r="CE430" s="92"/>
      <c r="CF430" s="92"/>
      <c r="CG430" s="92"/>
      <c r="CH430" s="92"/>
      <c r="CI430" s="92"/>
      <c r="CJ430" s="92"/>
      <c r="CK430" s="92"/>
      <c r="CL430" s="92"/>
      <c r="CM430" s="92"/>
      <c r="CN430" s="92"/>
      <c r="CO430" s="92"/>
      <c r="CP430" s="92"/>
      <c r="CQ430" s="92"/>
      <c r="CR430" s="92"/>
      <c r="CS430" s="92"/>
      <c r="CT430" s="92"/>
      <c r="CU430" s="92"/>
      <c r="CV430" s="92"/>
      <c r="CW430" s="92"/>
      <c r="CX430" s="85"/>
      <c r="CY430" s="85"/>
      <c r="CZ430" s="85"/>
      <c r="DA430" s="85"/>
      <c r="DB430" s="85"/>
      <c r="DC430" s="85"/>
      <c r="DD430" s="85"/>
      <c r="DE430" s="85"/>
      <c r="DF430" s="85"/>
      <c r="DG430" s="85"/>
      <c r="DH430" s="85"/>
      <c r="DI430" s="85"/>
      <c r="DJ430" s="85"/>
      <c r="DK430" s="85"/>
      <c r="DL430" s="85"/>
      <c r="DM430" s="85"/>
      <c r="DN430" s="85"/>
      <c r="DO430" s="85"/>
      <c r="DP430" s="85"/>
    </row>
    <row r="431">
      <c r="A431" s="91"/>
      <c r="B431" s="91"/>
      <c r="C431" s="91"/>
      <c r="D431" s="91"/>
      <c r="E431" s="78"/>
      <c r="F431" s="15"/>
      <c r="G431" s="15"/>
      <c r="H431" s="91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92"/>
      <c r="BO431" s="92"/>
      <c r="BP431" s="92"/>
      <c r="BQ431" s="92"/>
      <c r="BR431" s="92"/>
      <c r="BS431" s="92"/>
      <c r="BT431" s="92"/>
      <c r="BU431" s="92"/>
      <c r="BV431" s="92"/>
      <c r="BW431" s="92"/>
      <c r="BX431" s="92"/>
      <c r="BY431" s="92"/>
      <c r="BZ431" s="92"/>
      <c r="CA431" s="92"/>
      <c r="CB431" s="92"/>
      <c r="CC431" s="92"/>
      <c r="CD431" s="92"/>
      <c r="CE431" s="92"/>
      <c r="CF431" s="92"/>
      <c r="CG431" s="92"/>
      <c r="CH431" s="92"/>
      <c r="CI431" s="92"/>
      <c r="CJ431" s="92"/>
      <c r="CK431" s="92"/>
      <c r="CL431" s="92"/>
      <c r="CM431" s="92"/>
      <c r="CN431" s="92"/>
      <c r="CO431" s="92"/>
      <c r="CP431" s="92"/>
      <c r="CQ431" s="92"/>
      <c r="CR431" s="92"/>
      <c r="CS431" s="92"/>
      <c r="CT431" s="92"/>
      <c r="CU431" s="92"/>
      <c r="CV431" s="92"/>
      <c r="CW431" s="92"/>
      <c r="CX431" s="85"/>
      <c r="CY431" s="85"/>
      <c r="CZ431" s="85"/>
      <c r="DA431" s="85"/>
      <c r="DB431" s="85"/>
      <c r="DC431" s="85"/>
      <c r="DD431" s="85"/>
      <c r="DE431" s="85"/>
      <c r="DF431" s="85"/>
      <c r="DG431" s="85"/>
      <c r="DH431" s="85"/>
      <c r="DI431" s="85"/>
      <c r="DJ431" s="85"/>
      <c r="DK431" s="85"/>
      <c r="DL431" s="85"/>
      <c r="DM431" s="85"/>
      <c r="DN431" s="85"/>
      <c r="DO431" s="85"/>
      <c r="DP431" s="85"/>
    </row>
    <row r="432">
      <c r="A432" s="91"/>
      <c r="B432" s="91"/>
      <c r="C432" s="91"/>
      <c r="D432" s="91"/>
      <c r="E432" s="78"/>
      <c r="F432" s="15"/>
      <c r="G432" s="15"/>
      <c r="H432" s="91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  <c r="BJ432" s="15"/>
      <c r="BK432" s="15"/>
      <c r="BL432" s="15"/>
      <c r="BM432" s="15"/>
      <c r="BN432" s="92"/>
      <c r="BO432" s="92"/>
      <c r="BP432" s="92"/>
      <c r="BQ432" s="92"/>
      <c r="BR432" s="92"/>
      <c r="BS432" s="92"/>
      <c r="BT432" s="92"/>
      <c r="BU432" s="92"/>
      <c r="BV432" s="92"/>
      <c r="BW432" s="92"/>
      <c r="BX432" s="92"/>
      <c r="BY432" s="92"/>
      <c r="BZ432" s="92"/>
      <c r="CA432" s="92"/>
      <c r="CB432" s="92"/>
      <c r="CC432" s="92"/>
      <c r="CD432" s="92"/>
      <c r="CE432" s="92"/>
      <c r="CF432" s="92"/>
      <c r="CG432" s="92"/>
      <c r="CH432" s="92"/>
      <c r="CI432" s="92"/>
      <c r="CJ432" s="92"/>
      <c r="CK432" s="92"/>
      <c r="CL432" s="92"/>
      <c r="CM432" s="92"/>
      <c r="CN432" s="92"/>
      <c r="CO432" s="92"/>
      <c r="CP432" s="92"/>
      <c r="CQ432" s="92"/>
      <c r="CR432" s="92"/>
      <c r="CS432" s="92"/>
      <c r="CT432" s="92"/>
      <c r="CU432" s="92"/>
      <c r="CV432" s="92"/>
      <c r="CW432" s="92"/>
      <c r="CX432" s="85"/>
      <c r="CY432" s="85"/>
      <c r="CZ432" s="85"/>
      <c r="DA432" s="85"/>
      <c r="DB432" s="85"/>
      <c r="DC432" s="85"/>
      <c r="DD432" s="85"/>
      <c r="DE432" s="85"/>
      <c r="DF432" s="85"/>
      <c r="DG432" s="85"/>
      <c r="DH432" s="85"/>
      <c r="DI432" s="85"/>
      <c r="DJ432" s="85"/>
      <c r="DK432" s="85"/>
      <c r="DL432" s="85"/>
      <c r="DM432" s="85"/>
      <c r="DN432" s="85"/>
      <c r="DO432" s="85"/>
      <c r="DP432" s="85"/>
    </row>
    <row r="433">
      <c r="A433" s="91"/>
      <c r="B433" s="91"/>
      <c r="C433" s="91"/>
      <c r="D433" s="91"/>
      <c r="E433" s="78"/>
      <c r="F433" s="15"/>
      <c r="G433" s="15"/>
      <c r="H433" s="91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92"/>
      <c r="BO433" s="92"/>
      <c r="BP433" s="92"/>
      <c r="BQ433" s="92"/>
      <c r="BR433" s="92"/>
      <c r="BS433" s="92"/>
      <c r="BT433" s="92"/>
      <c r="BU433" s="92"/>
      <c r="BV433" s="92"/>
      <c r="BW433" s="92"/>
      <c r="BX433" s="92"/>
      <c r="BY433" s="92"/>
      <c r="BZ433" s="92"/>
      <c r="CA433" s="92"/>
      <c r="CB433" s="92"/>
      <c r="CC433" s="92"/>
      <c r="CD433" s="92"/>
      <c r="CE433" s="92"/>
      <c r="CF433" s="92"/>
      <c r="CG433" s="92"/>
      <c r="CH433" s="92"/>
      <c r="CI433" s="92"/>
      <c r="CJ433" s="92"/>
      <c r="CK433" s="92"/>
      <c r="CL433" s="92"/>
      <c r="CM433" s="92"/>
      <c r="CN433" s="92"/>
      <c r="CO433" s="92"/>
      <c r="CP433" s="92"/>
      <c r="CQ433" s="92"/>
      <c r="CR433" s="92"/>
      <c r="CS433" s="92"/>
      <c r="CT433" s="92"/>
      <c r="CU433" s="92"/>
      <c r="CV433" s="92"/>
      <c r="CW433" s="92"/>
      <c r="CX433" s="85"/>
      <c r="CY433" s="85"/>
      <c r="CZ433" s="85"/>
      <c r="DA433" s="85"/>
      <c r="DB433" s="85"/>
      <c r="DC433" s="85"/>
      <c r="DD433" s="85"/>
      <c r="DE433" s="85"/>
      <c r="DF433" s="85"/>
      <c r="DG433" s="85"/>
      <c r="DH433" s="85"/>
      <c r="DI433" s="85"/>
      <c r="DJ433" s="85"/>
      <c r="DK433" s="85"/>
      <c r="DL433" s="85"/>
      <c r="DM433" s="85"/>
      <c r="DN433" s="85"/>
      <c r="DO433" s="85"/>
      <c r="DP433" s="85"/>
    </row>
    <row r="434">
      <c r="A434" s="91"/>
      <c r="B434" s="91"/>
      <c r="C434" s="91"/>
      <c r="D434" s="91"/>
      <c r="E434" s="78"/>
      <c r="F434" s="15"/>
      <c r="G434" s="15"/>
      <c r="H434" s="91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  <c r="BI434" s="15"/>
      <c r="BJ434" s="15"/>
      <c r="BK434" s="15"/>
      <c r="BL434" s="15"/>
      <c r="BM434" s="15"/>
      <c r="BN434" s="92"/>
      <c r="BO434" s="92"/>
      <c r="BP434" s="92"/>
      <c r="BQ434" s="92"/>
      <c r="BR434" s="92"/>
      <c r="BS434" s="92"/>
      <c r="BT434" s="92"/>
      <c r="BU434" s="92"/>
      <c r="BV434" s="92"/>
      <c r="BW434" s="92"/>
      <c r="BX434" s="92"/>
      <c r="BY434" s="92"/>
      <c r="BZ434" s="92"/>
      <c r="CA434" s="92"/>
      <c r="CB434" s="92"/>
      <c r="CC434" s="92"/>
      <c r="CD434" s="92"/>
      <c r="CE434" s="92"/>
      <c r="CF434" s="92"/>
      <c r="CG434" s="92"/>
      <c r="CH434" s="92"/>
      <c r="CI434" s="92"/>
      <c r="CJ434" s="92"/>
      <c r="CK434" s="92"/>
      <c r="CL434" s="92"/>
      <c r="CM434" s="92"/>
      <c r="CN434" s="92"/>
      <c r="CO434" s="92"/>
      <c r="CP434" s="92"/>
      <c r="CQ434" s="92"/>
      <c r="CR434" s="92"/>
      <c r="CS434" s="92"/>
      <c r="CT434" s="92"/>
      <c r="CU434" s="92"/>
      <c r="CV434" s="92"/>
      <c r="CW434" s="92"/>
      <c r="CX434" s="85"/>
      <c r="CY434" s="85"/>
      <c r="CZ434" s="85"/>
      <c r="DA434" s="85"/>
      <c r="DB434" s="85"/>
      <c r="DC434" s="85"/>
      <c r="DD434" s="85"/>
      <c r="DE434" s="85"/>
      <c r="DF434" s="85"/>
      <c r="DG434" s="85"/>
      <c r="DH434" s="85"/>
      <c r="DI434" s="85"/>
      <c r="DJ434" s="85"/>
      <c r="DK434" s="85"/>
      <c r="DL434" s="85"/>
      <c r="DM434" s="85"/>
      <c r="DN434" s="85"/>
      <c r="DO434" s="85"/>
      <c r="DP434" s="85"/>
    </row>
    <row r="435">
      <c r="A435" s="91"/>
      <c r="B435" s="91"/>
      <c r="C435" s="91"/>
      <c r="D435" s="91"/>
      <c r="E435" s="78"/>
      <c r="F435" s="15"/>
      <c r="G435" s="15"/>
      <c r="H435" s="91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92"/>
      <c r="BO435" s="92"/>
      <c r="BP435" s="92"/>
      <c r="BQ435" s="92"/>
      <c r="BR435" s="92"/>
      <c r="BS435" s="92"/>
      <c r="BT435" s="92"/>
      <c r="BU435" s="92"/>
      <c r="BV435" s="92"/>
      <c r="BW435" s="92"/>
      <c r="BX435" s="92"/>
      <c r="BY435" s="92"/>
      <c r="BZ435" s="92"/>
      <c r="CA435" s="92"/>
      <c r="CB435" s="92"/>
      <c r="CC435" s="92"/>
      <c r="CD435" s="92"/>
      <c r="CE435" s="92"/>
      <c r="CF435" s="92"/>
      <c r="CG435" s="92"/>
      <c r="CH435" s="92"/>
      <c r="CI435" s="92"/>
      <c r="CJ435" s="92"/>
      <c r="CK435" s="92"/>
      <c r="CL435" s="92"/>
      <c r="CM435" s="92"/>
      <c r="CN435" s="92"/>
      <c r="CO435" s="92"/>
      <c r="CP435" s="92"/>
      <c r="CQ435" s="92"/>
      <c r="CR435" s="92"/>
      <c r="CS435" s="92"/>
      <c r="CT435" s="92"/>
      <c r="CU435" s="92"/>
      <c r="CV435" s="92"/>
      <c r="CW435" s="92"/>
      <c r="CX435" s="85"/>
      <c r="CY435" s="85"/>
      <c r="CZ435" s="85"/>
      <c r="DA435" s="85"/>
      <c r="DB435" s="85"/>
      <c r="DC435" s="85"/>
      <c r="DD435" s="85"/>
      <c r="DE435" s="85"/>
      <c r="DF435" s="85"/>
      <c r="DG435" s="85"/>
      <c r="DH435" s="85"/>
      <c r="DI435" s="85"/>
      <c r="DJ435" s="85"/>
      <c r="DK435" s="85"/>
      <c r="DL435" s="85"/>
      <c r="DM435" s="85"/>
      <c r="DN435" s="85"/>
      <c r="DO435" s="85"/>
      <c r="DP435" s="85"/>
    </row>
    <row r="436">
      <c r="A436" s="91"/>
      <c r="B436" s="91"/>
      <c r="C436" s="91"/>
      <c r="D436" s="91"/>
      <c r="E436" s="78"/>
      <c r="F436" s="15"/>
      <c r="G436" s="15"/>
      <c r="H436" s="91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  <c r="BJ436" s="15"/>
      <c r="BK436" s="15"/>
      <c r="BL436" s="15"/>
      <c r="BM436" s="15"/>
      <c r="BN436" s="92"/>
      <c r="BO436" s="92"/>
      <c r="BP436" s="92"/>
      <c r="BQ436" s="92"/>
      <c r="BR436" s="92"/>
      <c r="BS436" s="92"/>
      <c r="BT436" s="92"/>
      <c r="BU436" s="92"/>
      <c r="BV436" s="92"/>
      <c r="BW436" s="92"/>
      <c r="BX436" s="92"/>
      <c r="BY436" s="92"/>
      <c r="BZ436" s="92"/>
      <c r="CA436" s="92"/>
      <c r="CB436" s="92"/>
      <c r="CC436" s="92"/>
      <c r="CD436" s="92"/>
      <c r="CE436" s="92"/>
      <c r="CF436" s="92"/>
      <c r="CG436" s="92"/>
      <c r="CH436" s="92"/>
      <c r="CI436" s="92"/>
      <c r="CJ436" s="92"/>
      <c r="CK436" s="92"/>
      <c r="CL436" s="92"/>
      <c r="CM436" s="92"/>
      <c r="CN436" s="92"/>
      <c r="CO436" s="92"/>
      <c r="CP436" s="92"/>
      <c r="CQ436" s="92"/>
      <c r="CR436" s="92"/>
      <c r="CS436" s="92"/>
      <c r="CT436" s="92"/>
      <c r="CU436" s="92"/>
      <c r="CV436" s="92"/>
      <c r="CW436" s="92"/>
      <c r="CX436" s="85"/>
      <c r="CY436" s="85"/>
      <c r="CZ436" s="85"/>
      <c r="DA436" s="85"/>
      <c r="DB436" s="85"/>
      <c r="DC436" s="85"/>
      <c r="DD436" s="85"/>
      <c r="DE436" s="85"/>
      <c r="DF436" s="85"/>
      <c r="DG436" s="85"/>
      <c r="DH436" s="85"/>
      <c r="DI436" s="85"/>
      <c r="DJ436" s="85"/>
      <c r="DK436" s="85"/>
      <c r="DL436" s="85"/>
      <c r="DM436" s="85"/>
      <c r="DN436" s="85"/>
      <c r="DO436" s="85"/>
      <c r="DP436" s="85"/>
    </row>
    <row r="437">
      <c r="A437" s="91"/>
      <c r="B437" s="91"/>
      <c r="C437" s="91"/>
      <c r="D437" s="91"/>
      <c r="E437" s="78"/>
      <c r="F437" s="15"/>
      <c r="G437" s="15"/>
      <c r="H437" s="91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92"/>
      <c r="BO437" s="92"/>
      <c r="BP437" s="92"/>
      <c r="BQ437" s="92"/>
      <c r="BR437" s="92"/>
      <c r="BS437" s="92"/>
      <c r="BT437" s="92"/>
      <c r="BU437" s="92"/>
      <c r="BV437" s="92"/>
      <c r="BW437" s="92"/>
      <c r="BX437" s="92"/>
      <c r="BY437" s="92"/>
      <c r="BZ437" s="92"/>
      <c r="CA437" s="92"/>
      <c r="CB437" s="92"/>
      <c r="CC437" s="92"/>
      <c r="CD437" s="92"/>
      <c r="CE437" s="92"/>
      <c r="CF437" s="92"/>
      <c r="CG437" s="92"/>
      <c r="CH437" s="92"/>
      <c r="CI437" s="92"/>
      <c r="CJ437" s="92"/>
      <c r="CK437" s="92"/>
      <c r="CL437" s="92"/>
      <c r="CM437" s="92"/>
      <c r="CN437" s="92"/>
      <c r="CO437" s="92"/>
      <c r="CP437" s="92"/>
      <c r="CQ437" s="92"/>
      <c r="CR437" s="92"/>
      <c r="CS437" s="92"/>
      <c r="CT437" s="92"/>
      <c r="CU437" s="92"/>
      <c r="CV437" s="92"/>
      <c r="CW437" s="92"/>
      <c r="CX437" s="85"/>
      <c r="CY437" s="85"/>
      <c r="CZ437" s="85"/>
      <c r="DA437" s="85"/>
      <c r="DB437" s="85"/>
      <c r="DC437" s="85"/>
      <c r="DD437" s="85"/>
      <c r="DE437" s="85"/>
      <c r="DF437" s="85"/>
      <c r="DG437" s="85"/>
      <c r="DH437" s="85"/>
      <c r="DI437" s="85"/>
      <c r="DJ437" s="85"/>
      <c r="DK437" s="85"/>
      <c r="DL437" s="85"/>
      <c r="DM437" s="85"/>
      <c r="DN437" s="85"/>
      <c r="DO437" s="85"/>
      <c r="DP437" s="85"/>
    </row>
    <row r="438">
      <c r="A438" s="91"/>
      <c r="B438" s="91"/>
      <c r="C438" s="91"/>
      <c r="D438" s="91"/>
      <c r="E438" s="78"/>
      <c r="F438" s="15"/>
      <c r="G438" s="15"/>
      <c r="H438" s="91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  <c r="BG438" s="15"/>
      <c r="BH438" s="15"/>
      <c r="BI438" s="15"/>
      <c r="BJ438" s="15"/>
      <c r="BK438" s="15"/>
      <c r="BL438" s="15"/>
      <c r="BM438" s="15"/>
      <c r="BN438" s="92"/>
      <c r="BO438" s="92"/>
      <c r="BP438" s="92"/>
      <c r="BQ438" s="92"/>
      <c r="BR438" s="92"/>
      <c r="BS438" s="92"/>
      <c r="BT438" s="92"/>
      <c r="BU438" s="92"/>
      <c r="BV438" s="92"/>
      <c r="BW438" s="92"/>
      <c r="BX438" s="92"/>
      <c r="BY438" s="92"/>
      <c r="BZ438" s="92"/>
      <c r="CA438" s="92"/>
      <c r="CB438" s="92"/>
      <c r="CC438" s="92"/>
      <c r="CD438" s="92"/>
      <c r="CE438" s="92"/>
      <c r="CF438" s="92"/>
      <c r="CG438" s="92"/>
      <c r="CH438" s="92"/>
      <c r="CI438" s="92"/>
      <c r="CJ438" s="92"/>
      <c r="CK438" s="92"/>
      <c r="CL438" s="92"/>
      <c r="CM438" s="92"/>
      <c r="CN438" s="92"/>
      <c r="CO438" s="92"/>
      <c r="CP438" s="92"/>
      <c r="CQ438" s="92"/>
      <c r="CR438" s="92"/>
      <c r="CS438" s="92"/>
      <c r="CT438" s="92"/>
      <c r="CU438" s="92"/>
      <c r="CV438" s="92"/>
      <c r="CW438" s="92"/>
      <c r="CX438" s="85"/>
      <c r="CY438" s="85"/>
      <c r="CZ438" s="85"/>
      <c r="DA438" s="85"/>
      <c r="DB438" s="85"/>
      <c r="DC438" s="85"/>
      <c r="DD438" s="85"/>
      <c r="DE438" s="85"/>
      <c r="DF438" s="85"/>
      <c r="DG438" s="85"/>
      <c r="DH438" s="85"/>
      <c r="DI438" s="85"/>
      <c r="DJ438" s="85"/>
      <c r="DK438" s="85"/>
      <c r="DL438" s="85"/>
      <c r="DM438" s="85"/>
      <c r="DN438" s="85"/>
      <c r="DO438" s="85"/>
      <c r="DP438" s="85"/>
    </row>
    <row r="439">
      <c r="A439" s="91"/>
      <c r="B439" s="91"/>
      <c r="C439" s="91"/>
      <c r="D439" s="91"/>
      <c r="E439" s="78"/>
      <c r="F439" s="15"/>
      <c r="G439" s="15"/>
      <c r="H439" s="91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92"/>
      <c r="BO439" s="92"/>
      <c r="BP439" s="92"/>
      <c r="BQ439" s="92"/>
      <c r="BR439" s="92"/>
      <c r="BS439" s="92"/>
      <c r="BT439" s="92"/>
      <c r="BU439" s="92"/>
      <c r="BV439" s="92"/>
      <c r="BW439" s="92"/>
      <c r="BX439" s="92"/>
      <c r="BY439" s="92"/>
      <c r="BZ439" s="92"/>
      <c r="CA439" s="92"/>
      <c r="CB439" s="92"/>
      <c r="CC439" s="92"/>
      <c r="CD439" s="92"/>
      <c r="CE439" s="92"/>
      <c r="CF439" s="92"/>
      <c r="CG439" s="92"/>
      <c r="CH439" s="92"/>
      <c r="CI439" s="92"/>
      <c r="CJ439" s="92"/>
      <c r="CK439" s="92"/>
      <c r="CL439" s="92"/>
      <c r="CM439" s="92"/>
      <c r="CN439" s="92"/>
      <c r="CO439" s="92"/>
      <c r="CP439" s="92"/>
      <c r="CQ439" s="92"/>
      <c r="CR439" s="92"/>
      <c r="CS439" s="92"/>
      <c r="CT439" s="92"/>
      <c r="CU439" s="92"/>
      <c r="CV439" s="92"/>
      <c r="CW439" s="92"/>
      <c r="CX439" s="85"/>
      <c r="CY439" s="85"/>
      <c r="CZ439" s="85"/>
      <c r="DA439" s="85"/>
      <c r="DB439" s="85"/>
      <c r="DC439" s="85"/>
      <c r="DD439" s="85"/>
      <c r="DE439" s="85"/>
      <c r="DF439" s="85"/>
      <c r="DG439" s="85"/>
      <c r="DH439" s="85"/>
      <c r="DI439" s="85"/>
      <c r="DJ439" s="85"/>
      <c r="DK439" s="85"/>
      <c r="DL439" s="85"/>
      <c r="DM439" s="85"/>
      <c r="DN439" s="85"/>
      <c r="DO439" s="85"/>
      <c r="DP439" s="85"/>
    </row>
    <row r="440">
      <c r="A440" s="91"/>
      <c r="B440" s="91"/>
      <c r="C440" s="91"/>
      <c r="D440" s="91"/>
      <c r="E440" s="78"/>
      <c r="F440" s="15"/>
      <c r="G440" s="15"/>
      <c r="H440" s="91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  <c r="BH440" s="15"/>
      <c r="BI440" s="15"/>
      <c r="BJ440" s="15"/>
      <c r="BK440" s="15"/>
      <c r="BL440" s="15"/>
      <c r="BM440" s="15"/>
      <c r="BN440" s="92"/>
      <c r="BO440" s="92"/>
      <c r="BP440" s="92"/>
      <c r="BQ440" s="92"/>
      <c r="BR440" s="92"/>
      <c r="BS440" s="92"/>
      <c r="BT440" s="92"/>
      <c r="BU440" s="92"/>
      <c r="BV440" s="92"/>
      <c r="BW440" s="92"/>
      <c r="BX440" s="92"/>
      <c r="BY440" s="92"/>
      <c r="BZ440" s="92"/>
      <c r="CA440" s="92"/>
      <c r="CB440" s="92"/>
      <c r="CC440" s="92"/>
      <c r="CD440" s="92"/>
      <c r="CE440" s="92"/>
      <c r="CF440" s="92"/>
      <c r="CG440" s="92"/>
      <c r="CH440" s="92"/>
      <c r="CI440" s="92"/>
      <c r="CJ440" s="92"/>
      <c r="CK440" s="92"/>
      <c r="CL440" s="92"/>
      <c r="CM440" s="92"/>
      <c r="CN440" s="92"/>
      <c r="CO440" s="92"/>
      <c r="CP440" s="92"/>
      <c r="CQ440" s="92"/>
      <c r="CR440" s="92"/>
      <c r="CS440" s="92"/>
      <c r="CT440" s="92"/>
      <c r="CU440" s="92"/>
      <c r="CV440" s="92"/>
      <c r="CW440" s="92"/>
      <c r="CX440" s="85"/>
      <c r="CY440" s="85"/>
      <c r="CZ440" s="85"/>
      <c r="DA440" s="85"/>
      <c r="DB440" s="85"/>
      <c r="DC440" s="85"/>
      <c r="DD440" s="85"/>
      <c r="DE440" s="85"/>
      <c r="DF440" s="85"/>
      <c r="DG440" s="85"/>
      <c r="DH440" s="85"/>
      <c r="DI440" s="85"/>
      <c r="DJ440" s="85"/>
      <c r="DK440" s="85"/>
      <c r="DL440" s="85"/>
      <c r="DM440" s="85"/>
      <c r="DN440" s="85"/>
      <c r="DO440" s="85"/>
      <c r="DP440" s="85"/>
    </row>
    <row r="441">
      <c r="A441" s="91"/>
      <c r="B441" s="91"/>
      <c r="C441" s="91"/>
      <c r="D441" s="91"/>
      <c r="E441" s="78"/>
      <c r="F441" s="15"/>
      <c r="G441" s="15"/>
      <c r="H441" s="91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92"/>
      <c r="BO441" s="92"/>
      <c r="BP441" s="92"/>
      <c r="BQ441" s="92"/>
      <c r="BR441" s="92"/>
      <c r="BS441" s="92"/>
      <c r="BT441" s="92"/>
      <c r="BU441" s="92"/>
      <c r="BV441" s="92"/>
      <c r="BW441" s="92"/>
      <c r="BX441" s="92"/>
      <c r="BY441" s="92"/>
      <c r="BZ441" s="92"/>
      <c r="CA441" s="92"/>
      <c r="CB441" s="92"/>
      <c r="CC441" s="92"/>
      <c r="CD441" s="92"/>
      <c r="CE441" s="92"/>
      <c r="CF441" s="92"/>
      <c r="CG441" s="92"/>
      <c r="CH441" s="92"/>
      <c r="CI441" s="92"/>
      <c r="CJ441" s="92"/>
      <c r="CK441" s="92"/>
      <c r="CL441" s="92"/>
      <c r="CM441" s="92"/>
      <c r="CN441" s="92"/>
      <c r="CO441" s="92"/>
      <c r="CP441" s="92"/>
      <c r="CQ441" s="92"/>
      <c r="CR441" s="92"/>
      <c r="CS441" s="92"/>
      <c r="CT441" s="92"/>
      <c r="CU441" s="92"/>
      <c r="CV441" s="92"/>
      <c r="CW441" s="92"/>
      <c r="CX441" s="85"/>
      <c r="CY441" s="85"/>
      <c r="CZ441" s="85"/>
      <c r="DA441" s="85"/>
      <c r="DB441" s="85"/>
      <c r="DC441" s="85"/>
      <c r="DD441" s="85"/>
      <c r="DE441" s="85"/>
      <c r="DF441" s="85"/>
      <c r="DG441" s="85"/>
      <c r="DH441" s="85"/>
      <c r="DI441" s="85"/>
      <c r="DJ441" s="85"/>
      <c r="DK441" s="85"/>
      <c r="DL441" s="85"/>
      <c r="DM441" s="85"/>
      <c r="DN441" s="85"/>
      <c r="DO441" s="85"/>
      <c r="DP441" s="85"/>
    </row>
    <row r="442">
      <c r="A442" s="91"/>
      <c r="B442" s="91"/>
      <c r="C442" s="91"/>
      <c r="D442" s="91"/>
      <c r="E442" s="78"/>
      <c r="F442" s="15"/>
      <c r="G442" s="15"/>
      <c r="H442" s="91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15"/>
      <c r="BH442" s="15"/>
      <c r="BI442" s="15"/>
      <c r="BJ442" s="15"/>
      <c r="BK442" s="15"/>
      <c r="BL442" s="15"/>
      <c r="BM442" s="15"/>
      <c r="BN442" s="92"/>
      <c r="BO442" s="92"/>
      <c r="BP442" s="92"/>
      <c r="BQ442" s="92"/>
      <c r="BR442" s="92"/>
      <c r="BS442" s="92"/>
      <c r="BT442" s="92"/>
      <c r="BU442" s="92"/>
      <c r="BV442" s="92"/>
      <c r="BW442" s="92"/>
      <c r="BX442" s="92"/>
      <c r="BY442" s="92"/>
      <c r="BZ442" s="92"/>
      <c r="CA442" s="92"/>
      <c r="CB442" s="92"/>
      <c r="CC442" s="92"/>
      <c r="CD442" s="92"/>
      <c r="CE442" s="92"/>
      <c r="CF442" s="92"/>
      <c r="CG442" s="92"/>
      <c r="CH442" s="92"/>
      <c r="CI442" s="92"/>
      <c r="CJ442" s="92"/>
      <c r="CK442" s="92"/>
      <c r="CL442" s="92"/>
      <c r="CM442" s="92"/>
      <c r="CN442" s="92"/>
      <c r="CO442" s="92"/>
      <c r="CP442" s="92"/>
      <c r="CQ442" s="92"/>
      <c r="CR442" s="92"/>
      <c r="CS442" s="92"/>
      <c r="CT442" s="92"/>
      <c r="CU442" s="92"/>
      <c r="CV442" s="92"/>
      <c r="CW442" s="92"/>
      <c r="CX442" s="85"/>
      <c r="CY442" s="85"/>
      <c r="CZ442" s="85"/>
      <c r="DA442" s="85"/>
      <c r="DB442" s="85"/>
      <c r="DC442" s="85"/>
      <c r="DD442" s="85"/>
      <c r="DE442" s="85"/>
      <c r="DF442" s="85"/>
      <c r="DG442" s="85"/>
      <c r="DH442" s="85"/>
      <c r="DI442" s="85"/>
      <c r="DJ442" s="85"/>
      <c r="DK442" s="85"/>
      <c r="DL442" s="85"/>
      <c r="DM442" s="85"/>
      <c r="DN442" s="85"/>
      <c r="DO442" s="85"/>
      <c r="DP442" s="85"/>
    </row>
    <row r="443">
      <c r="A443" s="91"/>
      <c r="B443" s="91"/>
      <c r="C443" s="91"/>
      <c r="D443" s="91"/>
      <c r="E443" s="78"/>
      <c r="F443" s="15"/>
      <c r="G443" s="15"/>
      <c r="H443" s="91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92"/>
      <c r="BO443" s="92"/>
      <c r="BP443" s="92"/>
      <c r="BQ443" s="92"/>
      <c r="BR443" s="92"/>
      <c r="BS443" s="92"/>
      <c r="BT443" s="92"/>
      <c r="BU443" s="92"/>
      <c r="BV443" s="92"/>
      <c r="BW443" s="92"/>
      <c r="BX443" s="92"/>
      <c r="BY443" s="92"/>
      <c r="BZ443" s="92"/>
      <c r="CA443" s="92"/>
      <c r="CB443" s="92"/>
      <c r="CC443" s="92"/>
      <c r="CD443" s="92"/>
      <c r="CE443" s="92"/>
      <c r="CF443" s="92"/>
      <c r="CG443" s="92"/>
      <c r="CH443" s="92"/>
      <c r="CI443" s="92"/>
      <c r="CJ443" s="92"/>
      <c r="CK443" s="92"/>
      <c r="CL443" s="92"/>
      <c r="CM443" s="92"/>
      <c r="CN443" s="92"/>
      <c r="CO443" s="92"/>
      <c r="CP443" s="92"/>
      <c r="CQ443" s="92"/>
      <c r="CR443" s="92"/>
      <c r="CS443" s="92"/>
      <c r="CT443" s="92"/>
      <c r="CU443" s="92"/>
      <c r="CV443" s="92"/>
      <c r="CW443" s="92"/>
      <c r="CX443" s="85"/>
      <c r="CY443" s="85"/>
      <c r="CZ443" s="85"/>
      <c r="DA443" s="85"/>
      <c r="DB443" s="85"/>
      <c r="DC443" s="85"/>
      <c r="DD443" s="85"/>
      <c r="DE443" s="85"/>
      <c r="DF443" s="85"/>
      <c r="DG443" s="85"/>
      <c r="DH443" s="85"/>
      <c r="DI443" s="85"/>
      <c r="DJ443" s="85"/>
      <c r="DK443" s="85"/>
      <c r="DL443" s="85"/>
      <c r="DM443" s="85"/>
      <c r="DN443" s="85"/>
      <c r="DO443" s="85"/>
      <c r="DP443" s="85"/>
    </row>
    <row r="444">
      <c r="A444" s="91"/>
      <c r="B444" s="91"/>
      <c r="C444" s="91"/>
      <c r="D444" s="91"/>
      <c r="E444" s="78"/>
      <c r="F444" s="15"/>
      <c r="G444" s="15"/>
      <c r="H444" s="91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15"/>
      <c r="BH444" s="15"/>
      <c r="BI444" s="15"/>
      <c r="BJ444" s="15"/>
      <c r="BK444" s="15"/>
      <c r="BL444" s="15"/>
      <c r="BM444" s="15"/>
      <c r="BN444" s="92"/>
      <c r="BO444" s="92"/>
      <c r="BP444" s="92"/>
      <c r="BQ444" s="92"/>
      <c r="BR444" s="92"/>
      <c r="BS444" s="92"/>
      <c r="BT444" s="92"/>
      <c r="BU444" s="92"/>
      <c r="BV444" s="92"/>
      <c r="BW444" s="92"/>
      <c r="BX444" s="92"/>
      <c r="BY444" s="92"/>
      <c r="BZ444" s="92"/>
      <c r="CA444" s="92"/>
      <c r="CB444" s="92"/>
      <c r="CC444" s="92"/>
      <c r="CD444" s="92"/>
      <c r="CE444" s="92"/>
      <c r="CF444" s="92"/>
      <c r="CG444" s="92"/>
      <c r="CH444" s="92"/>
      <c r="CI444" s="92"/>
      <c r="CJ444" s="92"/>
      <c r="CK444" s="92"/>
      <c r="CL444" s="92"/>
      <c r="CM444" s="92"/>
      <c r="CN444" s="92"/>
      <c r="CO444" s="92"/>
      <c r="CP444" s="92"/>
      <c r="CQ444" s="92"/>
      <c r="CR444" s="92"/>
      <c r="CS444" s="92"/>
      <c r="CT444" s="92"/>
      <c r="CU444" s="92"/>
      <c r="CV444" s="92"/>
      <c r="CW444" s="92"/>
      <c r="CX444" s="85"/>
      <c r="CY444" s="85"/>
      <c r="CZ444" s="85"/>
      <c r="DA444" s="85"/>
      <c r="DB444" s="85"/>
      <c r="DC444" s="85"/>
      <c r="DD444" s="85"/>
      <c r="DE444" s="85"/>
      <c r="DF444" s="85"/>
      <c r="DG444" s="85"/>
      <c r="DH444" s="85"/>
      <c r="DI444" s="85"/>
      <c r="DJ444" s="85"/>
      <c r="DK444" s="85"/>
      <c r="DL444" s="85"/>
      <c r="DM444" s="85"/>
      <c r="DN444" s="85"/>
      <c r="DO444" s="85"/>
      <c r="DP444" s="85"/>
    </row>
    <row r="445">
      <c r="A445" s="91"/>
      <c r="B445" s="91"/>
      <c r="C445" s="91"/>
      <c r="D445" s="91"/>
      <c r="E445" s="78"/>
      <c r="F445" s="15"/>
      <c r="G445" s="15"/>
      <c r="H445" s="91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92"/>
      <c r="BO445" s="92"/>
      <c r="BP445" s="92"/>
      <c r="BQ445" s="92"/>
      <c r="BR445" s="92"/>
      <c r="BS445" s="92"/>
      <c r="BT445" s="92"/>
      <c r="BU445" s="92"/>
      <c r="BV445" s="92"/>
      <c r="BW445" s="92"/>
      <c r="BX445" s="92"/>
      <c r="BY445" s="92"/>
      <c r="BZ445" s="92"/>
      <c r="CA445" s="92"/>
      <c r="CB445" s="92"/>
      <c r="CC445" s="92"/>
      <c r="CD445" s="92"/>
      <c r="CE445" s="92"/>
      <c r="CF445" s="92"/>
      <c r="CG445" s="92"/>
      <c r="CH445" s="92"/>
      <c r="CI445" s="92"/>
      <c r="CJ445" s="92"/>
      <c r="CK445" s="92"/>
      <c r="CL445" s="92"/>
      <c r="CM445" s="92"/>
      <c r="CN445" s="92"/>
      <c r="CO445" s="92"/>
      <c r="CP445" s="92"/>
      <c r="CQ445" s="92"/>
      <c r="CR445" s="92"/>
      <c r="CS445" s="92"/>
      <c r="CT445" s="92"/>
      <c r="CU445" s="92"/>
      <c r="CV445" s="92"/>
      <c r="CW445" s="92"/>
      <c r="CX445" s="85"/>
      <c r="CY445" s="85"/>
      <c r="CZ445" s="85"/>
      <c r="DA445" s="85"/>
      <c r="DB445" s="85"/>
      <c r="DC445" s="85"/>
      <c r="DD445" s="85"/>
      <c r="DE445" s="85"/>
      <c r="DF445" s="85"/>
      <c r="DG445" s="85"/>
      <c r="DH445" s="85"/>
      <c r="DI445" s="85"/>
      <c r="DJ445" s="85"/>
      <c r="DK445" s="85"/>
      <c r="DL445" s="85"/>
      <c r="DM445" s="85"/>
      <c r="DN445" s="85"/>
      <c r="DO445" s="85"/>
      <c r="DP445" s="85"/>
    </row>
    <row r="446">
      <c r="A446" s="91"/>
      <c r="B446" s="91"/>
      <c r="C446" s="91"/>
      <c r="D446" s="91"/>
      <c r="E446" s="78"/>
      <c r="F446" s="15"/>
      <c r="G446" s="15"/>
      <c r="H446" s="91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  <c r="BG446" s="15"/>
      <c r="BH446" s="15"/>
      <c r="BI446" s="15"/>
      <c r="BJ446" s="15"/>
      <c r="BK446" s="15"/>
      <c r="BL446" s="15"/>
      <c r="BM446" s="15"/>
      <c r="BN446" s="92"/>
      <c r="BO446" s="92"/>
      <c r="BP446" s="92"/>
      <c r="BQ446" s="92"/>
      <c r="BR446" s="92"/>
      <c r="BS446" s="92"/>
      <c r="BT446" s="92"/>
      <c r="BU446" s="92"/>
      <c r="BV446" s="92"/>
      <c r="BW446" s="92"/>
      <c r="BX446" s="92"/>
      <c r="BY446" s="92"/>
      <c r="BZ446" s="92"/>
      <c r="CA446" s="92"/>
      <c r="CB446" s="92"/>
      <c r="CC446" s="92"/>
      <c r="CD446" s="92"/>
      <c r="CE446" s="92"/>
      <c r="CF446" s="92"/>
      <c r="CG446" s="92"/>
      <c r="CH446" s="92"/>
      <c r="CI446" s="92"/>
      <c r="CJ446" s="92"/>
      <c r="CK446" s="92"/>
      <c r="CL446" s="92"/>
      <c r="CM446" s="92"/>
      <c r="CN446" s="92"/>
      <c r="CO446" s="92"/>
      <c r="CP446" s="92"/>
      <c r="CQ446" s="92"/>
      <c r="CR446" s="92"/>
      <c r="CS446" s="92"/>
      <c r="CT446" s="92"/>
      <c r="CU446" s="92"/>
      <c r="CV446" s="92"/>
      <c r="CW446" s="92"/>
      <c r="CX446" s="85"/>
      <c r="CY446" s="85"/>
      <c r="CZ446" s="85"/>
      <c r="DA446" s="85"/>
      <c r="DB446" s="85"/>
      <c r="DC446" s="85"/>
      <c r="DD446" s="85"/>
      <c r="DE446" s="85"/>
      <c r="DF446" s="85"/>
      <c r="DG446" s="85"/>
      <c r="DH446" s="85"/>
      <c r="DI446" s="85"/>
      <c r="DJ446" s="85"/>
      <c r="DK446" s="85"/>
      <c r="DL446" s="85"/>
      <c r="DM446" s="85"/>
      <c r="DN446" s="85"/>
      <c r="DO446" s="85"/>
      <c r="DP446" s="85"/>
    </row>
    <row r="447">
      <c r="A447" s="91"/>
      <c r="B447" s="91"/>
      <c r="C447" s="91"/>
      <c r="D447" s="91"/>
      <c r="E447" s="78"/>
      <c r="F447" s="15"/>
      <c r="G447" s="15"/>
      <c r="H447" s="91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92"/>
      <c r="BO447" s="92"/>
      <c r="BP447" s="92"/>
      <c r="BQ447" s="92"/>
      <c r="BR447" s="92"/>
      <c r="BS447" s="92"/>
      <c r="BT447" s="92"/>
      <c r="BU447" s="92"/>
      <c r="BV447" s="92"/>
      <c r="BW447" s="92"/>
      <c r="BX447" s="92"/>
      <c r="BY447" s="92"/>
      <c r="BZ447" s="92"/>
      <c r="CA447" s="92"/>
      <c r="CB447" s="92"/>
      <c r="CC447" s="92"/>
      <c r="CD447" s="92"/>
      <c r="CE447" s="92"/>
      <c r="CF447" s="92"/>
      <c r="CG447" s="92"/>
      <c r="CH447" s="92"/>
      <c r="CI447" s="92"/>
      <c r="CJ447" s="92"/>
      <c r="CK447" s="92"/>
      <c r="CL447" s="92"/>
      <c r="CM447" s="92"/>
      <c r="CN447" s="92"/>
      <c r="CO447" s="92"/>
      <c r="CP447" s="92"/>
      <c r="CQ447" s="92"/>
      <c r="CR447" s="92"/>
      <c r="CS447" s="92"/>
      <c r="CT447" s="92"/>
      <c r="CU447" s="92"/>
      <c r="CV447" s="92"/>
      <c r="CW447" s="92"/>
      <c r="CX447" s="85"/>
      <c r="CY447" s="85"/>
      <c r="CZ447" s="85"/>
      <c r="DA447" s="85"/>
      <c r="DB447" s="85"/>
      <c r="DC447" s="85"/>
      <c r="DD447" s="85"/>
      <c r="DE447" s="85"/>
      <c r="DF447" s="85"/>
      <c r="DG447" s="85"/>
      <c r="DH447" s="85"/>
      <c r="DI447" s="85"/>
      <c r="DJ447" s="85"/>
      <c r="DK447" s="85"/>
      <c r="DL447" s="85"/>
      <c r="DM447" s="85"/>
      <c r="DN447" s="85"/>
      <c r="DO447" s="85"/>
      <c r="DP447" s="85"/>
    </row>
    <row r="448">
      <c r="A448" s="91"/>
      <c r="B448" s="91"/>
      <c r="C448" s="91"/>
      <c r="D448" s="91"/>
      <c r="E448" s="78"/>
      <c r="F448" s="15"/>
      <c r="G448" s="15"/>
      <c r="H448" s="91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  <c r="BJ448" s="15"/>
      <c r="BK448" s="15"/>
      <c r="BL448" s="15"/>
      <c r="BM448" s="15"/>
      <c r="BN448" s="92"/>
      <c r="BO448" s="92"/>
      <c r="BP448" s="92"/>
      <c r="BQ448" s="92"/>
      <c r="BR448" s="92"/>
      <c r="BS448" s="92"/>
      <c r="BT448" s="92"/>
      <c r="BU448" s="92"/>
      <c r="BV448" s="92"/>
      <c r="BW448" s="92"/>
      <c r="BX448" s="92"/>
      <c r="BY448" s="92"/>
      <c r="BZ448" s="92"/>
      <c r="CA448" s="92"/>
      <c r="CB448" s="92"/>
      <c r="CC448" s="92"/>
      <c r="CD448" s="92"/>
      <c r="CE448" s="92"/>
      <c r="CF448" s="92"/>
      <c r="CG448" s="92"/>
      <c r="CH448" s="92"/>
      <c r="CI448" s="92"/>
      <c r="CJ448" s="92"/>
      <c r="CK448" s="92"/>
      <c r="CL448" s="92"/>
      <c r="CM448" s="92"/>
      <c r="CN448" s="92"/>
      <c r="CO448" s="92"/>
      <c r="CP448" s="92"/>
      <c r="CQ448" s="92"/>
      <c r="CR448" s="92"/>
      <c r="CS448" s="92"/>
      <c r="CT448" s="92"/>
      <c r="CU448" s="92"/>
      <c r="CV448" s="92"/>
      <c r="CW448" s="92"/>
      <c r="CX448" s="85"/>
      <c r="CY448" s="85"/>
      <c r="CZ448" s="85"/>
      <c r="DA448" s="85"/>
      <c r="DB448" s="85"/>
      <c r="DC448" s="85"/>
      <c r="DD448" s="85"/>
      <c r="DE448" s="85"/>
      <c r="DF448" s="85"/>
      <c r="DG448" s="85"/>
      <c r="DH448" s="85"/>
      <c r="DI448" s="85"/>
      <c r="DJ448" s="85"/>
      <c r="DK448" s="85"/>
      <c r="DL448" s="85"/>
      <c r="DM448" s="85"/>
      <c r="DN448" s="85"/>
      <c r="DO448" s="85"/>
      <c r="DP448" s="85"/>
    </row>
    <row r="449">
      <c r="A449" s="91"/>
      <c r="B449" s="91"/>
      <c r="C449" s="91"/>
      <c r="D449" s="91"/>
      <c r="E449" s="78"/>
      <c r="F449" s="15"/>
      <c r="G449" s="15"/>
      <c r="H449" s="91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92"/>
      <c r="BO449" s="92"/>
      <c r="BP449" s="92"/>
      <c r="BQ449" s="92"/>
      <c r="BR449" s="92"/>
      <c r="BS449" s="92"/>
      <c r="BT449" s="92"/>
      <c r="BU449" s="92"/>
      <c r="BV449" s="92"/>
      <c r="BW449" s="92"/>
      <c r="BX449" s="92"/>
      <c r="BY449" s="92"/>
      <c r="BZ449" s="92"/>
      <c r="CA449" s="92"/>
      <c r="CB449" s="92"/>
      <c r="CC449" s="92"/>
      <c r="CD449" s="92"/>
      <c r="CE449" s="92"/>
      <c r="CF449" s="92"/>
      <c r="CG449" s="92"/>
      <c r="CH449" s="92"/>
      <c r="CI449" s="92"/>
      <c r="CJ449" s="92"/>
      <c r="CK449" s="92"/>
      <c r="CL449" s="92"/>
      <c r="CM449" s="92"/>
      <c r="CN449" s="92"/>
      <c r="CO449" s="92"/>
      <c r="CP449" s="92"/>
      <c r="CQ449" s="92"/>
      <c r="CR449" s="92"/>
      <c r="CS449" s="92"/>
      <c r="CT449" s="92"/>
      <c r="CU449" s="92"/>
      <c r="CV449" s="92"/>
      <c r="CW449" s="92"/>
      <c r="CX449" s="85"/>
      <c r="CY449" s="85"/>
      <c r="CZ449" s="85"/>
      <c r="DA449" s="85"/>
      <c r="DB449" s="85"/>
      <c r="DC449" s="85"/>
      <c r="DD449" s="85"/>
      <c r="DE449" s="85"/>
      <c r="DF449" s="85"/>
      <c r="DG449" s="85"/>
      <c r="DH449" s="85"/>
      <c r="DI449" s="85"/>
      <c r="DJ449" s="85"/>
      <c r="DK449" s="85"/>
      <c r="DL449" s="85"/>
      <c r="DM449" s="85"/>
      <c r="DN449" s="85"/>
      <c r="DO449" s="85"/>
      <c r="DP449" s="85"/>
    </row>
    <row r="450">
      <c r="A450" s="91"/>
      <c r="B450" s="91"/>
      <c r="C450" s="91"/>
      <c r="D450" s="91"/>
      <c r="E450" s="78"/>
      <c r="F450" s="15"/>
      <c r="G450" s="15"/>
      <c r="H450" s="91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  <c r="BJ450" s="15"/>
      <c r="BK450" s="15"/>
      <c r="BL450" s="15"/>
      <c r="BM450" s="15"/>
      <c r="BN450" s="92"/>
      <c r="BO450" s="92"/>
      <c r="BP450" s="92"/>
      <c r="BQ450" s="92"/>
      <c r="BR450" s="92"/>
      <c r="BS450" s="92"/>
      <c r="BT450" s="92"/>
      <c r="BU450" s="92"/>
      <c r="BV450" s="92"/>
      <c r="BW450" s="92"/>
      <c r="BX450" s="92"/>
      <c r="BY450" s="92"/>
      <c r="BZ450" s="92"/>
      <c r="CA450" s="92"/>
      <c r="CB450" s="92"/>
      <c r="CC450" s="92"/>
      <c r="CD450" s="92"/>
      <c r="CE450" s="92"/>
      <c r="CF450" s="92"/>
      <c r="CG450" s="92"/>
      <c r="CH450" s="92"/>
      <c r="CI450" s="92"/>
      <c r="CJ450" s="92"/>
      <c r="CK450" s="92"/>
      <c r="CL450" s="92"/>
      <c r="CM450" s="92"/>
      <c r="CN450" s="92"/>
      <c r="CO450" s="92"/>
      <c r="CP450" s="92"/>
      <c r="CQ450" s="92"/>
      <c r="CR450" s="92"/>
      <c r="CS450" s="92"/>
      <c r="CT450" s="92"/>
      <c r="CU450" s="92"/>
      <c r="CV450" s="92"/>
      <c r="CW450" s="92"/>
      <c r="CX450" s="85"/>
      <c r="CY450" s="85"/>
      <c r="CZ450" s="85"/>
      <c r="DA450" s="85"/>
      <c r="DB450" s="85"/>
      <c r="DC450" s="85"/>
      <c r="DD450" s="85"/>
      <c r="DE450" s="85"/>
      <c r="DF450" s="85"/>
      <c r="DG450" s="85"/>
      <c r="DH450" s="85"/>
      <c r="DI450" s="85"/>
      <c r="DJ450" s="85"/>
      <c r="DK450" s="85"/>
      <c r="DL450" s="85"/>
      <c r="DM450" s="85"/>
      <c r="DN450" s="85"/>
      <c r="DO450" s="85"/>
      <c r="DP450" s="85"/>
    </row>
    <row r="451">
      <c r="A451" s="91"/>
      <c r="B451" s="91"/>
      <c r="C451" s="91"/>
      <c r="D451" s="91"/>
      <c r="E451" s="78"/>
      <c r="F451" s="15"/>
      <c r="G451" s="15"/>
      <c r="H451" s="91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92"/>
      <c r="BO451" s="92"/>
      <c r="BP451" s="92"/>
      <c r="BQ451" s="92"/>
      <c r="BR451" s="92"/>
      <c r="BS451" s="92"/>
      <c r="BT451" s="92"/>
      <c r="BU451" s="92"/>
      <c r="BV451" s="92"/>
      <c r="BW451" s="92"/>
      <c r="BX451" s="92"/>
      <c r="BY451" s="92"/>
      <c r="BZ451" s="92"/>
      <c r="CA451" s="92"/>
      <c r="CB451" s="92"/>
      <c r="CC451" s="92"/>
      <c r="CD451" s="92"/>
      <c r="CE451" s="92"/>
      <c r="CF451" s="92"/>
      <c r="CG451" s="92"/>
      <c r="CH451" s="92"/>
      <c r="CI451" s="92"/>
      <c r="CJ451" s="92"/>
      <c r="CK451" s="92"/>
      <c r="CL451" s="92"/>
      <c r="CM451" s="92"/>
      <c r="CN451" s="92"/>
      <c r="CO451" s="92"/>
      <c r="CP451" s="92"/>
      <c r="CQ451" s="92"/>
      <c r="CR451" s="92"/>
      <c r="CS451" s="92"/>
      <c r="CT451" s="92"/>
      <c r="CU451" s="92"/>
      <c r="CV451" s="92"/>
      <c r="CW451" s="92"/>
      <c r="CX451" s="85"/>
      <c r="CY451" s="85"/>
      <c r="CZ451" s="85"/>
      <c r="DA451" s="85"/>
      <c r="DB451" s="85"/>
      <c r="DC451" s="85"/>
      <c r="DD451" s="85"/>
      <c r="DE451" s="85"/>
      <c r="DF451" s="85"/>
      <c r="DG451" s="85"/>
      <c r="DH451" s="85"/>
      <c r="DI451" s="85"/>
      <c r="DJ451" s="85"/>
      <c r="DK451" s="85"/>
      <c r="DL451" s="85"/>
      <c r="DM451" s="85"/>
      <c r="DN451" s="85"/>
      <c r="DO451" s="85"/>
      <c r="DP451" s="85"/>
    </row>
    <row r="452">
      <c r="A452" s="91"/>
      <c r="B452" s="91"/>
      <c r="C452" s="91"/>
      <c r="D452" s="91"/>
      <c r="E452" s="78"/>
      <c r="F452" s="15"/>
      <c r="G452" s="15"/>
      <c r="H452" s="91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  <c r="BJ452" s="15"/>
      <c r="BK452" s="15"/>
      <c r="BL452" s="15"/>
      <c r="BM452" s="15"/>
      <c r="BN452" s="92"/>
      <c r="BO452" s="92"/>
      <c r="BP452" s="92"/>
      <c r="BQ452" s="92"/>
      <c r="BR452" s="92"/>
      <c r="BS452" s="92"/>
      <c r="BT452" s="92"/>
      <c r="BU452" s="92"/>
      <c r="BV452" s="92"/>
      <c r="BW452" s="92"/>
      <c r="BX452" s="92"/>
      <c r="BY452" s="92"/>
      <c r="BZ452" s="92"/>
      <c r="CA452" s="92"/>
      <c r="CB452" s="92"/>
      <c r="CC452" s="92"/>
      <c r="CD452" s="92"/>
      <c r="CE452" s="92"/>
      <c r="CF452" s="92"/>
      <c r="CG452" s="92"/>
      <c r="CH452" s="92"/>
      <c r="CI452" s="92"/>
      <c r="CJ452" s="92"/>
      <c r="CK452" s="92"/>
      <c r="CL452" s="92"/>
      <c r="CM452" s="92"/>
      <c r="CN452" s="92"/>
      <c r="CO452" s="92"/>
      <c r="CP452" s="92"/>
      <c r="CQ452" s="92"/>
      <c r="CR452" s="92"/>
      <c r="CS452" s="92"/>
      <c r="CT452" s="92"/>
      <c r="CU452" s="92"/>
      <c r="CV452" s="92"/>
      <c r="CW452" s="92"/>
      <c r="CX452" s="85"/>
      <c r="CY452" s="85"/>
      <c r="CZ452" s="85"/>
      <c r="DA452" s="85"/>
      <c r="DB452" s="85"/>
      <c r="DC452" s="85"/>
      <c r="DD452" s="85"/>
      <c r="DE452" s="85"/>
      <c r="DF452" s="85"/>
      <c r="DG452" s="85"/>
      <c r="DH452" s="85"/>
      <c r="DI452" s="85"/>
      <c r="DJ452" s="85"/>
      <c r="DK452" s="85"/>
      <c r="DL452" s="85"/>
      <c r="DM452" s="85"/>
      <c r="DN452" s="85"/>
      <c r="DO452" s="85"/>
      <c r="DP452" s="85"/>
    </row>
    <row r="453">
      <c r="A453" s="91"/>
      <c r="B453" s="91"/>
      <c r="C453" s="91"/>
      <c r="D453" s="91"/>
      <c r="E453" s="78"/>
      <c r="F453" s="15"/>
      <c r="G453" s="15"/>
      <c r="H453" s="91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92"/>
      <c r="BO453" s="92"/>
      <c r="BP453" s="92"/>
      <c r="BQ453" s="92"/>
      <c r="BR453" s="92"/>
      <c r="BS453" s="92"/>
      <c r="BT453" s="92"/>
      <c r="BU453" s="92"/>
      <c r="BV453" s="92"/>
      <c r="BW453" s="92"/>
      <c r="BX453" s="92"/>
      <c r="BY453" s="92"/>
      <c r="BZ453" s="92"/>
      <c r="CA453" s="92"/>
      <c r="CB453" s="92"/>
      <c r="CC453" s="92"/>
      <c r="CD453" s="92"/>
      <c r="CE453" s="92"/>
      <c r="CF453" s="92"/>
      <c r="CG453" s="92"/>
      <c r="CH453" s="92"/>
      <c r="CI453" s="92"/>
      <c r="CJ453" s="92"/>
      <c r="CK453" s="92"/>
      <c r="CL453" s="92"/>
      <c r="CM453" s="92"/>
      <c r="CN453" s="92"/>
      <c r="CO453" s="92"/>
      <c r="CP453" s="92"/>
      <c r="CQ453" s="92"/>
      <c r="CR453" s="92"/>
      <c r="CS453" s="92"/>
      <c r="CT453" s="92"/>
      <c r="CU453" s="92"/>
      <c r="CV453" s="92"/>
      <c r="CW453" s="92"/>
      <c r="CX453" s="85"/>
      <c r="CY453" s="85"/>
      <c r="CZ453" s="85"/>
      <c r="DA453" s="85"/>
      <c r="DB453" s="85"/>
      <c r="DC453" s="85"/>
      <c r="DD453" s="85"/>
      <c r="DE453" s="85"/>
      <c r="DF453" s="85"/>
      <c r="DG453" s="85"/>
      <c r="DH453" s="85"/>
      <c r="DI453" s="85"/>
      <c r="DJ453" s="85"/>
      <c r="DK453" s="85"/>
      <c r="DL453" s="85"/>
      <c r="DM453" s="85"/>
      <c r="DN453" s="85"/>
      <c r="DO453" s="85"/>
      <c r="DP453" s="85"/>
    </row>
    <row r="454">
      <c r="A454" s="91"/>
      <c r="B454" s="91"/>
      <c r="C454" s="91"/>
      <c r="D454" s="91"/>
      <c r="E454" s="78"/>
      <c r="F454" s="15"/>
      <c r="G454" s="15"/>
      <c r="H454" s="91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  <c r="BJ454" s="15"/>
      <c r="BK454" s="15"/>
      <c r="BL454" s="15"/>
      <c r="BM454" s="15"/>
      <c r="BN454" s="92"/>
      <c r="BO454" s="92"/>
      <c r="BP454" s="92"/>
      <c r="BQ454" s="92"/>
      <c r="BR454" s="92"/>
      <c r="BS454" s="92"/>
      <c r="BT454" s="92"/>
      <c r="BU454" s="92"/>
      <c r="BV454" s="92"/>
      <c r="BW454" s="92"/>
      <c r="BX454" s="92"/>
      <c r="BY454" s="92"/>
      <c r="BZ454" s="92"/>
      <c r="CA454" s="92"/>
      <c r="CB454" s="92"/>
      <c r="CC454" s="92"/>
      <c r="CD454" s="92"/>
      <c r="CE454" s="92"/>
      <c r="CF454" s="92"/>
      <c r="CG454" s="92"/>
      <c r="CH454" s="92"/>
      <c r="CI454" s="92"/>
      <c r="CJ454" s="92"/>
      <c r="CK454" s="92"/>
      <c r="CL454" s="92"/>
      <c r="CM454" s="92"/>
      <c r="CN454" s="92"/>
      <c r="CO454" s="92"/>
      <c r="CP454" s="92"/>
      <c r="CQ454" s="92"/>
      <c r="CR454" s="92"/>
      <c r="CS454" s="92"/>
      <c r="CT454" s="92"/>
      <c r="CU454" s="92"/>
      <c r="CV454" s="92"/>
      <c r="CW454" s="92"/>
      <c r="CX454" s="85"/>
      <c r="CY454" s="85"/>
      <c r="CZ454" s="85"/>
      <c r="DA454" s="85"/>
      <c r="DB454" s="85"/>
      <c r="DC454" s="85"/>
      <c r="DD454" s="85"/>
      <c r="DE454" s="85"/>
      <c r="DF454" s="85"/>
      <c r="DG454" s="85"/>
      <c r="DH454" s="85"/>
      <c r="DI454" s="85"/>
      <c r="DJ454" s="85"/>
      <c r="DK454" s="85"/>
      <c r="DL454" s="85"/>
      <c r="DM454" s="85"/>
      <c r="DN454" s="85"/>
      <c r="DO454" s="85"/>
      <c r="DP454" s="85"/>
    </row>
    <row r="455">
      <c r="A455" s="91"/>
      <c r="B455" s="91"/>
      <c r="C455" s="91"/>
      <c r="D455" s="91"/>
      <c r="E455" s="78"/>
      <c r="F455" s="15"/>
      <c r="G455" s="15"/>
      <c r="H455" s="91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92"/>
      <c r="BO455" s="92"/>
      <c r="BP455" s="92"/>
      <c r="BQ455" s="92"/>
      <c r="BR455" s="92"/>
      <c r="BS455" s="92"/>
      <c r="BT455" s="92"/>
      <c r="BU455" s="92"/>
      <c r="BV455" s="92"/>
      <c r="BW455" s="92"/>
      <c r="BX455" s="92"/>
      <c r="BY455" s="92"/>
      <c r="BZ455" s="92"/>
      <c r="CA455" s="92"/>
      <c r="CB455" s="92"/>
      <c r="CC455" s="92"/>
      <c r="CD455" s="92"/>
      <c r="CE455" s="92"/>
      <c r="CF455" s="92"/>
      <c r="CG455" s="92"/>
      <c r="CH455" s="92"/>
      <c r="CI455" s="92"/>
      <c r="CJ455" s="92"/>
      <c r="CK455" s="92"/>
      <c r="CL455" s="92"/>
      <c r="CM455" s="92"/>
      <c r="CN455" s="92"/>
      <c r="CO455" s="92"/>
      <c r="CP455" s="92"/>
      <c r="CQ455" s="92"/>
      <c r="CR455" s="92"/>
      <c r="CS455" s="92"/>
      <c r="CT455" s="92"/>
      <c r="CU455" s="92"/>
      <c r="CV455" s="92"/>
      <c r="CW455" s="92"/>
      <c r="CX455" s="85"/>
      <c r="CY455" s="85"/>
      <c r="CZ455" s="85"/>
      <c r="DA455" s="85"/>
      <c r="DB455" s="85"/>
      <c r="DC455" s="85"/>
      <c r="DD455" s="85"/>
      <c r="DE455" s="85"/>
      <c r="DF455" s="85"/>
      <c r="DG455" s="85"/>
      <c r="DH455" s="85"/>
      <c r="DI455" s="85"/>
      <c r="DJ455" s="85"/>
      <c r="DK455" s="85"/>
      <c r="DL455" s="85"/>
      <c r="DM455" s="85"/>
      <c r="DN455" s="85"/>
      <c r="DO455" s="85"/>
      <c r="DP455" s="85"/>
    </row>
    <row r="456">
      <c r="A456" s="91"/>
      <c r="B456" s="91"/>
      <c r="C456" s="91"/>
      <c r="D456" s="91"/>
      <c r="E456" s="78"/>
      <c r="F456" s="15"/>
      <c r="G456" s="15"/>
      <c r="H456" s="91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  <c r="BJ456" s="15"/>
      <c r="BK456" s="15"/>
      <c r="BL456" s="15"/>
      <c r="BM456" s="15"/>
      <c r="BN456" s="92"/>
      <c r="BO456" s="92"/>
      <c r="BP456" s="92"/>
      <c r="BQ456" s="92"/>
      <c r="BR456" s="92"/>
      <c r="BS456" s="92"/>
      <c r="BT456" s="92"/>
      <c r="BU456" s="92"/>
      <c r="BV456" s="92"/>
      <c r="BW456" s="92"/>
      <c r="BX456" s="92"/>
      <c r="BY456" s="92"/>
      <c r="BZ456" s="92"/>
      <c r="CA456" s="92"/>
      <c r="CB456" s="92"/>
      <c r="CC456" s="92"/>
      <c r="CD456" s="92"/>
      <c r="CE456" s="92"/>
      <c r="CF456" s="92"/>
      <c r="CG456" s="92"/>
      <c r="CH456" s="92"/>
      <c r="CI456" s="92"/>
      <c r="CJ456" s="92"/>
      <c r="CK456" s="92"/>
      <c r="CL456" s="92"/>
      <c r="CM456" s="92"/>
      <c r="CN456" s="92"/>
      <c r="CO456" s="92"/>
      <c r="CP456" s="92"/>
      <c r="CQ456" s="92"/>
      <c r="CR456" s="92"/>
      <c r="CS456" s="92"/>
      <c r="CT456" s="92"/>
      <c r="CU456" s="92"/>
      <c r="CV456" s="92"/>
      <c r="CW456" s="92"/>
      <c r="CX456" s="85"/>
      <c r="CY456" s="85"/>
      <c r="CZ456" s="85"/>
      <c r="DA456" s="85"/>
      <c r="DB456" s="85"/>
      <c r="DC456" s="85"/>
      <c r="DD456" s="85"/>
      <c r="DE456" s="85"/>
      <c r="DF456" s="85"/>
      <c r="DG456" s="85"/>
      <c r="DH456" s="85"/>
      <c r="DI456" s="85"/>
      <c r="DJ456" s="85"/>
      <c r="DK456" s="85"/>
      <c r="DL456" s="85"/>
      <c r="DM456" s="85"/>
      <c r="DN456" s="85"/>
      <c r="DO456" s="85"/>
      <c r="DP456" s="85"/>
    </row>
    <row r="457">
      <c r="A457" s="91"/>
      <c r="B457" s="91"/>
      <c r="C457" s="91"/>
      <c r="D457" s="91"/>
      <c r="E457" s="78"/>
      <c r="F457" s="15"/>
      <c r="G457" s="15"/>
      <c r="H457" s="91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92"/>
      <c r="BO457" s="92"/>
      <c r="BP457" s="92"/>
      <c r="BQ457" s="92"/>
      <c r="BR457" s="92"/>
      <c r="BS457" s="92"/>
      <c r="BT457" s="92"/>
      <c r="BU457" s="92"/>
      <c r="BV457" s="92"/>
      <c r="BW457" s="92"/>
      <c r="BX457" s="92"/>
      <c r="BY457" s="92"/>
      <c r="BZ457" s="92"/>
      <c r="CA457" s="92"/>
      <c r="CB457" s="92"/>
      <c r="CC457" s="92"/>
      <c r="CD457" s="92"/>
      <c r="CE457" s="92"/>
      <c r="CF457" s="92"/>
      <c r="CG457" s="92"/>
      <c r="CH457" s="92"/>
      <c r="CI457" s="92"/>
      <c r="CJ457" s="92"/>
      <c r="CK457" s="92"/>
      <c r="CL457" s="92"/>
      <c r="CM457" s="92"/>
      <c r="CN457" s="92"/>
      <c r="CO457" s="92"/>
      <c r="CP457" s="92"/>
      <c r="CQ457" s="92"/>
      <c r="CR457" s="92"/>
      <c r="CS457" s="92"/>
      <c r="CT457" s="92"/>
      <c r="CU457" s="92"/>
      <c r="CV457" s="92"/>
      <c r="CW457" s="92"/>
      <c r="CX457" s="85"/>
      <c r="CY457" s="85"/>
      <c r="CZ457" s="85"/>
      <c r="DA457" s="85"/>
      <c r="DB457" s="85"/>
      <c r="DC457" s="85"/>
      <c r="DD457" s="85"/>
      <c r="DE457" s="85"/>
      <c r="DF457" s="85"/>
      <c r="DG457" s="85"/>
      <c r="DH457" s="85"/>
      <c r="DI457" s="85"/>
      <c r="DJ457" s="85"/>
      <c r="DK457" s="85"/>
      <c r="DL457" s="85"/>
      <c r="DM457" s="85"/>
      <c r="DN457" s="85"/>
      <c r="DO457" s="85"/>
      <c r="DP457" s="85"/>
    </row>
    <row r="458">
      <c r="A458" s="91"/>
      <c r="B458" s="91"/>
      <c r="C458" s="91"/>
      <c r="D458" s="91"/>
      <c r="E458" s="78"/>
      <c r="F458" s="15"/>
      <c r="G458" s="15"/>
      <c r="H458" s="91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92"/>
      <c r="BO458" s="92"/>
      <c r="BP458" s="92"/>
      <c r="BQ458" s="92"/>
      <c r="BR458" s="92"/>
      <c r="BS458" s="92"/>
      <c r="BT458" s="92"/>
      <c r="BU458" s="92"/>
      <c r="BV458" s="92"/>
      <c r="BW458" s="92"/>
      <c r="BX458" s="92"/>
      <c r="BY458" s="92"/>
      <c r="BZ458" s="92"/>
      <c r="CA458" s="92"/>
      <c r="CB458" s="92"/>
      <c r="CC458" s="92"/>
      <c r="CD458" s="92"/>
      <c r="CE458" s="92"/>
      <c r="CF458" s="92"/>
      <c r="CG458" s="92"/>
      <c r="CH458" s="92"/>
      <c r="CI458" s="92"/>
      <c r="CJ458" s="92"/>
      <c r="CK458" s="92"/>
      <c r="CL458" s="92"/>
      <c r="CM458" s="92"/>
      <c r="CN458" s="92"/>
      <c r="CO458" s="92"/>
      <c r="CP458" s="92"/>
      <c r="CQ458" s="92"/>
      <c r="CR458" s="92"/>
      <c r="CS458" s="92"/>
      <c r="CT458" s="92"/>
      <c r="CU458" s="92"/>
      <c r="CV458" s="92"/>
      <c r="CW458" s="92"/>
      <c r="CX458" s="85"/>
      <c r="CY458" s="85"/>
      <c r="CZ458" s="85"/>
      <c r="DA458" s="85"/>
      <c r="DB458" s="85"/>
      <c r="DC458" s="85"/>
      <c r="DD458" s="85"/>
      <c r="DE458" s="85"/>
      <c r="DF458" s="85"/>
      <c r="DG458" s="85"/>
      <c r="DH458" s="85"/>
      <c r="DI458" s="85"/>
      <c r="DJ458" s="85"/>
      <c r="DK458" s="85"/>
      <c r="DL458" s="85"/>
      <c r="DM458" s="85"/>
      <c r="DN458" s="85"/>
      <c r="DO458" s="85"/>
      <c r="DP458" s="85"/>
    </row>
    <row r="459">
      <c r="A459" s="91"/>
      <c r="B459" s="91"/>
      <c r="C459" s="91"/>
      <c r="D459" s="91"/>
      <c r="E459" s="78"/>
      <c r="F459" s="15"/>
      <c r="G459" s="15"/>
      <c r="H459" s="91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92"/>
      <c r="BO459" s="92"/>
      <c r="BP459" s="92"/>
      <c r="BQ459" s="92"/>
      <c r="BR459" s="92"/>
      <c r="BS459" s="92"/>
      <c r="BT459" s="92"/>
      <c r="BU459" s="92"/>
      <c r="BV459" s="92"/>
      <c r="BW459" s="92"/>
      <c r="BX459" s="92"/>
      <c r="BY459" s="92"/>
      <c r="BZ459" s="92"/>
      <c r="CA459" s="92"/>
      <c r="CB459" s="92"/>
      <c r="CC459" s="92"/>
      <c r="CD459" s="92"/>
      <c r="CE459" s="92"/>
      <c r="CF459" s="92"/>
      <c r="CG459" s="92"/>
      <c r="CH459" s="92"/>
      <c r="CI459" s="92"/>
      <c r="CJ459" s="92"/>
      <c r="CK459" s="92"/>
      <c r="CL459" s="92"/>
      <c r="CM459" s="92"/>
      <c r="CN459" s="92"/>
      <c r="CO459" s="92"/>
      <c r="CP459" s="92"/>
      <c r="CQ459" s="92"/>
      <c r="CR459" s="92"/>
      <c r="CS459" s="92"/>
      <c r="CT459" s="92"/>
      <c r="CU459" s="92"/>
      <c r="CV459" s="92"/>
      <c r="CW459" s="92"/>
      <c r="CX459" s="85"/>
      <c r="CY459" s="85"/>
      <c r="CZ459" s="85"/>
      <c r="DA459" s="85"/>
      <c r="DB459" s="85"/>
      <c r="DC459" s="85"/>
      <c r="DD459" s="85"/>
      <c r="DE459" s="85"/>
      <c r="DF459" s="85"/>
      <c r="DG459" s="85"/>
      <c r="DH459" s="85"/>
      <c r="DI459" s="85"/>
      <c r="DJ459" s="85"/>
      <c r="DK459" s="85"/>
      <c r="DL459" s="85"/>
      <c r="DM459" s="85"/>
      <c r="DN459" s="85"/>
      <c r="DO459" s="85"/>
      <c r="DP459" s="85"/>
    </row>
    <row r="460">
      <c r="A460" s="91"/>
      <c r="B460" s="91"/>
      <c r="C460" s="91"/>
      <c r="D460" s="91"/>
      <c r="E460" s="78"/>
      <c r="F460" s="15"/>
      <c r="G460" s="15"/>
      <c r="H460" s="91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92"/>
      <c r="BO460" s="92"/>
      <c r="BP460" s="92"/>
      <c r="BQ460" s="92"/>
      <c r="BR460" s="92"/>
      <c r="BS460" s="92"/>
      <c r="BT460" s="92"/>
      <c r="BU460" s="92"/>
      <c r="BV460" s="92"/>
      <c r="BW460" s="92"/>
      <c r="BX460" s="92"/>
      <c r="BY460" s="92"/>
      <c r="BZ460" s="92"/>
      <c r="CA460" s="92"/>
      <c r="CB460" s="92"/>
      <c r="CC460" s="92"/>
      <c r="CD460" s="92"/>
      <c r="CE460" s="92"/>
      <c r="CF460" s="92"/>
      <c r="CG460" s="92"/>
      <c r="CH460" s="92"/>
      <c r="CI460" s="92"/>
      <c r="CJ460" s="92"/>
      <c r="CK460" s="92"/>
      <c r="CL460" s="92"/>
      <c r="CM460" s="92"/>
      <c r="CN460" s="92"/>
      <c r="CO460" s="92"/>
      <c r="CP460" s="92"/>
      <c r="CQ460" s="92"/>
      <c r="CR460" s="92"/>
      <c r="CS460" s="92"/>
      <c r="CT460" s="92"/>
      <c r="CU460" s="92"/>
      <c r="CV460" s="92"/>
      <c r="CW460" s="92"/>
      <c r="CX460" s="85"/>
      <c r="CY460" s="85"/>
      <c r="CZ460" s="85"/>
      <c r="DA460" s="85"/>
      <c r="DB460" s="85"/>
      <c r="DC460" s="85"/>
      <c r="DD460" s="85"/>
      <c r="DE460" s="85"/>
      <c r="DF460" s="85"/>
      <c r="DG460" s="85"/>
      <c r="DH460" s="85"/>
      <c r="DI460" s="85"/>
      <c r="DJ460" s="85"/>
      <c r="DK460" s="85"/>
      <c r="DL460" s="85"/>
      <c r="DM460" s="85"/>
      <c r="DN460" s="85"/>
      <c r="DO460" s="85"/>
      <c r="DP460" s="85"/>
    </row>
    <row r="461">
      <c r="A461" s="91"/>
      <c r="B461" s="91"/>
      <c r="C461" s="91"/>
      <c r="D461" s="91"/>
      <c r="E461" s="78"/>
      <c r="F461" s="15"/>
      <c r="G461" s="15"/>
      <c r="H461" s="91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92"/>
      <c r="BO461" s="92"/>
      <c r="BP461" s="92"/>
      <c r="BQ461" s="92"/>
      <c r="BR461" s="92"/>
      <c r="BS461" s="92"/>
      <c r="BT461" s="92"/>
      <c r="BU461" s="92"/>
      <c r="BV461" s="92"/>
      <c r="BW461" s="92"/>
      <c r="BX461" s="92"/>
      <c r="BY461" s="92"/>
      <c r="BZ461" s="92"/>
      <c r="CA461" s="92"/>
      <c r="CB461" s="92"/>
      <c r="CC461" s="92"/>
      <c r="CD461" s="92"/>
      <c r="CE461" s="92"/>
      <c r="CF461" s="92"/>
      <c r="CG461" s="92"/>
      <c r="CH461" s="92"/>
      <c r="CI461" s="92"/>
      <c r="CJ461" s="92"/>
      <c r="CK461" s="92"/>
      <c r="CL461" s="92"/>
      <c r="CM461" s="92"/>
      <c r="CN461" s="92"/>
      <c r="CO461" s="92"/>
      <c r="CP461" s="92"/>
      <c r="CQ461" s="92"/>
      <c r="CR461" s="92"/>
      <c r="CS461" s="92"/>
      <c r="CT461" s="92"/>
      <c r="CU461" s="92"/>
      <c r="CV461" s="92"/>
      <c r="CW461" s="92"/>
      <c r="CX461" s="85"/>
      <c r="CY461" s="85"/>
      <c r="CZ461" s="85"/>
      <c r="DA461" s="85"/>
      <c r="DB461" s="85"/>
      <c r="DC461" s="85"/>
      <c r="DD461" s="85"/>
      <c r="DE461" s="85"/>
      <c r="DF461" s="85"/>
      <c r="DG461" s="85"/>
      <c r="DH461" s="85"/>
      <c r="DI461" s="85"/>
      <c r="DJ461" s="85"/>
      <c r="DK461" s="85"/>
      <c r="DL461" s="85"/>
      <c r="DM461" s="85"/>
      <c r="DN461" s="85"/>
      <c r="DO461" s="85"/>
      <c r="DP461" s="85"/>
    </row>
    <row r="462">
      <c r="A462" s="91"/>
      <c r="B462" s="91"/>
      <c r="C462" s="91"/>
      <c r="D462" s="91"/>
      <c r="E462" s="78"/>
      <c r="F462" s="15"/>
      <c r="G462" s="15"/>
      <c r="H462" s="91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92"/>
      <c r="BO462" s="92"/>
      <c r="BP462" s="92"/>
      <c r="BQ462" s="92"/>
      <c r="BR462" s="92"/>
      <c r="BS462" s="92"/>
      <c r="BT462" s="92"/>
      <c r="BU462" s="92"/>
      <c r="BV462" s="92"/>
      <c r="BW462" s="92"/>
      <c r="BX462" s="92"/>
      <c r="BY462" s="92"/>
      <c r="BZ462" s="92"/>
      <c r="CA462" s="92"/>
      <c r="CB462" s="92"/>
      <c r="CC462" s="92"/>
      <c r="CD462" s="92"/>
      <c r="CE462" s="92"/>
      <c r="CF462" s="92"/>
      <c r="CG462" s="92"/>
      <c r="CH462" s="92"/>
      <c r="CI462" s="92"/>
      <c r="CJ462" s="92"/>
      <c r="CK462" s="92"/>
      <c r="CL462" s="92"/>
      <c r="CM462" s="92"/>
      <c r="CN462" s="92"/>
      <c r="CO462" s="92"/>
      <c r="CP462" s="92"/>
      <c r="CQ462" s="92"/>
      <c r="CR462" s="92"/>
      <c r="CS462" s="92"/>
      <c r="CT462" s="92"/>
      <c r="CU462" s="92"/>
      <c r="CV462" s="92"/>
      <c r="CW462" s="92"/>
      <c r="CX462" s="85"/>
      <c r="CY462" s="85"/>
      <c r="CZ462" s="85"/>
      <c r="DA462" s="85"/>
      <c r="DB462" s="85"/>
      <c r="DC462" s="85"/>
      <c r="DD462" s="85"/>
      <c r="DE462" s="85"/>
      <c r="DF462" s="85"/>
      <c r="DG462" s="85"/>
      <c r="DH462" s="85"/>
      <c r="DI462" s="85"/>
      <c r="DJ462" s="85"/>
      <c r="DK462" s="85"/>
      <c r="DL462" s="85"/>
      <c r="DM462" s="85"/>
      <c r="DN462" s="85"/>
      <c r="DO462" s="85"/>
      <c r="DP462" s="85"/>
    </row>
    <row r="463">
      <c r="A463" s="91"/>
      <c r="B463" s="91"/>
      <c r="C463" s="91"/>
      <c r="D463" s="91"/>
      <c r="E463" s="78"/>
      <c r="F463" s="15"/>
      <c r="G463" s="15"/>
      <c r="H463" s="91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92"/>
      <c r="BO463" s="92"/>
      <c r="BP463" s="92"/>
      <c r="BQ463" s="92"/>
      <c r="BR463" s="92"/>
      <c r="BS463" s="92"/>
      <c r="BT463" s="92"/>
      <c r="BU463" s="92"/>
      <c r="BV463" s="92"/>
      <c r="BW463" s="92"/>
      <c r="BX463" s="92"/>
      <c r="BY463" s="92"/>
      <c r="BZ463" s="92"/>
      <c r="CA463" s="92"/>
      <c r="CB463" s="92"/>
      <c r="CC463" s="92"/>
      <c r="CD463" s="92"/>
      <c r="CE463" s="92"/>
      <c r="CF463" s="92"/>
      <c r="CG463" s="92"/>
      <c r="CH463" s="92"/>
      <c r="CI463" s="92"/>
      <c r="CJ463" s="92"/>
      <c r="CK463" s="92"/>
      <c r="CL463" s="92"/>
      <c r="CM463" s="92"/>
      <c r="CN463" s="92"/>
      <c r="CO463" s="92"/>
      <c r="CP463" s="92"/>
      <c r="CQ463" s="92"/>
      <c r="CR463" s="92"/>
      <c r="CS463" s="92"/>
      <c r="CT463" s="92"/>
      <c r="CU463" s="92"/>
      <c r="CV463" s="92"/>
      <c r="CW463" s="92"/>
      <c r="CX463" s="85"/>
      <c r="CY463" s="85"/>
      <c r="CZ463" s="85"/>
      <c r="DA463" s="85"/>
      <c r="DB463" s="85"/>
      <c r="DC463" s="85"/>
      <c r="DD463" s="85"/>
      <c r="DE463" s="85"/>
      <c r="DF463" s="85"/>
      <c r="DG463" s="85"/>
      <c r="DH463" s="85"/>
      <c r="DI463" s="85"/>
      <c r="DJ463" s="85"/>
      <c r="DK463" s="85"/>
      <c r="DL463" s="85"/>
      <c r="DM463" s="85"/>
      <c r="DN463" s="85"/>
      <c r="DO463" s="85"/>
      <c r="DP463" s="85"/>
    </row>
    <row r="464">
      <c r="A464" s="91"/>
      <c r="B464" s="91"/>
      <c r="C464" s="91"/>
      <c r="D464" s="91"/>
      <c r="E464" s="78"/>
      <c r="F464" s="15"/>
      <c r="G464" s="15"/>
      <c r="H464" s="91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  <c r="BJ464" s="15"/>
      <c r="BK464" s="15"/>
      <c r="BL464" s="15"/>
      <c r="BM464" s="15"/>
      <c r="BN464" s="92"/>
      <c r="BO464" s="92"/>
      <c r="BP464" s="92"/>
      <c r="BQ464" s="92"/>
      <c r="BR464" s="92"/>
      <c r="BS464" s="92"/>
      <c r="BT464" s="92"/>
      <c r="BU464" s="92"/>
      <c r="BV464" s="92"/>
      <c r="BW464" s="92"/>
      <c r="BX464" s="92"/>
      <c r="BY464" s="92"/>
      <c r="BZ464" s="92"/>
      <c r="CA464" s="92"/>
      <c r="CB464" s="92"/>
      <c r="CC464" s="92"/>
      <c r="CD464" s="92"/>
      <c r="CE464" s="92"/>
      <c r="CF464" s="92"/>
      <c r="CG464" s="92"/>
      <c r="CH464" s="92"/>
      <c r="CI464" s="92"/>
      <c r="CJ464" s="92"/>
      <c r="CK464" s="92"/>
      <c r="CL464" s="92"/>
      <c r="CM464" s="92"/>
      <c r="CN464" s="92"/>
      <c r="CO464" s="92"/>
      <c r="CP464" s="92"/>
      <c r="CQ464" s="92"/>
      <c r="CR464" s="92"/>
      <c r="CS464" s="92"/>
      <c r="CT464" s="92"/>
      <c r="CU464" s="92"/>
      <c r="CV464" s="92"/>
      <c r="CW464" s="92"/>
      <c r="CX464" s="85"/>
      <c r="CY464" s="85"/>
      <c r="CZ464" s="85"/>
      <c r="DA464" s="85"/>
      <c r="DB464" s="85"/>
      <c r="DC464" s="85"/>
      <c r="DD464" s="85"/>
      <c r="DE464" s="85"/>
      <c r="DF464" s="85"/>
      <c r="DG464" s="85"/>
      <c r="DH464" s="85"/>
      <c r="DI464" s="85"/>
      <c r="DJ464" s="85"/>
      <c r="DK464" s="85"/>
      <c r="DL464" s="85"/>
      <c r="DM464" s="85"/>
      <c r="DN464" s="85"/>
      <c r="DO464" s="85"/>
      <c r="DP464" s="85"/>
    </row>
    <row r="465">
      <c r="A465" s="91"/>
      <c r="B465" s="91"/>
      <c r="C465" s="91"/>
      <c r="D465" s="91"/>
      <c r="E465" s="78"/>
      <c r="F465" s="15"/>
      <c r="G465" s="15"/>
      <c r="H465" s="91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92"/>
      <c r="BO465" s="92"/>
      <c r="BP465" s="92"/>
      <c r="BQ465" s="92"/>
      <c r="BR465" s="92"/>
      <c r="BS465" s="92"/>
      <c r="BT465" s="92"/>
      <c r="BU465" s="92"/>
      <c r="BV465" s="92"/>
      <c r="BW465" s="92"/>
      <c r="BX465" s="92"/>
      <c r="BY465" s="92"/>
      <c r="BZ465" s="92"/>
      <c r="CA465" s="92"/>
      <c r="CB465" s="92"/>
      <c r="CC465" s="92"/>
      <c r="CD465" s="92"/>
      <c r="CE465" s="92"/>
      <c r="CF465" s="92"/>
      <c r="CG465" s="92"/>
      <c r="CH465" s="92"/>
      <c r="CI465" s="92"/>
      <c r="CJ465" s="92"/>
      <c r="CK465" s="92"/>
      <c r="CL465" s="92"/>
      <c r="CM465" s="92"/>
      <c r="CN465" s="92"/>
      <c r="CO465" s="92"/>
      <c r="CP465" s="92"/>
      <c r="CQ465" s="92"/>
      <c r="CR465" s="92"/>
      <c r="CS465" s="92"/>
      <c r="CT465" s="92"/>
      <c r="CU465" s="92"/>
      <c r="CV465" s="92"/>
      <c r="CW465" s="92"/>
      <c r="CX465" s="85"/>
      <c r="CY465" s="85"/>
      <c r="CZ465" s="85"/>
      <c r="DA465" s="85"/>
      <c r="DB465" s="85"/>
      <c r="DC465" s="85"/>
      <c r="DD465" s="85"/>
      <c r="DE465" s="85"/>
      <c r="DF465" s="85"/>
      <c r="DG465" s="85"/>
      <c r="DH465" s="85"/>
      <c r="DI465" s="85"/>
      <c r="DJ465" s="85"/>
      <c r="DK465" s="85"/>
      <c r="DL465" s="85"/>
      <c r="DM465" s="85"/>
      <c r="DN465" s="85"/>
      <c r="DO465" s="85"/>
      <c r="DP465" s="85"/>
    </row>
    <row r="466">
      <c r="A466" s="91"/>
      <c r="B466" s="91"/>
      <c r="C466" s="91"/>
      <c r="D466" s="91"/>
      <c r="E466" s="78"/>
      <c r="F466" s="15"/>
      <c r="G466" s="15"/>
      <c r="H466" s="91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  <c r="BJ466" s="15"/>
      <c r="BK466" s="15"/>
      <c r="BL466" s="15"/>
      <c r="BM466" s="15"/>
      <c r="BN466" s="92"/>
      <c r="BO466" s="92"/>
      <c r="BP466" s="92"/>
      <c r="BQ466" s="92"/>
      <c r="BR466" s="92"/>
      <c r="BS466" s="92"/>
      <c r="BT466" s="92"/>
      <c r="BU466" s="92"/>
      <c r="BV466" s="92"/>
      <c r="BW466" s="92"/>
      <c r="BX466" s="92"/>
      <c r="BY466" s="92"/>
      <c r="BZ466" s="92"/>
      <c r="CA466" s="92"/>
      <c r="CB466" s="92"/>
      <c r="CC466" s="92"/>
      <c r="CD466" s="92"/>
      <c r="CE466" s="92"/>
      <c r="CF466" s="92"/>
      <c r="CG466" s="92"/>
      <c r="CH466" s="92"/>
      <c r="CI466" s="92"/>
      <c r="CJ466" s="92"/>
      <c r="CK466" s="92"/>
      <c r="CL466" s="92"/>
      <c r="CM466" s="92"/>
      <c r="CN466" s="92"/>
      <c r="CO466" s="92"/>
      <c r="CP466" s="92"/>
      <c r="CQ466" s="92"/>
      <c r="CR466" s="92"/>
      <c r="CS466" s="92"/>
      <c r="CT466" s="92"/>
      <c r="CU466" s="92"/>
      <c r="CV466" s="92"/>
      <c r="CW466" s="92"/>
      <c r="CX466" s="85"/>
      <c r="CY466" s="85"/>
      <c r="CZ466" s="85"/>
      <c r="DA466" s="85"/>
      <c r="DB466" s="85"/>
      <c r="DC466" s="85"/>
      <c r="DD466" s="85"/>
      <c r="DE466" s="85"/>
      <c r="DF466" s="85"/>
      <c r="DG466" s="85"/>
      <c r="DH466" s="85"/>
      <c r="DI466" s="85"/>
      <c r="DJ466" s="85"/>
      <c r="DK466" s="85"/>
      <c r="DL466" s="85"/>
      <c r="DM466" s="85"/>
      <c r="DN466" s="85"/>
      <c r="DO466" s="85"/>
      <c r="DP466" s="85"/>
    </row>
    <row r="467">
      <c r="A467" s="91"/>
      <c r="B467" s="91"/>
      <c r="C467" s="91"/>
      <c r="D467" s="91"/>
      <c r="E467" s="78"/>
      <c r="F467" s="15"/>
      <c r="G467" s="15"/>
      <c r="H467" s="91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92"/>
      <c r="BO467" s="92"/>
      <c r="BP467" s="92"/>
      <c r="BQ467" s="92"/>
      <c r="BR467" s="92"/>
      <c r="BS467" s="92"/>
      <c r="BT467" s="92"/>
      <c r="BU467" s="92"/>
      <c r="BV467" s="92"/>
      <c r="BW467" s="92"/>
      <c r="BX467" s="92"/>
      <c r="BY467" s="92"/>
      <c r="BZ467" s="92"/>
      <c r="CA467" s="92"/>
      <c r="CB467" s="92"/>
      <c r="CC467" s="92"/>
      <c r="CD467" s="92"/>
      <c r="CE467" s="92"/>
      <c r="CF467" s="92"/>
      <c r="CG467" s="92"/>
      <c r="CH467" s="92"/>
      <c r="CI467" s="92"/>
      <c r="CJ467" s="92"/>
      <c r="CK467" s="92"/>
      <c r="CL467" s="92"/>
      <c r="CM467" s="92"/>
      <c r="CN467" s="92"/>
      <c r="CO467" s="92"/>
      <c r="CP467" s="92"/>
      <c r="CQ467" s="92"/>
      <c r="CR467" s="92"/>
      <c r="CS467" s="92"/>
      <c r="CT467" s="92"/>
      <c r="CU467" s="92"/>
      <c r="CV467" s="92"/>
      <c r="CW467" s="92"/>
      <c r="CX467" s="85"/>
      <c r="CY467" s="85"/>
      <c r="CZ467" s="85"/>
      <c r="DA467" s="85"/>
      <c r="DB467" s="85"/>
      <c r="DC467" s="85"/>
      <c r="DD467" s="85"/>
      <c r="DE467" s="85"/>
      <c r="DF467" s="85"/>
      <c r="DG467" s="85"/>
      <c r="DH467" s="85"/>
      <c r="DI467" s="85"/>
      <c r="DJ467" s="85"/>
      <c r="DK467" s="85"/>
      <c r="DL467" s="85"/>
      <c r="DM467" s="85"/>
      <c r="DN467" s="85"/>
      <c r="DO467" s="85"/>
      <c r="DP467" s="85"/>
    </row>
    <row r="468">
      <c r="A468" s="91"/>
      <c r="B468" s="91"/>
      <c r="C468" s="91"/>
      <c r="D468" s="91"/>
      <c r="E468" s="78"/>
      <c r="F468" s="15"/>
      <c r="G468" s="15"/>
      <c r="H468" s="91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  <c r="BK468" s="15"/>
      <c r="BL468" s="15"/>
      <c r="BM468" s="15"/>
      <c r="BN468" s="92"/>
      <c r="BO468" s="92"/>
      <c r="BP468" s="92"/>
      <c r="BQ468" s="92"/>
      <c r="BR468" s="92"/>
      <c r="BS468" s="92"/>
      <c r="BT468" s="92"/>
      <c r="BU468" s="92"/>
      <c r="BV468" s="92"/>
      <c r="BW468" s="92"/>
      <c r="BX468" s="92"/>
      <c r="BY468" s="92"/>
      <c r="BZ468" s="92"/>
      <c r="CA468" s="92"/>
      <c r="CB468" s="92"/>
      <c r="CC468" s="92"/>
      <c r="CD468" s="92"/>
      <c r="CE468" s="92"/>
      <c r="CF468" s="92"/>
      <c r="CG468" s="92"/>
      <c r="CH468" s="92"/>
      <c r="CI468" s="92"/>
      <c r="CJ468" s="92"/>
      <c r="CK468" s="92"/>
      <c r="CL468" s="92"/>
      <c r="CM468" s="92"/>
      <c r="CN468" s="92"/>
      <c r="CO468" s="92"/>
      <c r="CP468" s="92"/>
      <c r="CQ468" s="92"/>
      <c r="CR468" s="92"/>
      <c r="CS468" s="92"/>
      <c r="CT468" s="92"/>
      <c r="CU468" s="92"/>
      <c r="CV468" s="92"/>
      <c r="CW468" s="92"/>
      <c r="CX468" s="85"/>
      <c r="CY468" s="85"/>
      <c r="CZ468" s="85"/>
      <c r="DA468" s="85"/>
      <c r="DB468" s="85"/>
      <c r="DC468" s="85"/>
      <c r="DD468" s="85"/>
      <c r="DE468" s="85"/>
      <c r="DF468" s="85"/>
      <c r="DG468" s="85"/>
      <c r="DH468" s="85"/>
      <c r="DI468" s="85"/>
      <c r="DJ468" s="85"/>
      <c r="DK468" s="85"/>
      <c r="DL468" s="85"/>
      <c r="DM468" s="85"/>
      <c r="DN468" s="85"/>
      <c r="DO468" s="85"/>
      <c r="DP468" s="85"/>
    </row>
    <row r="469">
      <c r="A469" s="91"/>
      <c r="B469" s="91"/>
      <c r="C469" s="91"/>
      <c r="D469" s="91"/>
      <c r="E469" s="78"/>
      <c r="F469" s="15"/>
      <c r="G469" s="15"/>
      <c r="H469" s="91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92"/>
      <c r="BO469" s="92"/>
      <c r="BP469" s="92"/>
      <c r="BQ469" s="92"/>
      <c r="BR469" s="92"/>
      <c r="BS469" s="92"/>
      <c r="BT469" s="92"/>
      <c r="BU469" s="92"/>
      <c r="BV469" s="92"/>
      <c r="BW469" s="92"/>
      <c r="BX469" s="92"/>
      <c r="BY469" s="92"/>
      <c r="BZ469" s="92"/>
      <c r="CA469" s="92"/>
      <c r="CB469" s="92"/>
      <c r="CC469" s="92"/>
      <c r="CD469" s="92"/>
      <c r="CE469" s="92"/>
      <c r="CF469" s="92"/>
      <c r="CG469" s="92"/>
      <c r="CH469" s="92"/>
      <c r="CI469" s="92"/>
      <c r="CJ469" s="92"/>
      <c r="CK469" s="92"/>
      <c r="CL469" s="92"/>
      <c r="CM469" s="92"/>
      <c r="CN469" s="92"/>
      <c r="CO469" s="92"/>
      <c r="CP469" s="92"/>
      <c r="CQ469" s="92"/>
      <c r="CR469" s="92"/>
      <c r="CS469" s="92"/>
      <c r="CT469" s="92"/>
      <c r="CU469" s="92"/>
      <c r="CV469" s="92"/>
      <c r="CW469" s="92"/>
      <c r="CX469" s="85"/>
      <c r="CY469" s="85"/>
      <c r="CZ469" s="85"/>
      <c r="DA469" s="85"/>
      <c r="DB469" s="85"/>
      <c r="DC469" s="85"/>
      <c r="DD469" s="85"/>
      <c r="DE469" s="85"/>
      <c r="DF469" s="85"/>
      <c r="DG469" s="85"/>
      <c r="DH469" s="85"/>
      <c r="DI469" s="85"/>
      <c r="DJ469" s="85"/>
      <c r="DK469" s="85"/>
      <c r="DL469" s="85"/>
      <c r="DM469" s="85"/>
      <c r="DN469" s="85"/>
      <c r="DO469" s="85"/>
      <c r="DP469" s="85"/>
    </row>
    <row r="470">
      <c r="A470" s="91"/>
      <c r="B470" s="91"/>
      <c r="C470" s="91"/>
      <c r="D470" s="91"/>
      <c r="E470" s="78"/>
      <c r="F470" s="15"/>
      <c r="G470" s="15"/>
      <c r="H470" s="91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  <c r="BL470" s="15"/>
      <c r="BM470" s="15"/>
      <c r="BN470" s="92"/>
      <c r="BO470" s="92"/>
      <c r="BP470" s="92"/>
      <c r="BQ470" s="92"/>
      <c r="BR470" s="92"/>
      <c r="BS470" s="92"/>
      <c r="BT470" s="92"/>
      <c r="BU470" s="92"/>
      <c r="BV470" s="92"/>
      <c r="BW470" s="92"/>
      <c r="BX470" s="92"/>
      <c r="BY470" s="92"/>
      <c r="BZ470" s="92"/>
      <c r="CA470" s="92"/>
      <c r="CB470" s="92"/>
      <c r="CC470" s="92"/>
      <c r="CD470" s="92"/>
      <c r="CE470" s="92"/>
      <c r="CF470" s="92"/>
      <c r="CG470" s="92"/>
      <c r="CH470" s="92"/>
      <c r="CI470" s="92"/>
      <c r="CJ470" s="92"/>
      <c r="CK470" s="92"/>
      <c r="CL470" s="92"/>
      <c r="CM470" s="92"/>
      <c r="CN470" s="92"/>
      <c r="CO470" s="92"/>
      <c r="CP470" s="92"/>
      <c r="CQ470" s="92"/>
      <c r="CR470" s="92"/>
      <c r="CS470" s="92"/>
      <c r="CT470" s="92"/>
      <c r="CU470" s="92"/>
      <c r="CV470" s="92"/>
      <c r="CW470" s="92"/>
      <c r="CX470" s="85"/>
      <c r="CY470" s="85"/>
      <c r="CZ470" s="85"/>
      <c r="DA470" s="85"/>
      <c r="DB470" s="85"/>
      <c r="DC470" s="85"/>
      <c r="DD470" s="85"/>
      <c r="DE470" s="85"/>
      <c r="DF470" s="85"/>
      <c r="DG470" s="85"/>
      <c r="DH470" s="85"/>
      <c r="DI470" s="85"/>
      <c r="DJ470" s="85"/>
      <c r="DK470" s="85"/>
      <c r="DL470" s="85"/>
      <c r="DM470" s="85"/>
      <c r="DN470" s="85"/>
      <c r="DO470" s="85"/>
      <c r="DP470" s="85"/>
    </row>
    <row r="471">
      <c r="A471" s="91"/>
      <c r="B471" s="91"/>
      <c r="C471" s="91"/>
      <c r="D471" s="91"/>
      <c r="E471" s="78"/>
      <c r="F471" s="15"/>
      <c r="G471" s="15"/>
      <c r="H471" s="91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92"/>
      <c r="BO471" s="92"/>
      <c r="BP471" s="92"/>
      <c r="BQ471" s="92"/>
      <c r="BR471" s="92"/>
      <c r="BS471" s="92"/>
      <c r="BT471" s="92"/>
      <c r="BU471" s="92"/>
      <c r="BV471" s="92"/>
      <c r="BW471" s="92"/>
      <c r="BX471" s="92"/>
      <c r="BY471" s="92"/>
      <c r="BZ471" s="92"/>
      <c r="CA471" s="92"/>
      <c r="CB471" s="92"/>
      <c r="CC471" s="92"/>
      <c r="CD471" s="92"/>
      <c r="CE471" s="92"/>
      <c r="CF471" s="92"/>
      <c r="CG471" s="92"/>
      <c r="CH471" s="92"/>
      <c r="CI471" s="92"/>
      <c r="CJ471" s="92"/>
      <c r="CK471" s="92"/>
      <c r="CL471" s="92"/>
      <c r="CM471" s="92"/>
      <c r="CN471" s="92"/>
      <c r="CO471" s="92"/>
      <c r="CP471" s="92"/>
      <c r="CQ471" s="92"/>
      <c r="CR471" s="92"/>
      <c r="CS471" s="92"/>
      <c r="CT471" s="92"/>
      <c r="CU471" s="92"/>
      <c r="CV471" s="92"/>
      <c r="CW471" s="92"/>
      <c r="CX471" s="85"/>
      <c r="CY471" s="85"/>
      <c r="CZ471" s="85"/>
      <c r="DA471" s="85"/>
      <c r="DB471" s="85"/>
      <c r="DC471" s="85"/>
      <c r="DD471" s="85"/>
      <c r="DE471" s="85"/>
      <c r="DF471" s="85"/>
      <c r="DG471" s="85"/>
      <c r="DH471" s="85"/>
      <c r="DI471" s="85"/>
      <c r="DJ471" s="85"/>
      <c r="DK471" s="85"/>
      <c r="DL471" s="85"/>
      <c r="DM471" s="85"/>
      <c r="DN471" s="85"/>
      <c r="DO471" s="85"/>
      <c r="DP471" s="85"/>
    </row>
    <row r="472">
      <c r="A472" s="91"/>
      <c r="B472" s="91"/>
      <c r="C472" s="91"/>
      <c r="D472" s="91"/>
      <c r="E472" s="78"/>
      <c r="F472" s="15"/>
      <c r="G472" s="15"/>
      <c r="H472" s="91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  <c r="BJ472" s="15"/>
      <c r="BK472" s="15"/>
      <c r="BL472" s="15"/>
      <c r="BM472" s="15"/>
      <c r="BN472" s="92"/>
      <c r="BO472" s="92"/>
      <c r="BP472" s="92"/>
      <c r="BQ472" s="92"/>
      <c r="BR472" s="92"/>
      <c r="BS472" s="92"/>
      <c r="BT472" s="92"/>
      <c r="BU472" s="92"/>
      <c r="BV472" s="92"/>
      <c r="BW472" s="92"/>
      <c r="BX472" s="92"/>
      <c r="BY472" s="92"/>
      <c r="BZ472" s="92"/>
      <c r="CA472" s="92"/>
      <c r="CB472" s="92"/>
      <c r="CC472" s="92"/>
      <c r="CD472" s="92"/>
      <c r="CE472" s="92"/>
      <c r="CF472" s="92"/>
      <c r="CG472" s="92"/>
      <c r="CH472" s="92"/>
      <c r="CI472" s="92"/>
      <c r="CJ472" s="92"/>
      <c r="CK472" s="92"/>
      <c r="CL472" s="92"/>
      <c r="CM472" s="92"/>
      <c r="CN472" s="92"/>
      <c r="CO472" s="92"/>
      <c r="CP472" s="92"/>
      <c r="CQ472" s="92"/>
      <c r="CR472" s="92"/>
      <c r="CS472" s="92"/>
      <c r="CT472" s="92"/>
      <c r="CU472" s="92"/>
      <c r="CV472" s="92"/>
      <c r="CW472" s="92"/>
      <c r="CX472" s="85"/>
      <c r="CY472" s="85"/>
      <c r="CZ472" s="85"/>
      <c r="DA472" s="85"/>
      <c r="DB472" s="85"/>
      <c r="DC472" s="85"/>
      <c r="DD472" s="85"/>
      <c r="DE472" s="85"/>
      <c r="DF472" s="85"/>
      <c r="DG472" s="85"/>
      <c r="DH472" s="85"/>
      <c r="DI472" s="85"/>
      <c r="DJ472" s="85"/>
      <c r="DK472" s="85"/>
      <c r="DL472" s="85"/>
      <c r="DM472" s="85"/>
      <c r="DN472" s="85"/>
      <c r="DO472" s="85"/>
      <c r="DP472" s="85"/>
    </row>
    <row r="473">
      <c r="A473" s="91"/>
      <c r="B473" s="91"/>
      <c r="C473" s="91"/>
      <c r="D473" s="91"/>
      <c r="E473" s="78"/>
      <c r="F473" s="15"/>
      <c r="G473" s="15"/>
      <c r="H473" s="91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92"/>
      <c r="BO473" s="92"/>
      <c r="BP473" s="92"/>
      <c r="BQ473" s="92"/>
      <c r="BR473" s="92"/>
      <c r="BS473" s="92"/>
      <c r="BT473" s="92"/>
      <c r="BU473" s="92"/>
      <c r="BV473" s="92"/>
      <c r="BW473" s="92"/>
      <c r="BX473" s="92"/>
      <c r="BY473" s="92"/>
      <c r="BZ473" s="92"/>
      <c r="CA473" s="92"/>
      <c r="CB473" s="92"/>
      <c r="CC473" s="92"/>
      <c r="CD473" s="92"/>
      <c r="CE473" s="92"/>
      <c r="CF473" s="92"/>
      <c r="CG473" s="92"/>
      <c r="CH473" s="92"/>
      <c r="CI473" s="92"/>
      <c r="CJ473" s="92"/>
      <c r="CK473" s="92"/>
      <c r="CL473" s="92"/>
      <c r="CM473" s="92"/>
      <c r="CN473" s="92"/>
      <c r="CO473" s="92"/>
      <c r="CP473" s="92"/>
      <c r="CQ473" s="92"/>
      <c r="CR473" s="92"/>
      <c r="CS473" s="92"/>
      <c r="CT473" s="92"/>
      <c r="CU473" s="92"/>
      <c r="CV473" s="92"/>
      <c r="CW473" s="92"/>
      <c r="CX473" s="85"/>
      <c r="CY473" s="85"/>
      <c r="CZ473" s="85"/>
      <c r="DA473" s="85"/>
      <c r="DB473" s="85"/>
      <c r="DC473" s="85"/>
      <c r="DD473" s="85"/>
      <c r="DE473" s="85"/>
      <c r="DF473" s="85"/>
      <c r="DG473" s="85"/>
      <c r="DH473" s="85"/>
      <c r="DI473" s="85"/>
      <c r="DJ473" s="85"/>
      <c r="DK473" s="85"/>
      <c r="DL473" s="85"/>
      <c r="DM473" s="85"/>
      <c r="DN473" s="85"/>
      <c r="DO473" s="85"/>
      <c r="DP473" s="85"/>
    </row>
    <row r="474">
      <c r="A474" s="91"/>
      <c r="B474" s="91"/>
      <c r="C474" s="91"/>
      <c r="D474" s="91"/>
      <c r="E474" s="78"/>
      <c r="F474" s="15"/>
      <c r="G474" s="15"/>
      <c r="H474" s="91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  <c r="BJ474" s="15"/>
      <c r="BK474" s="15"/>
      <c r="BL474" s="15"/>
      <c r="BM474" s="15"/>
      <c r="BN474" s="92"/>
      <c r="BO474" s="92"/>
      <c r="BP474" s="92"/>
      <c r="BQ474" s="92"/>
      <c r="BR474" s="92"/>
      <c r="BS474" s="92"/>
      <c r="BT474" s="92"/>
      <c r="BU474" s="92"/>
      <c r="BV474" s="92"/>
      <c r="BW474" s="92"/>
      <c r="BX474" s="92"/>
      <c r="BY474" s="92"/>
      <c r="BZ474" s="92"/>
      <c r="CA474" s="92"/>
      <c r="CB474" s="92"/>
      <c r="CC474" s="92"/>
      <c r="CD474" s="92"/>
      <c r="CE474" s="92"/>
      <c r="CF474" s="92"/>
      <c r="CG474" s="92"/>
      <c r="CH474" s="92"/>
      <c r="CI474" s="92"/>
      <c r="CJ474" s="92"/>
      <c r="CK474" s="92"/>
      <c r="CL474" s="92"/>
      <c r="CM474" s="92"/>
      <c r="CN474" s="92"/>
      <c r="CO474" s="92"/>
      <c r="CP474" s="92"/>
      <c r="CQ474" s="92"/>
      <c r="CR474" s="92"/>
      <c r="CS474" s="92"/>
      <c r="CT474" s="92"/>
      <c r="CU474" s="92"/>
      <c r="CV474" s="92"/>
      <c r="CW474" s="92"/>
      <c r="CX474" s="85"/>
      <c r="CY474" s="85"/>
      <c r="CZ474" s="85"/>
      <c r="DA474" s="85"/>
      <c r="DB474" s="85"/>
      <c r="DC474" s="85"/>
      <c r="DD474" s="85"/>
      <c r="DE474" s="85"/>
      <c r="DF474" s="85"/>
      <c r="DG474" s="85"/>
      <c r="DH474" s="85"/>
      <c r="DI474" s="85"/>
      <c r="DJ474" s="85"/>
      <c r="DK474" s="85"/>
      <c r="DL474" s="85"/>
      <c r="DM474" s="85"/>
      <c r="DN474" s="85"/>
      <c r="DO474" s="85"/>
      <c r="DP474" s="85"/>
    </row>
    <row r="475">
      <c r="A475" s="91"/>
      <c r="B475" s="91"/>
      <c r="C475" s="91"/>
      <c r="D475" s="91"/>
      <c r="E475" s="78"/>
      <c r="F475" s="15"/>
      <c r="G475" s="15"/>
      <c r="H475" s="91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92"/>
      <c r="BO475" s="92"/>
      <c r="BP475" s="92"/>
      <c r="BQ475" s="92"/>
      <c r="BR475" s="92"/>
      <c r="BS475" s="92"/>
      <c r="BT475" s="92"/>
      <c r="BU475" s="92"/>
      <c r="BV475" s="92"/>
      <c r="BW475" s="92"/>
      <c r="BX475" s="92"/>
      <c r="BY475" s="92"/>
      <c r="BZ475" s="92"/>
      <c r="CA475" s="92"/>
      <c r="CB475" s="92"/>
      <c r="CC475" s="92"/>
      <c r="CD475" s="92"/>
      <c r="CE475" s="92"/>
      <c r="CF475" s="92"/>
      <c r="CG475" s="92"/>
      <c r="CH475" s="92"/>
      <c r="CI475" s="92"/>
      <c r="CJ475" s="92"/>
      <c r="CK475" s="92"/>
      <c r="CL475" s="92"/>
      <c r="CM475" s="92"/>
      <c r="CN475" s="92"/>
      <c r="CO475" s="92"/>
      <c r="CP475" s="92"/>
      <c r="CQ475" s="92"/>
      <c r="CR475" s="92"/>
      <c r="CS475" s="92"/>
      <c r="CT475" s="92"/>
      <c r="CU475" s="92"/>
      <c r="CV475" s="92"/>
      <c r="CW475" s="92"/>
      <c r="CX475" s="85"/>
      <c r="CY475" s="85"/>
      <c r="CZ475" s="85"/>
      <c r="DA475" s="85"/>
      <c r="DB475" s="85"/>
      <c r="DC475" s="85"/>
      <c r="DD475" s="85"/>
      <c r="DE475" s="85"/>
      <c r="DF475" s="85"/>
      <c r="DG475" s="85"/>
      <c r="DH475" s="85"/>
      <c r="DI475" s="85"/>
      <c r="DJ475" s="85"/>
      <c r="DK475" s="85"/>
      <c r="DL475" s="85"/>
      <c r="DM475" s="85"/>
      <c r="DN475" s="85"/>
      <c r="DO475" s="85"/>
      <c r="DP475" s="85"/>
    </row>
    <row r="476">
      <c r="A476" s="91"/>
      <c r="B476" s="91"/>
      <c r="C476" s="91"/>
      <c r="D476" s="91"/>
      <c r="E476" s="78"/>
      <c r="F476" s="15"/>
      <c r="G476" s="15"/>
      <c r="H476" s="91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  <c r="BJ476" s="15"/>
      <c r="BK476" s="15"/>
      <c r="BL476" s="15"/>
      <c r="BM476" s="15"/>
      <c r="BN476" s="92"/>
      <c r="BO476" s="92"/>
      <c r="BP476" s="92"/>
      <c r="BQ476" s="92"/>
      <c r="BR476" s="92"/>
      <c r="BS476" s="92"/>
      <c r="BT476" s="92"/>
      <c r="BU476" s="92"/>
      <c r="BV476" s="92"/>
      <c r="BW476" s="92"/>
      <c r="BX476" s="92"/>
      <c r="BY476" s="92"/>
      <c r="BZ476" s="92"/>
      <c r="CA476" s="92"/>
      <c r="CB476" s="92"/>
      <c r="CC476" s="92"/>
      <c r="CD476" s="92"/>
      <c r="CE476" s="92"/>
      <c r="CF476" s="92"/>
      <c r="CG476" s="92"/>
      <c r="CH476" s="92"/>
      <c r="CI476" s="92"/>
      <c r="CJ476" s="92"/>
      <c r="CK476" s="92"/>
      <c r="CL476" s="92"/>
      <c r="CM476" s="92"/>
      <c r="CN476" s="92"/>
      <c r="CO476" s="92"/>
      <c r="CP476" s="92"/>
      <c r="CQ476" s="92"/>
      <c r="CR476" s="92"/>
      <c r="CS476" s="92"/>
      <c r="CT476" s="92"/>
      <c r="CU476" s="92"/>
      <c r="CV476" s="92"/>
      <c r="CW476" s="92"/>
      <c r="CX476" s="85"/>
      <c r="CY476" s="85"/>
      <c r="CZ476" s="85"/>
      <c r="DA476" s="85"/>
      <c r="DB476" s="85"/>
      <c r="DC476" s="85"/>
      <c r="DD476" s="85"/>
      <c r="DE476" s="85"/>
      <c r="DF476" s="85"/>
      <c r="DG476" s="85"/>
      <c r="DH476" s="85"/>
      <c r="DI476" s="85"/>
      <c r="DJ476" s="85"/>
      <c r="DK476" s="85"/>
      <c r="DL476" s="85"/>
      <c r="DM476" s="85"/>
      <c r="DN476" s="85"/>
      <c r="DO476" s="85"/>
      <c r="DP476" s="85"/>
    </row>
    <row r="477">
      <c r="A477" s="91"/>
      <c r="B477" s="91"/>
      <c r="C477" s="91"/>
      <c r="D477" s="91"/>
      <c r="E477" s="78"/>
      <c r="F477" s="15"/>
      <c r="G477" s="15"/>
      <c r="H477" s="91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92"/>
      <c r="BO477" s="92"/>
      <c r="BP477" s="92"/>
      <c r="BQ477" s="92"/>
      <c r="BR477" s="92"/>
      <c r="BS477" s="92"/>
      <c r="BT477" s="92"/>
      <c r="BU477" s="92"/>
      <c r="BV477" s="92"/>
      <c r="BW477" s="92"/>
      <c r="BX477" s="92"/>
      <c r="BY477" s="92"/>
      <c r="BZ477" s="92"/>
      <c r="CA477" s="92"/>
      <c r="CB477" s="92"/>
      <c r="CC477" s="92"/>
      <c r="CD477" s="92"/>
      <c r="CE477" s="92"/>
      <c r="CF477" s="92"/>
      <c r="CG477" s="92"/>
      <c r="CH477" s="92"/>
      <c r="CI477" s="92"/>
      <c r="CJ477" s="92"/>
      <c r="CK477" s="92"/>
      <c r="CL477" s="92"/>
      <c r="CM477" s="92"/>
      <c r="CN477" s="92"/>
      <c r="CO477" s="92"/>
      <c r="CP477" s="92"/>
      <c r="CQ477" s="92"/>
      <c r="CR477" s="92"/>
      <c r="CS477" s="92"/>
      <c r="CT477" s="92"/>
      <c r="CU477" s="92"/>
      <c r="CV477" s="92"/>
      <c r="CW477" s="92"/>
      <c r="CX477" s="85"/>
      <c r="CY477" s="85"/>
      <c r="CZ477" s="85"/>
      <c r="DA477" s="85"/>
      <c r="DB477" s="85"/>
      <c r="DC477" s="85"/>
      <c r="DD477" s="85"/>
      <c r="DE477" s="85"/>
      <c r="DF477" s="85"/>
      <c r="DG477" s="85"/>
      <c r="DH477" s="85"/>
      <c r="DI477" s="85"/>
      <c r="DJ477" s="85"/>
      <c r="DK477" s="85"/>
      <c r="DL477" s="85"/>
      <c r="DM477" s="85"/>
      <c r="DN477" s="85"/>
      <c r="DO477" s="85"/>
      <c r="DP477" s="85"/>
    </row>
    <row r="478">
      <c r="A478" s="91"/>
      <c r="B478" s="91"/>
      <c r="C478" s="91"/>
      <c r="D478" s="91"/>
      <c r="E478" s="78"/>
      <c r="F478" s="15"/>
      <c r="G478" s="15"/>
      <c r="H478" s="91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  <c r="BJ478" s="15"/>
      <c r="BK478" s="15"/>
      <c r="BL478" s="15"/>
      <c r="BM478" s="15"/>
      <c r="BN478" s="92"/>
      <c r="BO478" s="92"/>
      <c r="BP478" s="92"/>
      <c r="BQ478" s="92"/>
      <c r="BR478" s="92"/>
      <c r="BS478" s="92"/>
      <c r="BT478" s="92"/>
      <c r="BU478" s="92"/>
      <c r="BV478" s="92"/>
      <c r="BW478" s="92"/>
      <c r="BX478" s="92"/>
      <c r="BY478" s="92"/>
      <c r="BZ478" s="92"/>
      <c r="CA478" s="92"/>
      <c r="CB478" s="92"/>
      <c r="CC478" s="92"/>
      <c r="CD478" s="92"/>
      <c r="CE478" s="92"/>
      <c r="CF478" s="92"/>
      <c r="CG478" s="92"/>
      <c r="CH478" s="92"/>
      <c r="CI478" s="92"/>
      <c r="CJ478" s="92"/>
      <c r="CK478" s="92"/>
      <c r="CL478" s="92"/>
      <c r="CM478" s="92"/>
      <c r="CN478" s="92"/>
      <c r="CO478" s="92"/>
      <c r="CP478" s="92"/>
      <c r="CQ478" s="92"/>
      <c r="CR478" s="92"/>
      <c r="CS478" s="92"/>
      <c r="CT478" s="92"/>
      <c r="CU478" s="92"/>
      <c r="CV478" s="92"/>
      <c r="CW478" s="92"/>
      <c r="CX478" s="85"/>
      <c r="CY478" s="85"/>
      <c r="CZ478" s="85"/>
      <c r="DA478" s="85"/>
      <c r="DB478" s="85"/>
      <c r="DC478" s="85"/>
      <c r="DD478" s="85"/>
      <c r="DE478" s="85"/>
      <c r="DF478" s="85"/>
      <c r="DG478" s="85"/>
      <c r="DH478" s="85"/>
      <c r="DI478" s="85"/>
      <c r="DJ478" s="85"/>
      <c r="DK478" s="85"/>
      <c r="DL478" s="85"/>
      <c r="DM478" s="85"/>
      <c r="DN478" s="85"/>
      <c r="DO478" s="85"/>
      <c r="DP478" s="85"/>
    </row>
    <row r="479">
      <c r="A479" s="91"/>
      <c r="B479" s="91"/>
      <c r="C479" s="91"/>
      <c r="D479" s="91"/>
      <c r="E479" s="78"/>
      <c r="F479" s="15"/>
      <c r="G479" s="15"/>
      <c r="H479" s="91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92"/>
      <c r="BO479" s="92"/>
      <c r="BP479" s="92"/>
      <c r="BQ479" s="92"/>
      <c r="BR479" s="92"/>
      <c r="BS479" s="92"/>
      <c r="BT479" s="92"/>
      <c r="BU479" s="92"/>
      <c r="BV479" s="92"/>
      <c r="BW479" s="92"/>
      <c r="BX479" s="92"/>
      <c r="BY479" s="92"/>
      <c r="BZ479" s="92"/>
      <c r="CA479" s="92"/>
      <c r="CB479" s="92"/>
      <c r="CC479" s="92"/>
      <c r="CD479" s="92"/>
      <c r="CE479" s="92"/>
      <c r="CF479" s="92"/>
      <c r="CG479" s="92"/>
      <c r="CH479" s="92"/>
      <c r="CI479" s="92"/>
      <c r="CJ479" s="92"/>
      <c r="CK479" s="92"/>
      <c r="CL479" s="92"/>
      <c r="CM479" s="92"/>
      <c r="CN479" s="92"/>
      <c r="CO479" s="92"/>
      <c r="CP479" s="92"/>
      <c r="CQ479" s="92"/>
      <c r="CR479" s="92"/>
      <c r="CS479" s="92"/>
      <c r="CT479" s="92"/>
      <c r="CU479" s="92"/>
      <c r="CV479" s="92"/>
      <c r="CW479" s="92"/>
      <c r="CX479" s="85"/>
      <c r="CY479" s="85"/>
      <c r="CZ479" s="85"/>
      <c r="DA479" s="85"/>
      <c r="DB479" s="85"/>
      <c r="DC479" s="85"/>
      <c r="DD479" s="85"/>
      <c r="DE479" s="85"/>
      <c r="DF479" s="85"/>
      <c r="DG479" s="85"/>
      <c r="DH479" s="85"/>
      <c r="DI479" s="85"/>
      <c r="DJ479" s="85"/>
      <c r="DK479" s="85"/>
      <c r="DL479" s="85"/>
      <c r="DM479" s="85"/>
      <c r="DN479" s="85"/>
      <c r="DO479" s="85"/>
      <c r="DP479" s="85"/>
    </row>
    <row r="480">
      <c r="A480" s="91"/>
      <c r="B480" s="91"/>
      <c r="C480" s="91"/>
      <c r="D480" s="91"/>
      <c r="E480" s="78"/>
      <c r="F480" s="15"/>
      <c r="G480" s="15"/>
      <c r="H480" s="91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  <c r="BJ480" s="15"/>
      <c r="BK480" s="15"/>
      <c r="BL480" s="15"/>
      <c r="BM480" s="15"/>
      <c r="BN480" s="92"/>
      <c r="BO480" s="92"/>
      <c r="BP480" s="92"/>
      <c r="BQ480" s="92"/>
      <c r="BR480" s="92"/>
      <c r="BS480" s="92"/>
      <c r="BT480" s="92"/>
      <c r="BU480" s="92"/>
      <c r="BV480" s="92"/>
      <c r="BW480" s="92"/>
      <c r="BX480" s="92"/>
      <c r="BY480" s="92"/>
      <c r="BZ480" s="92"/>
      <c r="CA480" s="92"/>
      <c r="CB480" s="92"/>
      <c r="CC480" s="92"/>
      <c r="CD480" s="92"/>
      <c r="CE480" s="92"/>
      <c r="CF480" s="92"/>
      <c r="CG480" s="92"/>
      <c r="CH480" s="92"/>
      <c r="CI480" s="92"/>
      <c r="CJ480" s="92"/>
      <c r="CK480" s="92"/>
      <c r="CL480" s="92"/>
      <c r="CM480" s="92"/>
      <c r="CN480" s="92"/>
      <c r="CO480" s="92"/>
      <c r="CP480" s="92"/>
      <c r="CQ480" s="92"/>
      <c r="CR480" s="92"/>
      <c r="CS480" s="92"/>
      <c r="CT480" s="92"/>
      <c r="CU480" s="92"/>
      <c r="CV480" s="92"/>
      <c r="CW480" s="92"/>
      <c r="CX480" s="85"/>
      <c r="CY480" s="85"/>
      <c r="CZ480" s="85"/>
      <c r="DA480" s="85"/>
      <c r="DB480" s="85"/>
      <c r="DC480" s="85"/>
      <c r="DD480" s="85"/>
      <c r="DE480" s="85"/>
      <c r="DF480" s="85"/>
      <c r="DG480" s="85"/>
      <c r="DH480" s="85"/>
      <c r="DI480" s="85"/>
      <c r="DJ480" s="85"/>
      <c r="DK480" s="85"/>
      <c r="DL480" s="85"/>
      <c r="DM480" s="85"/>
      <c r="DN480" s="85"/>
      <c r="DO480" s="85"/>
      <c r="DP480" s="85"/>
    </row>
    <row r="481">
      <c r="A481" s="91"/>
      <c r="B481" s="91"/>
      <c r="C481" s="91"/>
      <c r="D481" s="91"/>
      <c r="E481" s="78"/>
      <c r="F481" s="15"/>
      <c r="G481" s="15"/>
      <c r="H481" s="91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92"/>
      <c r="BO481" s="92"/>
      <c r="BP481" s="92"/>
      <c r="BQ481" s="92"/>
      <c r="BR481" s="92"/>
      <c r="BS481" s="92"/>
      <c r="BT481" s="92"/>
      <c r="BU481" s="92"/>
      <c r="BV481" s="92"/>
      <c r="BW481" s="92"/>
      <c r="BX481" s="92"/>
      <c r="BY481" s="92"/>
      <c r="BZ481" s="92"/>
      <c r="CA481" s="92"/>
      <c r="CB481" s="92"/>
      <c r="CC481" s="92"/>
      <c r="CD481" s="92"/>
      <c r="CE481" s="92"/>
      <c r="CF481" s="92"/>
      <c r="CG481" s="92"/>
      <c r="CH481" s="92"/>
      <c r="CI481" s="92"/>
      <c r="CJ481" s="92"/>
      <c r="CK481" s="92"/>
      <c r="CL481" s="92"/>
      <c r="CM481" s="92"/>
      <c r="CN481" s="92"/>
      <c r="CO481" s="92"/>
      <c r="CP481" s="92"/>
      <c r="CQ481" s="92"/>
      <c r="CR481" s="92"/>
      <c r="CS481" s="92"/>
      <c r="CT481" s="92"/>
      <c r="CU481" s="92"/>
      <c r="CV481" s="92"/>
      <c r="CW481" s="92"/>
      <c r="CX481" s="85"/>
      <c r="CY481" s="85"/>
      <c r="CZ481" s="85"/>
      <c r="DA481" s="85"/>
      <c r="DB481" s="85"/>
      <c r="DC481" s="85"/>
      <c r="DD481" s="85"/>
      <c r="DE481" s="85"/>
      <c r="DF481" s="85"/>
      <c r="DG481" s="85"/>
      <c r="DH481" s="85"/>
      <c r="DI481" s="85"/>
      <c r="DJ481" s="85"/>
      <c r="DK481" s="85"/>
      <c r="DL481" s="85"/>
      <c r="DM481" s="85"/>
      <c r="DN481" s="85"/>
      <c r="DO481" s="85"/>
      <c r="DP481" s="85"/>
    </row>
    <row r="482">
      <c r="A482" s="91"/>
      <c r="B482" s="91"/>
      <c r="C482" s="91"/>
      <c r="D482" s="91"/>
      <c r="E482" s="78"/>
      <c r="F482" s="15"/>
      <c r="G482" s="15"/>
      <c r="H482" s="91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  <c r="BJ482" s="15"/>
      <c r="BK482" s="15"/>
      <c r="BL482" s="15"/>
      <c r="BM482" s="15"/>
      <c r="BN482" s="92"/>
      <c r="BO482" s="92"/>
      <c r="BP482" s="92"/>
      <c r="BQ482" s="92"/>
      <c r="BR482" s="92"/>
      <c r="BS482" s="92"/>
      <c r="BT482" s="92"/>
      <c r="BU482" s="92"/>
      <c r="BV482" s="92"/>
      <c r="BW482" s="92"/>
      <c r="BX482" s="92"/>
      <c r="BY482" s="92"/>
      <c r="BZ482" s="92"/>
      <c r="CA482" s="92"/>
      <c r="CB482" s="92"/>
      <c r="CC482" s="92"/>
      <c r="CD482" s="92"/>
      <c r="CE482" s="92"/>
      <c r="CF482" s="92"/>
      <c r="CG482" s="92"/>
      <c r="CH482" s="92"/>
      <c r="CI482" s="92"/>
      <c r="CJ482" s="92"/>
      <c r="CK482" s="92"/>
      <c r="CL482" s="92"/>
      <c r="CM482" s="92"/>
      <c r="CN482" s="92"/>
      <c r="CO482" s="92"/>
      <c r="CP482" s="92"/>
      <c r="CQ482" s="92"/>
      <c r="CR482" s="92"/>
      <c r="CS482" s="92"/>
      <c r="CT482" s="92"/>
      <c r="CU482" s="92"/>
      <c r="CV482" s="92"/>
      <c r="CW482" s="92"/>
      <c r="CX482" s="85"/>
      <c r="CY482" s="85"/>
      <c r="CZ482" s="85"/>
      <c r="DA482" s="85"/>
      <c r="DB482" s="85"/>
      <c r="DC482" s="85"/>
      <c r="DD482" s="85"/>
      <c r="DE482" s="85"/>
      <c r="DF482" s="85"/>
      <c r="DG482" s="85"/>
      <c r="DH482" s="85"/>
      <c r="DI482" s="85"/>
      <c r="DJ482" s="85"/>
      <c r="DK482" s="85"/>
      <c r="DL482" s="85"/>
      <c r="DM482" s="85"/>
      <c r="DN482" s="85"/>
      <c r="DO482" s="85"/>
      <c r="DP482" s="85"/>
    </row>
    <row r="483">
      <c r="A483" s="91"/>
      <c r="B483" s="91"/>
      <c r="C483" s="91"/>
      <c r="D483" s="91"/>
      <c r="E483" s="78"/>
      <c r="F483" s="15"/>
      <c r="G483" s="15"/>
      <c r="H483" s="91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92"/>
      <c r="BO483" s="92"/>
      <c r="BP483" s="92"/>
      <c r="BQ483" s="92"/>
      <c r="BR483" s="92"/>
      <c r="BS483" s="92"/>
      <c r="BT483" s="92"/>
      <c r="BU483" s="92"/>
      <c r="BV483" s="92"/>
      <c r="BW483" s="92"/>
      <c r="BX483" s="92"/>
      <c r="BY483" s="92"/>
      <c r="BZ483" s="92"/>
      <c r="CA483" s="92"/>
      <c r="CB483" s="92"/>
      <c r="CC483" s="92"/>
      <c r="CD483" s="92"/>
      <c r="CE483" s="92"/>
      <c r="CF483" s="92"/>
      <c r="CG483" s="92"/>
      <c r="CH483" s="92"/>
      <c r="CI483" s="92"/>
      <c r="CJ483" s="92"/>
      <c r="CK483" s="92"/>
      <c r="CL483" s="92"/>
      <c r="CM483" s="92"/>
      <c r="CN483" s="92"/>
      <c r="CO483" s="92"/>
      <c r="CP483" s="92"/>
      <c r="CQ483" s="92"/>
      <c r="CR483" s="92"/>
      <c r="CS483" s="92"/>
      <c r="CT483" s="92"/>
      <c r="CU483" s="92"/>
      <c r="CV483" s="92"/>
      <c r="CW483" s="92"/>
      <c r="CX483" s="85"/>
      <c r="CY483" s="85"/>
      <c r="CZ483" s="85"/>
      <c r="DA483" s="85"/>
      <c r="DB483" s="85"/>
      <c r="DC483" s="85"/>
      <c r="DD483" s="85"/>
      <c r="DE483" s="85"/>
      <c r="DF483" s="85"/>
      <c r="DG483" s="85"/>
      <c r="DH483" s="85"/>
      <c r="DI483" s="85"/>
      <c r="DJ483" s="85"/>
      <c r="DK483" s="85"/>
      <c r="DL483" s="85"/>
      <c r="DM483" s="85"/>
      <c r="DN483" s="85"/>
      <c r="DO483" s="85"/>
      <c r="DP483" s="85"/>
    </row>
    <row r="484">
      <c r="A484" s="91"/>
      <c r="B484" s="91"/>
      <c r="C484" s="91"/>
      <c r="D484" s="91"/>
      <c r="E484" s="78"/>
      <c r="F484" s="15"/>
      <c r="G484" s="15"/>
      <c r="H484" s="91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  <c r="BJ484" s="15"/>
      <c r="BK484" s="15"/>
      <c r="BL484" s="15"/>
      <c r="BM484" s="15"/>
      <c r="BN484" s="92"/>
      <c r="BO484" s="92"/>
      <c r="BP484" s="92"/>
      <c r="BQ484" s="92"/>
      <c r="BR484" s="92"/>
      <c r="BS484" s="92"/>
      <c r="BT484" s="92"/>
      <c r="BU484" s="92"/>
      <c r="BV484" s="92"/>
      <c r="BW484" s="92"/>
      <c r="BX484" s="92"/>
      <c r="BY484" s="92"/>
      <c r="BZ484" s="92"/>
      <c r="CA484" s="92"/>
      <c r="CB484" s="92"/>
      <c r="CC484" s="92"/>
      <c r="CD484" s="92"/>
      <c r="CE484" s="92"/>
      <c r="CF484" s="92"/>
      <c r="CG484" s="92"/>
      <c r="CH484" s="92"/>
      <c r="CI484" s="92"/>
      <c r="CJ484" s="92"/>
      <c r="CK484" s="92"/>
      <c r="CL484" s="92"/>
      <c r="CM484" s="92"/>
      <c r="CN484" s="92"/>
      <c r="CO484" s="92"/>
      <c r="CP484" s="92"/>
      <c r="CQ484" s="92"/>
      <c r="CR484" s="92"/>
      <c r="CS484" s="92"/>
      <c r="CT484" s="92"/>
      <c r="CU484" s="92"/>
      <c r="CV484" s="92"/>
      <c r="CW484" s="92"/>
      <c r="CX484" s="85"/>
      <c r="CY484" s="85"/>
      <c r="CZ484" s="85"/>
      <c r="DA484" s="85"/>
      <c r="DB484" s="85"/>
      <c r="DC484" s="85"/>
      <c r="DD484" s="85"/>
      <c r="DE484" s="85"/>
      <c r="DF484" s="85"/>
      <c r="DG484" s="85"/>
      <c r="DH484" s="85"/>
      <c r="DI484" s="85"/>
      <c r="DJ484" s="85"/>
      <c r="DK484" s="85"/>
      <c r="DL484" s="85"/>
      <c r="DM484" s="85"/>
      <c r="DN484" s="85"/>
      <c r="DO484" s="85"/>
      <c r="DP484" s="85"/>
    </row>
    <row r="485">
      <c r="A485" s="91"/>
      <c r="B485" s="91"/>
      <c r="C485" s="91"/>
      <c r="D485" s="91"/>
      <c r="E485" s="78"/>
      <c r="F485" s="15"/>
      <c r="G485" s="15"/>
      <c r="H485" s="91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92"/>
      <c r="BO485" s="92"/>
      <c r="BP485" s="92"/>
      <c r="BQ485" s="92"/>
      <c r="BR485" s="92"/>
      <c r="BS485" s="92"/>
      <c r="BT485" s="92"/>
      <c r="BU485" s="92"/>
      <c r="BV485" s="92"/>
      <c r="BW485" s="92"/>
      <c r="BX485" s="92"/>
      <c r="BY485" s="92"/>
      <c r="BZ485" s="92"/>
      <c r="CA485" s="92"/>
      <c r="CB485" s="92"/>
      <c r="CC485" s="92"/>
      <c r="CD485" s="92"/>
      <c r="CE485" s="92"/>
      <c r="CF485" s="92"/>
      <c r="CG485" s="92"/>
      <c r="CH485" s="92"/>
      <c r="CI485" s="92"/>
      <c r="CJ485" s="92"/>
      <c r="CK485" s="92"/>
      <c r="CL485" s="92"/>
      <c r="CM485" s="92"/>
      <c r="CN485" s="92"/>
      <c r="CO485" s="92"/>
      <c r="CP485" s="92"/>
      <c r="CQ485" s="92"/>
      <c r="CR485" s="92"/>
      <c r="CS485" s="92"/>
      <c r="CT485" s="92"/>
      <c r="CU485" s="92"/>
      <c r="CV485" s="92"/>
      <c r="CW485" s="92"/>
      <c r="CX485" s="85"/>
      <c r="CY485" s="85"/>
      <c r="CZ485" s="85"/>
      <c r="DA485" s="85"/>
      <c r="DB485" s="85"/>
      <c r="DC485" s="85"/>
      <c r="DD485" s="85"/>
      <c r="DE485" s="85"/>
      <c r="DF485" s="85"/>
      <c r="DG485" s="85"/>
      <c r="DH485" s="85"/>
      <c r="DI485" s="85"/>
      <c r="DJ485" s="85"/>
      <c r="DK485" s="85"/>
      <c r="DL485" s="85"/>
      <c r="DM485" s="85"/>
      <c r="DN485" s="85"/>
      <c r="DO485" s="85"/>
      <c r="DP485" s="85"/>
    </row>
    <row r="486">
      <c r="A486" s="91"/>
      <c r="B486" s="91"/>
      <c r="C486" s="91"/>
      <c r="D486" s="91"/>
      <c r="E486" s="78"/>
      <c r="F486" s="15"/>
      <c r="G486" s="15"/>
      <c r="H486" s="91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  <c r="BK486" s="15"/>
      <c r="BL486" s="15"/>
      <c r="BM486" s="15"/>
      <c r="BN486" s="92"/>
      <c r="BO486" s="92"/>
      <c r="BP486" s="92"/>
      <c r="BQ486" s="92"/>
      <c r="BR486" s="92"/>
      <c r="BS486" s="92"/>
      <c r="BT486" s="92"/>
      <c r="BU486" s="92"/>
      <c r="BV486" s="92"/>
      <c r="BW486" s="92"/>
      <c r="BX486" s="92"/>
      <c r="BY486" s="92"/>
      <c r="BZ486" s="92"/>
      <c r="CA486" s="92"/>
      <c r="CB486" s="92"/>
      <c r="CC486" s="92"/>
      <c r="CD486" s="92"/>
      <c r="CE486" s="92"/>
      <c r="CF486" s="92"/>
      <c r="CG486" s="92"/>
      <c r="CH486" s="92"/>
      <c r="CI486" s="92"/>
      <c r="CJ486" s="92"/>
      <c r="CK486" s="92"/>
      <c r="CL486" s="92"/>
      <c r="CM486" s="92"/>
      <c r="CN486" s="92"/>
      <c r="CO486" s="92"/>
      <c r="CP486" s="92"/>
      <c r="CQ486" s="92"/>
      <c r="CR486" s="92"/>
      <c r="CS486" s="92"/>
      <c r="CT486" s="92"/>
      <c r="CU486" s="92"/>
      <c r="CV486" s="92"/>
      <c r="CW486" s="92"/>
      <c r="CX486" s="85"/>
      <c r="CY486" s="85"/>
      <c r="CZ486" s="85"/>
      <c r="DA486" s="85"/>
      <c r="DB486" s="85"/>
      <c r="DC486" s="85"/>
      <c r="DD486" s="85"/>
      <c r="DE486" s="85"/>
      <c r="DF486" s="85"/>
      <c r="DG486" s="85"/>
      <c r="DH486" s="85"/>
      <c r="DI486" s="85"/>
      <c r="DJ486" s="85"/>
      <c r="DK486" s="85"/>
      <c r="DL486" s="85"/>
      <c r="DM486" s="85"/>
      <c r="DN486" s="85"/>
      <c r="DO486" s="85"/>
      <c r="DP486" s="85"/>
    </row>
    <row r="487">
      <c r="A487" s="91"/>
      <c r="B487" s="91"/>
      <c r="C487" s="91"/>
      <c r="D487" s="91"/>
      <c r="E487" s="78"/>
      <c r="F487" s="15"/>
      <c r="G487" s="15"/>
      <c r="H487" s="91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92"/>
      <c r="BO487" s="92"/>
      <c r="BP487" s="92"/>
      <c r="BQ487" s="92"/>
      <c r="BR487" s="92"/>
      <c r="BS487" s="92"/>
      <c r="BT487" s="92"/>
      <c r="BU487" s="92"/>
      <c r="BV487" s="92"/>
      <c r="BW487" s="92"/>
      <c r="BX487" s="92"/>
      <c r="BY487" s="92"/>
      <c r="BZ487" s="92"/>
      <c r="CA487" s="92"/>
      <c r="CB487" s="92"/>
      <c r="CC487" s="92"/>
      <c r="CD487" s="92"/>
      <c r="CE487" s="92"/>
      <c r="CF487" s="92"/>
      <c r="CG487" s="92"/>
      <c r="CH487" s="92"/>
      <c r="CI487" s="92"/>
      <c r="CJ487" s="92"/>
      <c r="CK487" s="92"/>
      <c r="CL487" s="92"/>
      <c r="CM487" s="92"/>
      <c r="CN487" s="92"/>
      <c r="CO487" s="92"/>
      <c r="CP487" s="92"/>
      <c r="CQ487" s="92"/>
      <c r="CR487" s="92"/>
      <c r="CS487" s="92"/>
      <c r="CT487" s="92"/>
      <c r="CU487" s="92"/>
      <c r="CV487" s="92"/>
      <c r="CW487" s="92"/>
      <c r="CX487" s="85"/>
      <c r="CY487" s="85"/>
      <c r="CZ487" s="85"/>
      <c r="DA487" s="85"/>
      <c r="DB487" s="85"/>
      <c r="DC487" s="85"/>
      <c r="DD487" s="85"/>
      <c r="DE487" s="85"/>
      <c r="DF487" s="85"/>
      <c r="DG487" s="85"/>
      <c r="DH487" s="85"/>
      <c r="DI487" s="85"/>
      <c r="DJ487" s="85"/>
      <c r="DK487" s="85"/>
      <c r="DL487" s="85"/>
      <c r="DM487" s="85"/>
      <c r="DN487" s="85"/>
      <c r="DO487" s="85"/>
      <c r="DP487" s="85"/>
    </row>
    <row r="488">
      <c r="A488" s="91"/>
      <c r="B488" s="91"/>
      <c r="C488" s="91"/>
      <c r="D488" s="91"/>
      <c r="E488" s="78"/>
      <c r="F488" s="15"/>
      <c r="G488" s="15"/>
      <c r="H488" s="91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  <c r="BJ488" s="15"/>
      <c r="BK488" s="15"/>
      <c r="BL488" s="15"/>
      <c r="BM488" s="15"/>
      <c r="BN488" s="92"/>
      <c r="BO488" s="92"/>
      <c r="BP488" s="92"/>
      <c r="BQ488" s="92"/>
      <c r="BR488" s="92"/>
      <c r="BS488" s="92"/>
      <c r="BT488" s="92"/>
      <c r="BU488" s="92"/>
      <c r="BV488" s="92"/>
      <c r="BW488" s="92"/>
      <c r="BX488" s="92"/>
      <c r="BY488" s="92"/>
      <c r="BZ488" s="92"/>
      <c r="CA488" s="92"/>
      <c r="CB488" s="92"/>
      <c r="CC488" s="92"/>
      <c r="CD488" s="92"/>
      <c r="CE488" s="92"/>
      <c r="CF488" s="92"/>
      <c r="CG488" s="92"/>
      <c r="CH488" s="92"/>
      <c r="CI488" s="92"/>
      <c r="CJ488" s="92"/>
      <c r="CK488" s="92"/>
      <c r="CL488" s="92"/>
      <c r="CM488" s="92"/>
      <c r="CN488" s="92"/>
      <c r="CO488" s="92"/>
      <c r="CP488" s="92"/>
      <c r="CQ488" s="92"/>
      <c r="CR488" s="92"/>
      <c r="CS488" s="92"/>
      <c r="CT488" s="92"/>
      <c r="CU488" s="92"/>
      <c r="CV488" s="92"/>
      <c r="CW488" s="92"/>
      <c r="CX488" s="85"/>
      <c r="CY488" s="85"/>
      <c r="CZ488" s="85"/>
      <c r="DA488" s="85"/>
      <c r="DB488" s="85"/>
      <c r="DC488" s="85"/>
      <c r="DD488" s="85"/>
      <c r="DE488" s="85"/>
      <c r="DF488" s="85"/>
      <c r="DG488" s="85"/>
      <c r="DH488" s="85"/>
      <c r="DI488" s="85"/>
      <c r="DJ488" s="85"/>
      <c r="DK488" s="85"/>
      <c r="DL488" s="85"/>
      <c r="DM488" s="85"/>
      <c r="DN488" s="85"/>
      <c r="DO488" s="85"/>
      <c r="DP488" s="85"/>
    </row>
    <row r="489">
      <c r="A489" s="91"/>
      <c r="B489" s="91"/>
      <c r="C489" s="91"/>
      <c r="D489" s="91"/>
      <c r="E489" s="78"/>
      <c r="F489" s="15"/>
      <c r="G489" s="15"/>
      <c r="H489" s="91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92"/>
      <c r="BO489" s="92"/>
      <c r="BP489" s="92"/>
      <c r="BQ489" s="92"/>
      <c r="BR489" s="92"/>
      <c r="BS489" s="92"/>
      <c r="BT489" s="92"/>
      <c r="BU489" s="92"/>
      <c r="BV489" s="92"/>
      <c r="BW489" s="92"/>
      <c r="BX489" s="92"/>
      <c r="BY489" s="92"/>
      <c r="BZ489" s="92"/>
      <c r="CA489" s="92"/>
      <c r="CB489" s="92"/>
      <c r="CC489" s="92"/>
      <c r="CD489" s="92"/>
      <c r="CE489" s="92"/>
      <c r="CF489" s="92"/>
      <c r="CG489" s="92"/>
      <c r="CH489" s="92"/>
      <c r="CI489" s="92"/>
      <c r="CJ489" s="92"/>
      <c r="CK489" s="92"/>
      <c r="CL489" s="92"/>
      <c r="CM489" s="92"/>
      <c r="CN489" s="92"/>
      <c r="CO489" s="92"/>
      <c r="CP489" s="92"/>
      <c r="CQ489" s="92"/>
      <c r="CR489" s="92"/>
      <c r="CS489" s="92"/>
      <c r="CT489" s="92"/>
      <c r="CU489" s="92"/>
      <c r="CV489" s="92"/>
      <c r="CW489" s="92"/>
      <c r="CX489" s="85"/>
      <c r="CY489" s="85"/>
      <c r="CZ489" s="85"/>
      <c r="DA489" s="85"/>
      <c r="DB489" s="85"/>
      <c r="DC489" s="85"/>
      <c r="DD489" s="85"/>
      <c r="DE489" s="85"/>
      <c r="DF489" s="85"/>
      <c r="DG489" s="85"/>
      <c r="DH489" s="85"/>
      <c r="DI489" s="85"/>
      <c r="DJ489" s="85"/>
      <c r="DK489" s="85"/>
      <c r="DL489" s="85"/>
      <c r="DM489" s="85"/>
      <c r="DN489" s="85"/>
      <c r="DO489" s="85"/>
      <c r="DP489" s="85"/>
    </row>
    <row r="490">
      <c r="A490" s="91"/>
      <c r="B490" s="91"/>
      <c r="C490" s="91"/>
      <c r="D490" s="91"/>
      <c r="E490" s="78"/>
      <c r="F490" s="15"/>
      <c r="G490" s="15"/>
      <c r="H490" s="91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  <c r="BJ490" s="15"/>
      <c r="BK490" s="15"/>
      <c r="BL490" s="15"/>
      <c r="BM490" s="15"/>
      <c r="BN490" s="92"/>
      <c r="BO490" s="92"/>
      <c r="BP490" s="92"/>
      <c r="BQ490" s="92"/>
      <c r="BR490" s="92"/>
      <c r="BS490" s="92"/>
      <c r="BT490" s="92"/>
      <c r="BU490" s="92"/>
      <c r="BV490" s="92"/>
      <c r="BW490" s="92"/>
      <c r="BX490" s="92"/>
      <c r="BY490" s="92"/>
      <c r="BZ490" s="92"/>
      <c r="CA490" s="92"/>
      <c r="CB490" s="92"/>
      <c r="CC490" s="92"/>
      <c r="CD490" s="92"/>
      <c r="CE490" s="92"/>
      <c r="CF490" s="92"/>
      <c r="CG490" s="92"/>
      <c r="CH490" s="92"/>
      <c r="CI490" s="92"/>
      <c r="CJ490" s="92"/>
      <c r="CK490" s="92"/>
      <c r="CL490" s="92"/>
      <c r="CM490" s="92"/>
      <c r="CN490" s="92"/>
      <c r="CO490" s="92"/>
      <c r="CP490" s="92"/>
      <c r="CQ490" s="92"/>
      <c r="CR490" s="92"/>
      <c r="CS490" s="92"/>
      <c r="CT490" s="92"/>
      <c r="CU490" s="92"/>
      <c r="CV490" s="92"/>
      <c r="CW490" s="92"/>
      <c r="CX490" s="85"/>
      <c r="CY490" s="85"/>
      <c r="CZ490" s="85"/>
      <c r="DA490" s="85"/>
      <c r="DB490" s="85"/>
      <c r="DC490" s="85"/>
      <c r="DD490" s="85"/>
      <c r="DE490" s="85"/>
      <c r="DF490" s="85"/>
      <c r="DG490" s="85"/>
      <c r="DH490" s="85"/>
      <c r="DI490" s="85"/>
      <c r="DJ490" s="85"/>
      <c r="DK490" s="85"/>
      <c r="DL490" s="85"/>
      <c r="DM490" s="85"/>
      <c r="DN490" s="85"/>
      <c r="DO490" s="85"/>
      <c r="DP490" s="85"/>
    </row>
    <row r="491">
      <c r="A491" s="91"/>
      <c r="B491" s="91"/>
      <c r="C491" s="91"/>
      <c r="D491" s="91"/>
      <c r="E491" s="78"/>
      <c r="F491" s="15"/>
      <c r="G491" s="15"/>
      <c r="H491" s="91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92"/>
      <c r="BO491" s="92"/>
      <c r="BP491" s="92"/>
      <c r="BQ491" s="92"/>
      <c r="BR491" s="92"/>
      <c r="BS491" s="92"/>
      <c r="BT491" s="92"/>
      <c r="BU491" s="92"/>
      <c r="BV491" s="92"/>
      <c r="BW491" s="92"/>
      <c r="BX491" s="92"/>
      <c r="BY491" s="92"/>
      <c r="BZ491" s="92"/>
      <c r="CA491" s="92"/>
      <c r="CB491" s="92"/>
      <c r="CC491" s="92"/>
      <c r="CD491" s="92"/>
      <c r="CE491" s="92"/>
      <c r="CF491" s="92"/>
      <c r="CG491" s="92"/>
      <c r="CH491" s="92"/>
      <c r="CI491" s="92"/>
      <c r="CJ491" s="92"/>
      <c r="CK491" s="92"/>
      <c r="CL491" s="92"/>
      <c r="CM491" s="92"/>
      <c r="CN491" s="92"/>
      <c r="CO491" s="92"/>
      <c r="CP491" s="92"/>
      <c r="CQ491" s="92"/>
      <c r="CR491" s="92"/>
      <c r="CS491" s="92"/>
      <c r="CT491" s="92"/>
      <c r="CU491" s="92"/>
      <c r="CV491" s="92"/>
      <c r="CW491" s="92"/>
      <c r="CX491" s="85"/>
      <c r="CY491" s="85"/>
      <c r="CZ491" s="85"/>
      <c r="DA491" s="85"/>
      <c r="DB491" s="85"/>
      <c r="DC491" s="85"/>
      <c r="DD491" s="85"/>
      <c r="DE491" s="85"/>
      <c r="DF491" s="85"/>
      <c r="DG491" s="85"/>
      <c r="DH491" s="85"/>
      <c r="DI491" s="85"/>
      <c r="DJ491" s="85"/>
      <c r="DK491" s="85"/>
      <c r="DL491" s="85"/>
      <c r="DM491" s="85"/>
      <c r="DN491" s="85"/>
      <c r="DO491" s="85"/>
      <c r="DP491" s="85"/>
    </row>
    <row r="492">
      <c r="A492" s="91"/>
      <c r="B492" s="91"/>
      <c r="C492" s="91"/>
      <c r="D492" s="91"/>
      <c r="E492" s="78"/>
      <c r="F492" s="15"/>
      <c r="G492" s="15"/>
      <c r="H492" s="91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  <c r="BJ492" s="15"/>
      <c r="BK492" s="15"/>
      <c r="BL492" s="15"/>
      <c r="BM492" s="15"/>
      <c r="BN492" s="92"/>
      <c r="BO492" s="92"/>
      <c r="BP492" s="92"/>
      <c r="BQ492" s="92"/>
      <c r="BR492" s="92"/>
      <c r="BS492" s="92"/>
      <c r="BT492" s="92"/>
      <c r="BU492" s="92"/>
      <c r="BV492" s="92"/>
      <c r="BW492" s="92"/>
      <c r="BX492" s="92"/>
      <c r="BY492" s="92"/>
      <c r="BZ492" s="92"/>
      <c r="CA492" s="92"/>
      <c r="CB492" s="92"/>
      <c r="CC492" s="92"/>
      <c r="CD492" s="92"/>
      <c r="CE492" s="92"/>
      <c r="CF492" s="92"/>
      <c r="CG492" s="92"/>
      <c r="CH492" s="92"/>
      <c r="CI492" s="92"/>
      <c r="CJ492" s="92"/>
      <c r="CK492" s="92"/>
      <c r="CL492" s="92"/>
      <c r="CM492" s="92"/>
      <c r="CN492" s="92"/>
      <c r="CO492" s="92"/>
      <c r="CP492" s="92"/>
      <c r="CQ492" s="92"/>
      <c r="CR492" s="92"/>
      <c r="CS492" s="92"/>
      <c r="CT492" s="92"/>
      <c r="CU492" s="92"/>
      <c r="CV492" s="92"/>
      <c r="CW492" s="92"/>
      <c r="CX492" s="85"/>
      <c r="CY492" s="85"/>
      <c r="CZ492" s="85"/>
      <c r="DA492" s="85"/>
      <c r="DB492" s="85"/>
      <c r="DC492" s="85"/>
      <c r="DD492" s="85"/>
      <c r="DE492" s="85"/>
      <c r="DF492" s="85"/>
      <c r="DG492" s="85"/>
      <c r="DH492" s="85"/>
      <c r="DI492" s="85"/>
      <c r="DJ492" s="85"/>
      <c r="DK492" s="85"/>
      <c r="DL492" s="85"/>
      <c r="DM492" s="85"/>
      <c r="DN492" s="85"/>
      <c r="DO492" s="85"/>
      <c r="DP492" s="85"/>
    </row>
    <row r="493">
      <c r="A493" s="91"/>
      <c r="B493" s="91"/>
      <c r="C493" s="91"/>
      <c r="D493" s="91"/>
      <c r="E493" s="78"/>
      <c r="F493" s="15"/>
      <c r="G493" s="15"/>
      <c r="H493" s="91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92"/>
      <c r="BO493" s="92"/>
      <c r="BP493" s="92"/>
      <c r="BQ493" s="92"/>
      <c r="BR493" s="92"/>
      <c r="BS493" s="92"/>
      <c r="BT493" s="92"/>
      <c r="BU493" s="92"/>
      <c r="BV493" s="92"/>
      <c r="BW493" s="92"/>
      <c r="BX493" s="92"/>
      <c r="BY493" s="92"/>
      <c r="BZ493" s="92"/>
      <c r="CA493" s="92"/>
      <c r="CB493" s="92"/>
      <c r="CC493" s="92"/>
      <c r="CD493" s="92"/>
      <c r="CE493" s="92"/>
      <c r="CF493" s="92"/>
      <c r="CG493" s="92"/>
      <c r="CH493" s="92"/>
      <c r="CI493" s="92"/>
      <c r="CJ493" s="92"/>
      <c r="CK493" s="92"/>
      <c r="CL493" s="92"/>
      <c r="CM493" s="92"/>
      <c r="CN493" s="92"/>
      <c r="CO493" s="92"/>
      <c r="CP493" s="92"/>
      <c r="CQ493" s="92"/>
      <c r="CR493" s="92"/>
      <c r="CS493" s="92"/>
      <c r="CT493" s="92"/>
      <c r="CU493" s="92"/>
      <c r="CV493" s="92"/>
      <c r="CW493" s="92"/>
      <c r="CX493" s="85"/>
      <c r="CY493" s="85"/>
      <c r="CZ493" s="85"/>
      <c r="DA493" s="85"/>
      <c r="DB493" s="85"/>
      <c r="DC493" s="85"/>
      <c r="DD493" s="85"/>
      <c r="DE493" s="85"/>
      <c r="DF493" s="85"/>
      <c r="DG493" s="85"/>
      <c r="DH493" s="85"/>
      <c r="DI493" s="85"/>
      <c r="DJ493" s="85"/>
      <c r="DK493" s="85"/>
      <c r="DL493" s="85"/>
      <c r="DM493" s="85"/>
      <c r="DN493" s="85"/>
      <c r="DO493" s="85"/>
      <c r="DP493" s="85"/>
    </row>
    <row r="494">
      <c r="A494" s="91"/>
      <c r="B494" s="91"/>
      <c r="C494" s="91"/>
      <c r="D494" s="91"/>
      <c r="E494" s="78"/>
      <c r="F494" s="15"/>
      <c r="G494" s="15"/>
      <c r="H494" s="91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  <c r="BJ494" s="15"/>
      <c r="BK494" s="15"/>
      <c r="BL494" s="15"/>
      <c r="BM494" s="15"/>
      <c r="BN494" s="92"/>
      <c r="BO494" s="92"/>
      <c r="BP494" s="92"/>
      <c r="BQ494" s="92"/>
      <c r="BR494" s="92"/>
      <c r="BS494" s="92"/>
      <c r="BT494" s="92"/>
      <c r="BU494" s="92"/>
      <c r="BV494" s="92"/>
      <c r="BW494" s="92"/>
      <c r="BX494" s="92"/>
      <c r="BY494" s="92"/>
      <c r="BZ494" s="92"/>
      <c r="CA494" s="92"/>
      <c r="CB494" s="92"/>
      <c r="CC494" s="92"/>
      <c r="CD494" s="92"/>
      <c r="CE494" s="92"/>
      <c r="CF494" s="92"/>
      <c r="CG494" s="92"/>
      <c r="CH494" s="92"/>
      <c r="CI494" s="92"/>
      <c r="CJ494" s="92"/>
      <c r="CK494" s="92"/>
      <c r="CL494" s="92"/>
      <c r="CM494" s="92"/>
      <c r="CN494" s="92"/>
      <c r="CO494" s="92"/>
      <c r="CP494" s="92"/>
      <c r="CQ494" s="92"/>
      <c r="CR494" s="92"/>
      <c r="CS494" s="92"/>
      <c r="CT494" s="92"/>
      <c r="CU494" s="92"/>
      <c r="CV494" s="92"/>
      <c r="CW494" s="92"/>
      <c r="CX494" s="85"/>
      <c r="CY494" s="85"/>
      <c r="CZ494" s="85"/>
      <c r="DA494" s="85"/>
      <c r="DB494" s="85"/>
      <c r="DC494" s="85"/>
      <c r="DD494" s="85"/>
      <c r="DE494" s="85"/>
      <c r="DF494" s="85"/>
      <c r="DG494" s="85"/>
      <c r="DH494" s="85"/>
      <c r="DI494" s="85"/>
      <c r="DJ494" s="85"/>
      <c r="DK494" s="85"/>
      <c r="DL494" s="85"/>
      <c r="DM494" s="85"/>
      <c r="DN494" s="85"/>
      <c r="DO494" s="85"/>
      <c r="DP494" s="85"/>
    </row>
    <row r="495">
      <c r="A495" s="91"/>
      <c r="B495" s="91"/>
      <c r="C495" s="91"/>
      <c r="D495" s="91"/>
      <c r="E495" s="78"/>
      <c r="F495" s="15"/>
      <c r="G495" s="15"/>
      <c r="H495" s="91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92"/>
      <c r="BO495" s="92"/>
      <c r="BP495" s="92"/>
      <c r="BQ495" s="92"/>
      <c r="BR495" s="92"/>
      <c r="BS495" s="92"/>
      <c r="BT495" s="92"/>
      <c r="BU495" s="92"/>
      <c r="BV495" s="92"/>
      <c r="BW495" s="92"/>
      <c r="BX495" s="92"/>
      <c r="BY495" s="92"/>
      <c r="BZ495" s="92"/>
      <c r="CA495" s="92"/>
      <c r="CB495" s="92"/>
      <c r="CC495" s="92"/>
      <c r="CD495" s="92"/>
      <c r="CE495" s="92"/>
      <c r="CF495" s="92"/>
      <c r="CG495" s="92"/>
      <c r="CH495" s="92"/>
      <c r="CI495" s="92"/>
      <c r="CJ495" s="92"/>
      <c r="CK495" s="92"/>
      <c r="CL495" s="92"/>
      <c r="CM495" s="92"/>
      <c r="CN495" s="92"/>
      <c r="CO495" s="92"/>
      <c r="CP495" s="92"/>
      <c r="CQ495" s="92"/>
      <c r="CR495" s="92"/>
      <c r="CS495" s="92"/>
      <c r="CT495" s="92"/>
      <c r="CU495" s="92"/>
      <c r="CV495" s="92"/>
      <c r="CW495" s="92"/>
      <c r="CX495" s="85"/>
      <c r="CY495" s="85"/>
      <c r="CZ495" s="85"/>
      <c r="DA495" s="85"/>
      <c r="DB495" s="85"/>
      <c r="DC495" s="85"/>
      <c r="DD495" s="85"/>
      <c r="DE495" s="85"/>
      <c r="DF495" s="85"/>
      <c r="DG495" s="85"/>
      <c r="DH495" s="85"/>
      <c r="DI495" s="85"/>
      <c r="DJ495" s="85"/>
      <c r="DK495" s="85"/>
      <c r="DL495" s="85"/>
      <c r="DM495" s="85"/>
      <c r="DN495" s="85"/>
      <c r="DO495" s="85"/>
      <c r="DP495" s="85"/>
    </row>
    <row r="496">
      <c r="A496" s="91"/>
      <c r="B496" s="91"/>
      <c r="C496" s="91"/>
      <c r="D496" s="91"/>
      <c r="E496" s="78"/>
      <c r="F496" s="15"/>
      <c r="G496" s="15"/>
      <c r="H496" s="91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  <c r="BJ496" s="15"/>
      <c r="BK496" s="15"/>
      <c r="BL496" s="15"/>
      <c r="BM496" s="15"/>
      <c r="BN496" s="92"/>
      <c r="BO496" s="92"/>
      <c r="BP496" s="92"/>
      <c r="BQ496" s="92"/>
      <c r="BR496" s="92"/>
      <c r="BS496" s="92"/>
      <c r="BT496" s="92"/>
      <c r="BU496" s="92"/>
      <c r="BV496" s="92"/>
      <c r="BW496" s="92"/>
      <c r="BX496" s="92"/>
      <c r="BY496" s="92"/>
      <c r="BZ496" s="92"/>
      <c r="CA496" s="92"/>
      <c r="CB496" s="92"/>
      <c r="CC496" s="92"/>
      <c r="CD496" s="92"/>
      <c r="CE496" s="92"/>
      <c r="CF496" s="92"/>
      <c r="CG496" s="92"/>
      <c r="CH496" s="92"/>
      <c r="CI496" s="92"/>
      <c r="CJ496" s="92"/>
      <c r="CK496" s="92"/>
      <c r="CL496" s="92"/>
      <c r="CM496" s="92"/>
      <c r="CN496" s="92"/>
      <c r="CO496" s="92"/>
      <c r="CP496" s="92"/>
      <c r="CQ496" s="92"/>
      <c r="CR496" s="92"/>
      <c r="CS496" s="92"/>
      <c r="CT496" s="92"/>
      <c r="CU496" s="92"/>
      <c r="CV496" s="92"/>
      <c r="CW496" s="92"/>
      <c r="CX496" s="85"/>
      <c r="CY496" s="85"/>
      <c r="CZ496" s="85"/>
      <c r="DA496" s="85"/>
      <c r="DB496" s="85"/>
      <c r="DC496" s="85"/>
      <c r="DD496" s="85"/>
      <c r="DE496" s="85"/>
      <c r="DF496" s="85"/>
      <c r="DG496" s="85"/>
      <c r="DH496" s="85"/>
      <c r="DI496" s="85"/>
      <c r="DJ496" s="85"/>
      <c r="DK496" s="85"/>
      <c r="DL496" s="85"/>
      <c r="DM496" s="85"/>
      <c r="DN496" s="85"/>
      <c r="DO496" s="85"/>
      <c r="DP496" s="85"/>
    </row>
    <row r="497">
      <c r="A497" s="91"/>
      <c r="B497" s="91"/>
      <c r="C497" s="91"/>
      <c r="D497" s="91"/>
      <c r="E497" s="78"/>
      <c r="F497" s="15"/>
      <c r="G497" s="15"/>
      <c r="H497" s="91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92"/>
      <c r="BO497" s="92"/>
      <c r="BP497" s="92"/>
      <c r="BQ497" s="92"/>
      <c r="BR497" s="92"/>
      <c r="BS497" s="92"/>
      <c r="BT497" s="92"/>
      <c r="BU497" s="92"/>
      <c r="BV497" s="92"/>
      <c r="BW497" s="92"/>
      <c r="BX497" s="92"/>
      <c r="BY497" s="92"/>
      <c r="BZ497" s="92"/>
      <c r="CA497" s="92"/>
      <c r="CB497" s="92"/>
      <c r="CC497" s="92"/>
      <c r="CD497" s="92"/>
      <c r="CE497" s="92"/>
      <c r="CF497" s="92"/>
      <c r="CG497" s="92"/>
      <c r="CH497" s="92"/>
      <c r="CI497" s="92"/>
      <c r="CJ497" s="92"/>
      <c r="CK497" s="92"/>
      <c r="CL497" s="92"/>
      <c r="CM497" s="92"/>
      <c r="CN497" s="92"/>
      <c r="CO497" s="92"/>
      <c r="CP497" s="92"/>
      <c r="CQ497" s="92"/>
      <c r="CR497" s="92"/>
      <c r="CS497" s="92"/>
      <c r="CT497" s="92"/>
      <c r="CU497" s="92"/>
      <c r="CV497" s="92"/>
      <c r="CW497" s="92"/>
      <c r="CX497" s="85"/>
      <c r="CY497" s="85"/>
      <c r="CZ497" s="85"/>
      <c r="DA497" s="85"/>
      <c r="DB497" s="85"/>
      <c r="DC497" s="85"/>
      <c r="DD497" s="85"/>
      <c r="DE497" s="85"/>
      <c r="DF497" s="85"/>
      <c r="DG497" s="85"/>
      <c r="DH497" s="85"/>
      <c r="DI497" s="85"/>
      <c r="DJ497" s="85"/>
      <c r="DK497" s="85"/>
      <c r="DL497" s="85"/>
      <c r="DM497" s="85"/>
      <c r="DN497" s="85"/>
      <c r="DO497" s="85"/>
      <c r="DP497" s="85"/>
    </row>
    <row r="498">
      <c r="A498" s="91"/>
      <c r="B498" s="91"/>
      <c r="C498" s="91"/>
      <c r="D498" s="91"/>
      <c r="E498" s="78"/>
      <c r="F498" s="15"/>
      <c r="G498" s="15"/>
      <c r="H498" s="91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  <c r="BJ498" s="15"/>
      <c r="BK498" s="15"/>
      <c r="BL498" s="15"/>
      <c r="BM498" s="15"/>
      <c r="BN498" s="92"/>
      <c r="BO498" s="92"/>
      <c r="BP498" s="92"/>
      <c r="BQ498" s="92"/>
      <c r="BR498" s="92"/>
      <c r="BS498" s="92"/>
      <c r="BT498" s="92"/>
      <c r="BU498" s="92"/>
      <c r="BV498" s="92"/>
      <c r="BW498" s="92"/>
      <c r="BX498" s="92"/>
      <c r="BY498" s="92"/>
      <c r="BZ498" s="92"/>
      <c r="CA498" s="92"/>
      <c r="CB498" s="92"/>
      <c r="CC498" s="92"/>
      <c r="CD498" s="92"/>
      <c r="CE498" s="92"/>
      <c r="CF498" s="92"/>
      <c r="CG498" s="92"/>
      <c r="CH498" s="92"/>
      <c r="CI498" s="92"/>
      <c r="CJ498" s="92"/>
      <c r="CK498" s="92"/>
      <c r="CL498" s="92"/>
      <c r="CM498" s="92"/>
      <c r="CN498" s="92"/>
      <c r="CO498" s="92"/>
      <c r="CP498" s="92"/>
      <c r="CQ498" s="92"/>
      <c r="CR498" s="92"/>
      <c r="CS498" s="92"/>
      <c r="CT498" s="92"/>
      <c r="CU498" s="92"/>
      <c r="CV498" s="92"/>
      <c r="CW498" s="92"/>
      <c r="CX498" s="85"/>
      <c r="CY498" s="85"/>
      <c r="CZ498" s="85"/>
      <c r="DA498" s="85"/>
      <c r="DB498" s="85"/>
      <c r="DC498" s="85"/>
      <c r="DD498" s="85"/>
      <c r="DE498" s="85"/>
      <c r="DF498" s="85"/>
      <c r="DG498" s="85"/>
      <c r="DH498" s="85"/>
      <c r="DI498" s="85"/>
      <c r="DJ498" s="85"/>
      <c r="DK498" s="85"/>
      <c r="DL498" s="85"/>
      <c r="DM498" s="85"/>
      <c r="DN498" s="85"/>
      <c r="DO498" s="85"/>
      <c r="DP498" s="85"/>
    </row>
    <row r="499">
      <c r="A499" s="91"/>
      <c r="B499" s="91"/>
      <c r="C499" s="91"/>
      <c r="D499" s="91"/>
      <c r="E499" s="78"/>
      <c r="F499" s="15"/>
      <c r="G499" s="15"/>
      <c r="H499" s="91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92"/>
      <c r="BO499" s="92"/>
      <c r="BP499" s="92"/>
      <c r="BQ499" s="92"/>
      <c r="BR499" s="92"/>
      <c r="BS499" s="92"/>
      <c r="BT499" s="92"/>
      <c r="BU499" s="92"/>
      <c r="BV499" s="92"/>
      <c r="BW499" s="92"/>
      <c r="BX499" s="92"/>
      <c r="BY499" s="92"/>
      <c r="BZ499" s="92"/>
      <c r="CA499" s="92"/>
      <c r="CB499" s="92"/>
      <c r="CC499" s="92"/>
      <c r="CD499" s="92"/>
      <c r="CE499" s="92"/>
      <c r="CF499" s="92"/>
      <c r="CG499" s="92"/>
      <c r="CH499" s="92"/>
      <c r="CI499" s="92"/>
      <c r="CJ499" s="92"/>
      <c r="CK499" s="92"/>
      <c r="CL499" s="92"/>
      <c r="CM499" s="92"/>
      <c r="CN499" s="92"/>
      <c r="CO499" s="92"/>
      <c r="CP499" s="92"/>
      <c r="CQ499" s="92"/>
      <c r="CR499" s="92"/>
      <c r="CS499" s="92"/>
      <c r="CT499" s="92"/>
      <c r="CU499" s="92"/>
      <c r="CV499" s="92"/>
      <c r="CW499" s="92"/>
      <c r="CX499" s="85"/>
      <c r="CY499" s="85"/>
      <c r="CZ499" s="85"/>
      <c r="DA499" s="85"/>
      <c r="DB499" s="85"/>
      <c r="DC499" s="85"/>
      <c r="DD499" s="85"/>
      <c r="DE499" s="85"/>
      <c r="DF499" s="85"/>
      <c r="DG499" s="85"/>
      <c r="DH499" s="85"/>
      <c r="DI499" s="85"/>
      <c r="DJ499" s="85"/>
      <c r="DK499" s="85"/>
      <c r="DL499" s="85"/>
      <c r="DM499" s="85"/>
      <c r="DN499" s="85"/>
      <c r="DO499" s="85"/>
      <c r="DP499" s="85"/>
    </row>
    <row r="500">
      <c r="A500" s="91"/>
      <c r="B500" s="91"/>
      <c r="C500" s="91"/>
      <c r="D500" s="91"/>
      <c r="E500" s="78"/>
      <c r="F500" s="15"/>
      <c r="G500" s="15"/>
      <c r="H500" s="91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  <c r="BK500" s="15"/>
      <c r="BL500" s="15"/>
      <c r="BM500" s="15"/>
      <c r="BN500" s="92"/>
      <c r="BO500" s="92"/>
      <c r="BP500" s="92"/>
      <c r="BQ500" s="92"/>
      <c r="BR500" s="92"/>
      <c r="BS500" s="92"/>
      <c r="BT500" s="92"/>
      <c r="BU500" s="92"/>
      <c r="BV500" s="92"/>
      <c r="BW500" s="92"/>
      <c r="BX500" s="92"/>
      <c r="BY500" s="92"/>
      <c r="BZ500" s="92"/>
      <c r="CA500" s="92"/>
      <c r="CB500" s="92"/>
      <c r="CC500" s="92"/>
      <c r="CD500" s="92"/>
      <c r="CE500" s="92"/>
      <c r="CF500" s="92"/>
      <c r="CG500" s="92"/>
      <c r="CH500" s="92"/>
      <c r="CI500" s="92"/>
      <c r="CJ500" s="92"/>
      <c r="CK500" s="92"/>
      <c r="CL500" s="92"/>
      <c r="CM500" s="92"/>
      <c r="CN500" s="92"/>
      <c r="CO500" s="92"/>
      <c r="CP500" s="92"/>
      <c r="CQ500" s="92"/>
      <c r="CR500" s="92"/>
      <c r="CS500" s="92"/>
      <c r="CT500" s="92"/>
      <c r="CU500" s="92"/>
      <c r="CV500" s="92"/>
      <c r="CW500" s="92"/>
      <c r="CX500" s="85"/>
      <c r="CY500" s="85"/>
      <c r="CZ500" s="85"/>
      <c r="DA500" s="85"/>
      <c r="DB500" s="85"/>
      <c r="DC500" s="85"/>
      <c r="DD500" s="85"/>
      <c r="DE500" s="85"/>
      <c r="DF500" s="85"/>
      <c r="DG500" s="85"/>
      <c r="DH500" s="85"/>
      <c r="DI500" s="85"/>
      <c r="DJ500" s="85"/>
      <c r="DK500" s="85"/>
      <c r="DL500" s="85"/>
      <c r="DM500" s="85"/>
      <c r="DN500" s="85"/>
      <c r="DO500" s="85"/>
      <c r="DP500" s="85"/>
    </row>
    <row r="501">
      <c r="A501" s="91"/>
      <c r="B501" s="91"/>
      <c r="C501" s="91"/>
      <c r="D501" s="91"/>
      <c r="E501" s="78"/>
      <c r="F501" s="15"/>
      <c r="G501" s="15"/>
      <c r="H501" s="91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92"/>
      <c r="BO501" s="92"/>
      <c r="BP501" s="92"/>
      <c r="BQ501" s="92"/>
      <c r="BR501" s="92"/>
      <c r="BS501" s="92"/>
      <c r="BT501" s="92"/>
      <c r="BU501" s="92"/>
      <c r="BV501" s="92"/>
      <c r="BW501" s="92"/>
      <c r="BX501" s="92"/>
      <c r="BY501" s="92"/>
      <c r="BZ501" s="92"/>
      <c r="CA501" s="92"/>
      <c r="CB501" s="92"/>
      <c r="CC501" s="92"/>
      <c r="CD501" s="92"/>
      <c r="CE501" s="92"/>
      <c r="CF501" s="92"/>
      <c r="CG501" s="92"/>
      <c r="CH501" s="92"/>
      <c r="CI501" s="92"/>
      <c r="CJ501" s="92"/>
      <c r="CK501" s="92"/>
      <c r="CL501" s="92"/>
      <c r="CM501" s="92"/>
      <c r="CN501" s="92"/>
      <c r="CO501" s="92"/>
      <c r="CP501" s="92"/>
      <c r="CQ501" s="92"/>
      <c r="CR501" s="92"/>
      <c r="CS501" s="92"/>
      <c r="CT501" s="92"/>
      <c r="CU501" s="92"/>
      <c r="CV501" s="92"/>
      <c r="CW501" s="92"/>
      <c r="CX501" s="85"/>
      <c r="CY501" s="85"/>
      <c r="CZ501" s="85"/>
      <c r="DA501" s="85"/>
      <c r="DB501" s="85"/>
      <c r="DC501" s="85"/>
      <c r="DD501" s="85"/>
      <c r="DE501" s="85"/>
      <c r="DF501" s="85"/>
      <c r="DG501" s="85"/>
      <c r="DH501" s="85"/>
      <c r="DI501" s="85"/>
      <c r="DJ501" s="85"/>
      <c r="DK501" s="85"/>
      <c r="DL501" s="85"/>
      <c r="DM501" s="85"/>
      <c r="DN501" s="85"/>
      <c r="DO501" s="85"/>
      <c r="DP501" s="85"/>
    </row>
    <row r="502">
      <c r="A502" s="91"/>
      <c r="B502" s="91"/>
      <c r="C502" s="91"/>
      <c r="D502" s="91"/>
      <c r="E502" s="78"/>
      <c r="F502" s="15"/>
      <c r="G502" s="15"/>
      <c r="H502" s="91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  <c r="BJ502" s="15"/>
      <c r="BK502" s="15"/>
      <c r="BL502" s="15"/>
      <c r="BM502" s="15"/>
      <c r="BN502" s="92"/>
      <c r="BO502" s="92"/>
      <c r="BP502" s="92"/>
      <c r="BQ502" s="92"/>
      <c r="BR502" s="92"/>
      <c r="BS502" s="92"/>
      <c r="BT502" s="92"/>
      <c r="BU502" s="92"/>
      <c r="BV502" s="92"/>
      <c r="BW502" s="92"/>
      <c r="BX502" s="92"/>
      <c r="BY502" s="92"/>
      <c r="BZ502" s="92"/>
      <c r="CA502" s="92"/>
      <c r="CB502" s="92"/>
      <c r="CC502" s="92"/>
      <c r="CD502" s="92"/>
      <c r="CE502" s="92"/>
      <c r="CF502" s="92"/>
      <c r="CG502" s="92"/>
      <c r="CH502" s="92"/>
      <c r="CI502" s="92"/>
      <c r="CJ502" s="92"/>
      <c r="CK502" s="92"/>
      <c r="CL502" s="92"/>
      <c r="CM502" s="92"/>
      <c r="CN502" s="92"/>
      <c r="CO502" s="92"/>
      <c r="CP502" s="92"/>
      <c r="CQ502" s="92"/>
      <c r="CR502" s="92"/>
      <c r="CS502" s="92"/>
      <c r="CT502" s="92"/>
      <c r="CU502" s="92"/>
      <c r="CV502" s="92"/>
      <c r="CW502" s="92"/>
      <c r="CX502" s="85"/>
      <c r="CY502" s="85"/>
      <c r="CZ502" s="85"/>
      <c r="DA502" s="85"/>
      <c r="DB502" s="85"/>
      <c r="DC502" s="85"/>
      <c r="DD502" s="85"/>
      <c r="DE502" s="85"/>
      <c r="DF502" s="85"/>
      <c r="DG502" s="85"/>
      <c r="DH502" s="85"/>
      <c r="DI502" s="85"/>
      <c r="DJ502" s="85"/>
      <c r="DK502" s="85"/>
      <c r="DL502" s="85"/>
      <c r="DM502" s="85"/>
      <c r="DN502" s="85"/>
      <c r="DO502" s="85"/>
      <c r="DP502" s="85"/>
    </row>
    <row r="503">
      <c r="A503" s="91"/>
      <c r="B503" s="91"/>
      <c r="C503" s="91"/>
      <c r="D503" s="91"/>
      <c r="E503" s="78"/>
      <c r="F503" s="15"/>
      <c r="G503" s="15"/>
      <c r="H503" s="91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92"/>
      <c r="BO503" s="92"/>
      <c r="BP503" s="92"/>
      <c r="BQ503" s="92"/>
      <c r="BR503" s="92"/>
      <c r="BS503" s="92"/>
      <c r="BT503" s="92"/>
      <c r="BU503" s="92"/>
      <c r="BV503" s="92"/>
      <c r="BW503" s="92"/>
      <c r="BX503" s="92"/>
      <c r="BY503" s="92"/>
      <c r="BZ503" s="92"/>
      <c r="CA503" s="92"/>
      <c r="CB503" s="92"/>
      <c r="CC503" s="92"/>
      <c r="CD503" s="92"/>
      <c r="CE503" s="92"/>
      <c r="CF503" s="92"/>
      <c r="CG503" s="92"/>
      <c r="CH503" s="92"/>
      <c r="CI503" s="92"/>
      <c r="CJ503" s="92"/>
      <c r="CK503" s="92"/>
      <c r="CL503" s="92"/>
      <c r="CM503" s="92"/>
      <c r="CN503" s="92"/>
      <c r="CO503" s="92"/>
      <c r="CP503" s="92"/>
      <c r="CQ503" s="92"/>
      <c r="CR503" s="92"/>
      <c r="CS503" s="92"/>
      <c r="CT503" s="92"/>
      <c r="CU503" s="92"/>
      <c r="CV503" s="92"/>
      <c r="CW503" s="92"/>
      <c r="CX503" s="85"/>
      <c r="CY503" s="85"/>
      <c r="CZ503" s="85"/>
      <c r="DA503" s="85"/>
      <c r="DB503" s="85"/>
      <c r="DC503" s="85"/>
      <c r="DD503" s="85"/>
      <c r="DE503" s="85"/>
      <c r="DF503" s="85"/>
      <c r="DG503" s="85"/>
      <c r="DH503" s="85"/>
      <c r="DI503" s="85"/>
      <c r="DJ503" s="85"/>
      <c r="DK503" s="85"/>
      <c r="DL503" s="85"/>
      <c r="DM503" s="85"/>
      <c r="DN503" s="85"/>
      <c r="DO503" s="85"/>
      <c r="DP503" s="85"/>
    </row>
    <row r="504">
      <c r="A504" s="91"/>
      <c r="B504" s="91"/>
      <c r="C504" s="91"/>
      <c r="D504" s="91"/>
      <c r="E504" s="78"/>
      <c r="F504" s="15"/>
      <c r="G504" s="15"/>
      <c r="H504" s="91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  <c r="BJ504" s="15"/>
      <c r="BK504" s="15"/>
      <c r="BL504" s="15"/>
      <c r="BM504" s="15"/>
      <c r="BN504" s="92"/>
      <c r="BO504" s="92"/>
      <c r="BP504" s="92"/>
      <c r="BQ504" s="92"/>
      <c r="BR504" s="92"/>
      <c r="BS504" s="92"/>
      <c r="BT504" s="92"/>
      <c r="BU504" s="92"/>
      <c r="BV504" s="92"/>
      <c r="BW504" s="92"/>
      <c r="BX504" s="92"/>
      <c r="BY504" s="92"/>
      <c r="BZ504" s="92"/>
      <c r="CA504" s="92"/>
      <c r="CB504" s="92"/>
      <c r="CC504" s="92"/>
      <c r="CD504" s="92"/>
      <c r="CE504" s="92"/>
      <c r="CF504" s="92"/>
      <c r="CG504" s="92"/>
      <c r="CH504" s="92"/>
      <c r="CI504" s="92"/>
      <c r="CJ504" s="92"/>
      <c r="CK504" s="92"/>
      <c r="CL504" s="92"/>
      <c r="CM504" s="92"/>
      <c r="CN504" s="92"/>
      <c r="CO504" s="92"/>
      <c r="CP504" s="92"/>
      <c r="CQ504" s="92"/>
      <c r="CR504" s="92"/>
      <c r="CS504" s="92"/>
      <c r="CT504" s="92"/>
      <c r="CU504" s="92"/>
      <c r="CV504" s="92"/>
      <c r="CW504" s="92"/>
      <c r="CX504" s="85"/>
      <c r="CY504" s="85"/>
      <c r="CZ504" s="85"/>
      <c r="DA504" s="85"/>
      <c r="DB504" s="85"/>
      <c r="DC504" s="85"/>
      <c r="DD504" s="85"/>
      <c r="DE504" s="85"/>
      <c r="DF504" s="85"/>
      <c r="DG504" s="85"/>
      <c r="DH504" s="85"/>
      <c r="DI504" s="85"/>
      <c r="DJ504" s="85"/>
      <c r="DK504" s="85"/>
      <c r="DL504" s="85"/>
      <c r="DM504" s="85"/>
      <c r="DN504" s="85"/>
      <c r="DO504" s="85"/>
      <c r="DP504" s="85"/>
    </row>
    <row r="505">
      <c r="A505" s="91"/>
      <c r="B505" s="91"/>
      <c r="C505" s="91"/>
      <c r="D505" s="91"/>
      <c r="E505" s="78"/>
      <c r="F505" s="15"/>
      <c r="G505" s="15"/>
      <c r="H505" s="91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92"/>
      <c r="BO505" s="92"/>
      <c r="BP505" s="92"/>
      <c r="BQ505" s="92"/>
      <c r="BR505" s="92"/>
      <c r="BS505" s="92"/>
      <c r="BT505" s="92"/>
      <c r="BU505" s="92"/>
      <c r="BV505" s="92"/>
      <c r="BW505" s="92"/>
      <c r="BX505" s="92"/>
      <c r="BY505" s="92"/>
      <c r="BZ505" s="92"/>
      <c r="CA505" s="92"/>
      <c r="CB505" s="92"/>
      <c r="CC505" s="92"/>
      <c r="CD505" s="92"/>
      <c r="CE505" s="92"/>
      <c r="CF505" s="92"/>
      <c r="CG505" s="92"/>
      <c r="CH505" s="92"/>
      <c r="CI505" s="92"/>
      <c r="CJ505" s="92"/>
      <c r="CK505" s="92"/>
      <c r="CL505" s="92"/>
      <c r="CM505" s="92"/>
      <c r="CN505" s="92"/>
      <c r="CO505" s="92"/>
      <c r="CP505" s="92"/>
      <c r="CQ505" s="92"/>
      <c r="CR505" s="92"/>
      <c r="CS505" s="92"/>
      <c r="CT505" s="92"/>
      <c r="CU505" s="92"/>
      <c r="CV505" s="92"/>
      <c r="CW505" s="92"/>
      <c r="CX505" s="85"/>
      <c r="CY505" s="85"/>
      <c r="CZ505" s="85"/>
      <c r="DA505" s="85"/>
      <c r="DB505" s="85"/>
      <c r="DC505" s="85"/>
      <c r="DD505" s="85"/>
      <c r="DE505" s="85"/>
      <c r="DF505" s="85"/>
      <c r="DG505" s="85"/>
      <c r="DH505" s="85"/>
      <c r="DI505" s="85"/>
      <c r="DJ505" s="85"/>
      <c r="DK505" s="85"/>
      <c r="DL505" s="85"/>
      <c r="DM505" s="85"/>
      <c r="DN505" s="85"/>
      <c r="DO505" s="85"/>
      <c r="DP505" s="85"/>
    </row>
    <row r="506">
      <c r="A506" s="91"/>
      <c r="B506" s="91"/>
      <c r="C506" s="91"/>
      <c r="D506" s="91"/>
      <c r="E506" s="78"/>
      <c r="F506" s="15"/>
      <c r="G506" s="15"/>
      <c r="H506" s="91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  <c r="BJ506" s="15"/>
      <c r="BK506" s="15"/>
      <c r="BL506" s="15"/>
      <c r="BM506" s="15"/>
      <c r="BN506" s="92"/>
      <c r="BO506" s="92"/>
      <c r="BP506" s="92"/>
      <c r="BQ506" s="92"/>
      <c r="BR506" s="92"/>
      <c r="BS506" s="92"/>
      <c r="BT506" s="92"/>
      <c r="BU506" s="92"/>
      <c r="BV506" s="92"/>
      <c r="BW506" s="92"/>
      <c r="BX506" s="92"/>
      <c r="BY506" s="92"/>
      <c r="BZ506" s="92"/>
      <c r="CA506" s="92"/>
      <c r="CB506" s="92"/>
      <c r="CC506" s="92"/>
      <c r="CD506" s="92"/>
      <c r="CE506" s="92"/>
      <c r="CF506" s="92"/>
      <c r="CG506" s="92"/>
      <c r="CH506" s="92"/>
      <c r="CI506" s="92"/>
      <c r="CJ506" s="92"/>
      <c r="CK506" s="92"/>
      <c r="CL506" s="92"/>
      <c r="CM506" s="92"/>
      <c r="CN506" s="92"/>
      <c r="CO506" s="92"/>
      <c r="CP506" s="92"/>
      <c r="CQ506" s="92"/>
      <c r="CR506" s="92"/>
      <c r="CS506" s="92"/>
      <c r="CT506" s="92"/>
      <c r="CU506" s="92"/>
      <c r="CV506" s="92"/>
      <c r="CW506" s="92"/>
      <c r="CX506" s="85"/>
      <c r="CY506" s="85"/>
      <c r="CZ506" s="85"/>
      <c r="DA506" s="85"/>
      <c r="DB506" s="85"/>
      <c r="DC506" s="85"/>
      <c r="DD506" s="85"/>
      <c r="DE506" s="85"/>
      <c r="DF506" s="85"/>
      <c r="DG506" s="85"/>
      <c r="DH506" s="85"/>
      <c r="DI506" s="85"/>
      <c r="DJ506" s="85"/>
      <c r="DK506" s="85"/>
      <c r="DL506" s="85"/>
      <c r="DM506" s="85"/>
      <c r="DN506" s="85"/>
      <c r="DO506" s="85"/>
      <c r="DP506" s="85"/>
    </row>
    <row r="507">
      <c r="A507" s="91"/>
      <c r="B507" s="91"/>
      <c r="C507" s="91"/>
      <c r="D507" s="91"/>
      <c r="E507" s="78"/>
      <c r="F507" s="15"/>
      <c r="G507" s="15"/>
      <c r="H507" s="91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92"/>
      <c r="BO507" s="92"/>
      <c r="BP507" s="92"/>
      <c r="BQ507" s="92"/>
      <c r="BR507" s="92"/>
      <c r="BS507" s="92"/>
      <c r="BT507" s="92"/>
      <c r="BU507" s="92"/>
      <c r="BV507" s="92"/>
      <c r="BW507" s="92"/>
      <c r="BX507" s="92"/>
      <c r="BY507" s="92"/>
      <c r="BZ507" s="92"/>
      <c r="CA507" s="92"/>
      <c r="CB507" s="92"/>
      <c r="CC507" s="92"/>
      <c r="CD507" s="92"/>
      <c r="CE507" s="92"/>
      <c r="CF507" s="92"/>
      <c r="CG507" s="92"/>
      <c r="CH507" s="92"/>
      <c r="CI507" s="92"/>
      <c r="CJ507" s="92"/>
      <c r="CK507" s="92"/>
      <c r="CL507" s="92"/>
      <c r="CM507" s="92"/>
      <c r="CN507" s="92"/>
      <c r="CO507" s="92"/>
      <c r="CP507" s="92"/>
      <c r="CQ507" s="92"/>
      <c r="CR507" s="92"/>
      <c r="CS507" s="92"/>
      <c r="CT507" s="92"/>
      <c r="CU507" s="92"/>
      <c r="CV507" s="92"/>
      <c r="CW507" s="92"/>
      <c r="CX507" s="85"/>
      <c r="CY507" s="85"/>
      <c r="CZ507" s="85"/>
      <c r="DA507" s="85"/>
      <c r="DB507" s="85"/>
      <c r="DC507" s="85"/>
      <c r="DD507" s="85"/>
      <c r="DE507" s="85"/>
      <c r="DF507" s="85"/>
      <c r="DG507" s="85"/>
      <c r="DH507" s="85"/>
      <c r="DI507" s="85"/>
      <c r="DJ507" s="85"/>
      <c r="DK507" s="85"/>
      <c r="DL507" s="85"/>
      <c r="DM507" s="85"/>
      <c r="DN507" s="85"/>
      <c r="DO507" s="85"/>
      <c r="DP507" s="85"/>
    </row>
    <row r="508">
      <c r="A508" s="91"/>
      <c r="B508" s="91"/>
      <c r="C508" s="91"/>
      <c r="D508" s="91"/>
      <c r="E508" s="78"/>
      <c r="F508" s="15"/>
      <c r="G508" s="15"/>
      <c r="H508" s="91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92"/>
      <c r="BO508" s="92"/>
      <c r="BP508" s="92"/>
      <c r="BQ508" s="92"/>
      <c r="BR508" s="92"/>
      <c r="BS508" s="92"/>
      <c r="BT508" s="92"/>
      <c r="BU508" s="92"/>
      <c r="BV508" s="92"/>
      <c r="BW508" s="92"/>
      <c r="BX508" s="92"/>
      <c r="BY508" s="92"/>
      <c r="BZ508" s="92"/>
      <c r="CA508" s="92"/>
      <c r="CB508" s="92"/>
      <c r="CC508" s="92"/>
      <c r="CD508" s="92"/>
      <c r="CE508" s="92"/>
      <c r="CF508" s="92"/>
      <c r="CG508" s="92"/>
      <c r="CH508" s="92"/>
      <c r="CI508" s="92"/>
      <c r="CJ508" s="92"/>
      <c r="CK508" s="92"/>
      <c r="CL508" s="92"/>
      <c r="CM508" s="92"/>
      <c r="CN508" s="92"/>
      <c r="CO508" s="92"/>
      <c r="CP508" s="92"/>
      <c r="CQ508" s="92"/>
      <c r="CR508" s="92"/>
      <c r="CS508" s="92"/>
      <c r="CT508" s="92"/>
      <c r="CU508" s="92"/>
      <c r="CV508" s="92"/>
      <c r="CW508" s="92"/>
      <c r="CX508" s="85"/>
      <c r="CY508" s="85"/>
      <c r="CZ508" s="85"/>
      <c r="DA508" s="85"/>
      <c r="DB508" s="85"/>
      <c r="DC508" s="85"/>
      <c r="DD508" s="85"/>
      <c r="DE508" s="85"/>
      <c r="DF508" s="85"/>
      <c r="DG508" s="85"/>
      <c r="DH508" s="85"/>
      <c r="DI508" s="85"/>
      <c r="DJ508" s="85"/>
      <c r="DK508" s="85"/>
      <c r="DL508" s="85"/>
      <c r="DM508" s="85"/>
      <c r="DN508" s="85"/>
      <c r="DO508" s="85"/>
      <c r="DP508" s="85"/>
    </row>
    <row r="509">
      <c r="A509" s="91"/>
      <c r="B509" s="91"/>
      <c r="C509" s="91"/>
      <c r="D509" s="91"/>
      <c r="E509" s="78"/>
      <c r="F509" s="15"/>
      <c r="G509" s="15"/>
      <c r="H509" s="91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92"/>
      <c r="BO509" s="92"/>
      <c r="BP509" s="92"/>
      <c r="BQ509" s="92"/>
      <c r="BR509" s="92"/>
      <c r="BS509" s="92"/>
      <c r="BT509" s="92"/>
      <c r="BU509" s="92"/>
      <c r="BV509" s="92"/>
      <c r="BW509" s="92"/>
      <c r="BX509" s="92"/>
      <c r="BY509" s="92"/>
      <c r="BZ509" s="92"/>
      <c r="CA509" s="92"/>
      <c r="CB509" s="92"/>
      <c r="CC509" s="92"/>
      <c r="CD509" s="92"/>
      <c r="CE509" s="92"/>
      <c r="CF509" s="92"/>
      <c r="CG509" s="92"/>
      <c r="CH509" s="92"/>
      <c r="CI509" s="92"/>
      <c r="CJ509" s="92"/>
      <c r="CK509" s="92"/>
      <c r="CL509" s="92"/>
      <c r="CM509" s="92"/>
      <c r="CN509" s="92"/>
      <c r="CO509" s="92"/>
      <c r="CP509" s="92"/>
      <c r="CQ509" s="92"/>
      <c r="CR509" s="92"/>
      <c r="CS509" s="92"/>
      <c r="CT509" s="92"/>
      <c r="CU509" s="92"/>
      <c r="CV509" s="92"/>
      <c r="CW509" s="92"/>
      <c r="CX509" s="85"/>
      <c r="CY509" s="85"/>
      <c r="CZ509" s="85"/>
      <c r="DA509" s="85"/>
      <c r="DB509" s="85"/>
      <c r="DC509" s="85"/>
      <c r="DD509" s="85"/>
      <c r="DE509" s="85"/>
      <c r="DF509" s="85"/>
      <c r="DG509" s="85"/>
      <c r="DH509" s="85"/>
      <c r="DI509" s="85"/>
      <c r="DJ509" s="85"/>
      <c r="DK509" s="85"/>
      <c r="DL509" s="85"/>
      <c r="DM509" s="85"/>
      <c r="DN509" s="85"/>
      <c r="DO509" s="85"/>
      <c r="DP509" s="85"/>
    </row>
    <row r="510">
      <c r="A510" s="91"/>
      <c r="B510" s="91"/>
      <c r="C510" s="91"/>
      <c r="D510" s="91"/>
      <c r="E510" s="78"/>
      <c r="F510" s="15"/>
      <c r="G510" s="15"/>
      <c r="H510" s="91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92"/>
      <c r="BO510" s="92"/>
      <c r="BP510" s="92"/>
      <c r="BQ510" s="92"/>
      <c r="BR510" s="92"/>
      <c r="BS510" s="92"/>
      <c r="BT510" s="92"/>
      <c r="BU510" s="92"/>
      <c r="BV510" s="92"/>
      <c r="BW510" s="92"/>
      <c r="BX510" s="92"/>
      <c r="BY510" s="92"/>
      <c r="BZ510" s="92"/>
      <c r="CA510" s="92"/>
      <c r="CB510" s="92"/>
      <c r="CC510" s="92"/>
      <c r="CD510" s="92"/>
      <c r="CE510" s="92"/>
      <c r="CF510" s="92"/>
      <c r="CG510" s="92"/>
      <c r="CH510" s="92"/>
      <c r="CI510" s="92"/>
      <c r="CJ510" s="92"/>
      <c r="CK510" s="92"/>
      <c r="CL510" s="92"/>
      <c r="CM510" s="92"/>
      <c r="CN510" s="92"/>
      <c r="CO510" s="92"/>
      <c r="CP510" s="92"/>
      <c r="CQ510" s="92"/>
      <c r="CR510" s="92"/>
      <c r="CS510" s="92"/>
      <c r="CT510" s="92"/>
      <c r="CU510" s="92"/>
      <c r="CV510" s="92"/>
      <c r="CW510" s="92"/>
      <c r="CX510" s="85"/>
      <c r="CY510" s="85"/>
      <c r="CZ510" s="85"/>
      <c r="DA510" s="85"/>
      <c r="DB510" s="85"/>
      <c r="DC510" s="85"/>
      <c r="DD510" s="85"/>
      <c r="DE510" s="85"/>
      <c r="DF510" s="85"/>
      <c r="DG510" s="85"/>
      <c r="DH510" s="85"/>
      <c r="DI510" s="85"/>
      <c r="DJ510" s="85"/>
      <c r="DK510" s="85"/>
      <c r="DL510" s="85"/>
      <c r="DM510" s="85"/>
      <c r="DN510" s="85"/>
      <c r="DO510" s="85"/>
      <c r="DP510" s="85"/>
    </row>
    <row r="511">
      <c r="A511" s="91"/>
      <c r="B511" s="91"/>
      <c r="C511" s="91"/>
      <c r="D511" s="91"/>
      <c r="E511" s="78"/>
      <c r="F511" s="15"/>
      <c r="G511" s="15"/>
      <c r="H511" s="91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92"/>
      <c r="BO511" s="92"/>
      <c r="BP511" s="92"/>
      <c r="BQ511" s="92"/>
      <c r="BR511" s="92"/>
      <c r="BS511" s="92"/>
      <c r="BT511" s="92"/>
      <c r="BU511" s="92"/>
      <c r="BV511" s="92"/>
      <c r="BW511" s="92"/>
      <c r="BX511" s="92"/>
      <c r="BY511" s="92"/>
      <c r="BZ511" s="92"/>
      <c r="CA511" s="92"/>
      <c r="CB511" s="92"/>
      <c r="CC511" s="92"/>
      <c r="CD511" s="92"/>
      <c r="CE511" s="92"/>
      <c r="CF511" s="92"/>
      <c r="CG511" s="92"/>
      <c r="CH511" s="92"/>
      <c r="CI511" s="92"/>
      <c r="CJ511" s="92"/>
      <c r="CK511" s="92"/>
      <c r="CL511" s="92"/>
      <c r="CM511" s="92"/>
      <c r="CN511" s="92"/>
      <c r="CO511" s="92"/>
      <c r="CP511" s="92"/>
      <c r="CQ511" s="92"/>
      <c r="CR511" s="92"/>
      <c r="CS511" s="92"/>
      <c r="CT511" s="92"/>
      <c r="CU511" s="92"/>
      <c r="CV511" s="92"/>
      <c r="CW511" s="92"/>
      <c r="CX511" s="85"/>
      <c r="CY511" s="85"/>
      <c r="CZ511" s="85"/>
      <c r="DA511" s="85"/>
      <c r="DB511" s="85"/>
      <c r="DC511" s="85"/>
      <c r="DD511" s="85"/>
      <c r="DE511" s="85"/>
      <c r="DF511" s="85"/>
      <c r="DG511" s="85"/>
      <c r="DH511" s="85"/>
      <c r="DI511" s="85"/>
      <c r="DJ511" s="85"/>
      <c r="DK511" s="85"/>
      <c r="DL511" s="85"/>
      <c r="DM511" s="85"/>
      <c r="DN511" s="85"/>
      <c r="DO511" s="85"/>
      <c r="DP511" s="85"/>
    </row>
    <row r="512">
      <c r="A512" s="91"/>
      <c r="B512" s="91"/>
      <c r="C512" s="91"/>
      <c r="D512" s="91"/>
      <c r="E512" s="78"/>
      <c r="F512" s="15"/>
      <c r="G512" s="15"/>
      <c r="H512" s="91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92"/>
      <c r="BO512" s="92"/>
      <c r="BP512" s="92"/>
      <c r="BQ512" s="92"/>
      <c r="BR512" s="92"/>
      <c r="BS512" s="92"/>
      <c r="BT512" s="92"/>
      <c r="BU512" s="92"/>
      <c r="BV512" s="92"/>
      <c r="BW512" s="92"/>
      <c r="BX512" s="92"/>
      <c r="BY512" s="92"/>
      <c r="BZ512" s="92"/>
      <c r="CA512" s="92"/>
      <c r="CB512" s="92"/>
      <c r="CC512" s="92"/>
      <c r="CD512" s="92"/>
      <c r="CE512" s="92"/>
      <c r="CF512" s="92"/>
      <c r="CG512" s="92"/>
      <c r="CH512" s="92"/>
      <c r="CI512" s="92"/>
      <c r="CJ512" s="92"/>
      <c r="CK512" s="92"/>
      <c r="CL512" s="92"/>
      <c r="CM512" s="92"/>
      <c r="CN512" s="92"/>
      <c r="CO512" s="92"/>
      <c r="CP512" s="92"/>
      <c r="CQ512" s="92"/>
      <c r="CR512" s="92"/>
      <c r="CS512" s="92"/>
      <c r="CT512" s="92"/>
      <c r="CU512" s="92"/>
      <c r="CV512" s="92"/>
      <c r="CW512" s="92"/>
      <c r="CX512" s="85"/>
      <c r="CY512" s="85"/>
      <c r="CZ512" s="85"/>
      <c r="DA512" s="85"/>
      <c r="DB512" s="85"/>
      <c r="DC512" s="85"/>
      <c r="DD512" s="85"/>
      <c r="DE512" s="85"/>
      <c r="DF512" s="85"/>
      <c r="DG512" s="85"/>
      <c r="DH512" s="85"/>
      <c r="DI512" s="85"/>
      <c r="DJ512" s="85"/>
      <c r="DK512" s="85"/>
      <c r="DL512" s="85"/>
      <c r="DM512" s="85"/>
      <c r="DN512" s="85"/>
      <c r="DO512" s="85"/>
      <c r="DP512" s="85"/>
    </row>
    <row r="513">
      <c r="A513" s="91"/>
      <c r="B513" s="91"/>
      <c r="C513" s="91"/>
      <c r="D513" s="91"/>
      <c r="E513" s="78"/>
      <c r="F513" s="15"/>
      <c r="G513" s="15"/>
      <c r="H513" s="91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92"/>
      <c r="BO513" s="92"/>
      <c r="BP513" s="92"/>
      <c r="BQ513" s="92"/>
      <c r="BR513" s="92"/>
      <c r="BS513" s="92"/>
      <c r="BT513" s="92"/>
      <c r="BU513" s="92"/>
      <c r="BV513" s="92"/>
      <c r="BW513" s="92"/>
      <c r="BX513" s="92"/>
      <c r="BY513" s="92"/>
      <c r="BZ513" s="92"/>
      <c r="CA513" s="92"/>
      <c r="CB513" s="92"/>
      <c r="CC513" s="92"/>
      <c r="CD513" s="92"/>
      <c r="CE513" s="92"/>
      <c r="CF513" s="92"/>
      <c r="CG513" s="92"/>
      <c r="CH513" s="92"/>
      <c r="CI513" s="92"/>
      <c r="CJ513" s="92"/>
      <c r="CK513" s="92"/>
      <c r="CL513" s="92"/>
      <c r="CM513" s="92"/>
      <c r="CN513" s="92"/>
      <c r="CO513" s="92"/>
      <c r="CP513" s="92"/>
      <c r="CQ513" s="92"/>
      <c r="CR513" s="92"/>
      <c r="CS513" s="92"/>
      <c r="CT513" s="92"/>
      <c r="CU513" s="92"/>
      <c r="CV513" s="92"/>
      <c r="CW513" s="92"/>
      <c r="CX513" s="85"/>
      <c r="CY513" s="85"/>
      <c r="CZ513" s="85"/>
      <c r="DA513" s="85"/>
      <c r="DB513" s="85"/>
      <c r="DC513" s="85"/>
      <c r="DD513" s="85"/>
      <c r="DE513" s="85"/>
      <c r="DF513" s="85"/>
      <c r="DG513" s="85"/>
      <c r="DH513" s="85"/>
      <c r="DI513" s="85"/>
      <c r="DJ513" s="85"/>
      <c r="DK513" s="85"/>
      <c r="DL513" s="85"/>
      <c r="DM513" s="85"/>
      <c r="DN513" s="85"/>
      <c r="DO513" s="85"/>
      <c r="DP513" s="85"/>
    </row>
    <row r="514">
      <c r="A514" s="91"/>
      <c r="B514" s="91"/>
      <c r="C514" s="91"/>
      <c r="D514" s="91"/>
      <c r="E514" s="78"/>
      <c r="F514" s="15"/>
      <c r="G514" s="15"/>
      <c r="H514" s="91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  <c r="BJ514" s="15"/>
      <c r="BK514" s="15"/>
      <c r="BL514" s="15"/>
      <c r="BM514" s="15"/>
      <c r="BN514" s="92"/>
      <c r="BO514" s="92"/>
      <c r="BP514" s="92"/>
      <c r="BQ514" s="92"/>
      <c r="BR514" s="92"/>
      <c r="BS514" s="92"/>
      <c r="BT514" s="92"/>
      <c r="BU514" s="92"/>
      <c r="BV514" s="92"/>
      <c r="BW514" s="92"/>
      <c r="BX514" s="92"/>
      <c r="BY514" s="92"/>
      <c r="BZ514" s="92"/>
      <c r="CA514" s="92"/>
      <c r="CB514" s="92"/>
      <c r="CC514" s="92"/>
      <c r="CD514" s="92"/>
      <c r="CE514" s="92"/>
      <c r="CF514" s="92"/>
      <c r="CG514" s="92"/>
      <c r="CH514" s="92"/>
      <c r="CI514" s="92"/>
      <c r="CJ514" s="92"/>
      <c r="CK514" s="92"/>
      <c r="CL514" s="92"/>
      <c r="CM514" s="92"/>
      <c r="CN514" s="92"/>
      <c r="CO514" s="92"/>
      <c r="CP514" s="92"/>
      <c r="CQ514" s="92"/>
      <c r="CR514" s="92"/>
      <c r="CS514" s="92"/>
      <c r="CT514" s="92"/>
      <c r="CU514" s="92"/>
      <c r="CV514" s="92"/>
      <c r="CW514" s="92"/>
      <c r="CX514" s="85"/>
      <c r="CY514" s="85"/>
      <c r="CZ514" s="85"/>
      <c r="DA514" s="85"/>
      <c r="DB514" s="85"/>
      <c r="DC514" s="85"/>
      <c r="DD514" s="85"/>
      <c r="DE514" s="85"/>
      <c r="DF514" s="85"/>
      <c r="DG514" s="85"/>
      <c r="DH514" s="85"/>
      <c r="DI514" s="85"/>
      <c r="DJ514" s="85"/>
      <c r="DK514" s="85"/>
      <c r="DL514" s="85"/>
      <c r="DM514" s="85"/>
      <c r="DN514" s="85"/>
      <c r="DO514" s="85"/>
      <c r="DP514" s="85"/>
    </row>
    <row r="515">
      <c r="A515" s="91"/>
      <c r="B515" s="91"/>
      <c r="C515" s="91"/>
      <c r="D515" s="91"/>
      <c r="E515" s="78"/>
      <c r="F515" s="15"/>
      <c r="G515" s="15"/>
      <c r="H515" s="91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92"/>
      <c r="BO515" s="92"/>
      <c r="BP515" s="92"/>
      <c r="BQ515" s="92"/>
      <c r="BR515" s="92"/>
      <c r="BS515" s="92"/>
      <c r="BT515" s="92"/>
      <c r="BU515" s="92"/>
      <c r="BV515" s="92"/>
      <c r="BW515" s="92"/>
      <c r="BX515" s="92"/>
      <c r="BY515" s="92"/>
      <c r="BZ515" s="92"/>
      <c r="CA515" s="92"/>
      <c r="CB515" s="92"/>
      <c r="CC515" s="92"/>
      <c r="CD515" s="92"/>
      <c r="CE515" s="92"/>
      <c r="CF515" s="92"/>
      <c r="CG515" s="92"/>
      <c r="CH515" s="92"/>
      <c r="CI515" s="92"/>
      <c r="CJ515" s="92"/>
      <c r="CK515" s="92"/>
      <c r="CL515" s="92"/>
      <c r="CM515" s="92"/>
      <c r="CN515" s="92"/>
      <c r="CO515" s="92"/>
      <c r="CP515" s="92"/>
      <c r="CQ515" s="92"/>
      <c r="CR515" s="92"/>
      <c r="CS515" s="92"/>
      <c r="CT515" s="92"/>
      <c r="CU515" s="92"/>
      <c r="CV515" s="92"/>
      <c r="CW515" s="92"/>
      <c r="CX515" s="85"/>
      <c r="CY515" s="85"/>
      <c r="CZ515" s="85"/>
      <c r="DA515" s="85"/>
      <c r="DB515" s="85"/>
      <c r="DC515" s="85"/>
      <c r="DD515" s="85"/>
      <c r="DE515" s="85"/>
      <c r="DF515" s="85"/>
      <c r="DG515" s="85"/>
      <c r="DH515" s="85"/>
      <c r="DI515" s="85"/>
      <c r="DJ515" s="85"/>
      <c r="DK515" s="85"/>
      <c r="DL515" s="85"/>
      <c r="DM515" s="85"/>
      <c r="DN515" s="85"/>
      <c r="DO515" s="85"/>
      <c r="DP515" s="85"/>
    </row>
    <row r="516">
      <c r="A516" s="91"/>
      <c r="B516" s="91"/>
      <c r="C516" s="91"/>
      <c r="D516" s="91"/>
      <c r="E516" s="78"/>
      <c r="F516" s="15"/>
      <c r="G516" s="15"/>
      <c r="H516" s="91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  <c r="BK516" s="15"/>
      <c r="BL516" s="15"/>
      <c r="BM516" s="15"/>
      <c r="BN516" s="92"/>
      <c r="BO516" s="92"/>
      <c r="BP516" s="92"/>
      <c r="BQ516" s="92"/>
      <c r="BR516" s="92"/>
      <c r="BS516" s="92"/>
      <c r="BT516" s="92"/>
      <c r="BU516" s="92"/>
      <c r="BV516" s="92"/>
      <c r="BW516" s="92"/>
      <c r="BX516" s="92"/>
      <c r="BY516" s="92"/>
      <c r="BZ516" s="92"/>
      <c r="CA516" s="92"/>
      <c r="CB516" s="92"/>
      <c r="CC516" s="92"/>
      <c r="CD516" s="92"/>
      <c r="CE516" s="92"/>
      <c r="CF516" s="92"/>
      <c r="CG516" s="92"/>
      <c r="CH516" s="92"/>
      <c r="CI516" s="92"/>
      <c r="CJ516" s="92"/>
      <c r="CK516" s="92"/>
      <c r="CL516" s="92"/>
      <c r="CM516" s="92"/>
      <c r="CN516" s="92"/>
      <c r="CO516" s="92"/>
      <c r="CP516" s="92"/>
      <c r="CQ516" s="92"/>
      <c r="CR516" s="92"/>
      <c r="CS516" s="92"/>
      <c r="CT516" s="92"/>
      <c r="CU516" s="92"/>
      <c r="CV516" s="92"/>
      <c r="CW516" s="92"/>
      <c r="CX516" s="85"/>
      <c r="CY516" s="85"/>
      <c r="CZ516" s="85"/>
      <c r="DA516" s="85"/>
      <c r="DB516" s="85"/>
      <c r="DC516" s="85"/>
      <c r="DD516" s="85"/>
      <c r="DE516" s="85"/>
      <c r="DF516" s="85"/>
      <c r="DG516" s="85"/>
      <c r="DH516" s="85"/>
      <c r="DI516" s="85"/>
      <c r="DJ516" s="85"/>
      <c r="DK516" s="85"/>
      <c r="DL516" s="85"/>
      <c r="DM516" s="85"/>
      <c r="DN516" s="85"/>
      <c r="DO516" s="85"/>
      <c r="DP516" s="85"/>
    </row>
    <row r="517">
      <c r="A517" s="91"/>
      <c r="B517" s="91"/>
      <c r="C517" s="91"/>
      <c r="D517" s="91"/>
      <c r="E517" s="78"/>
      <c r="F517" s="15"/>
      <c r="G517" s="15"/>
      <c r="H517" s="91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92"/>
      <c r="BO517" s="92"/>
      <c r="BP517" s="92"/>
      <c r="BQ517" s="92"/>
      <c r="BR517" s="92"/>
      <c r="BS517" s="92"/>
      <c r="BT517" s="92"/>
      <c r="BU517" s="92"/>
      <c r="BV517" s="92"/>
      <c r="BW517" s="92"/>
      <c r="BX517" s="92"/>
      <c r="BY517" s="92"/>
      <c r="BZ517" s="92"/>
      <c r="CA517" s="92"/>
      <c r="CB517" s="92"/>
      <c r="CC517" s="92"/>
      <c r="CD517" s="92"/>
      <c r="CE517" s="92"/>
      <c r="CF517" s="92"/>
      <c r="CG517" s="92"/>
      <c r="CH517" s="92"/>
      <c r="CI517" s="92"/>
      <c r="CJ517" s="92"/>
      <c r="CK517" s="92"/>
      <c r="CL517" s="92"/>
      <c r="CM517" s="92"/>
      <c r="CN517" s="92"/>
      <c r="CO517" s="92"/>
      <c r="CP517" s="92"/>
      <c r="CQ517" s="92"/>
      <c r="CR517" s="92"/>
      <c r="CS517" s="92"/>
      <c r="CT517" s="92"/>
      <c r="CU517" s="92"/>
      <c r="CV517" s="92"/>
      <c r="CW517" s="92"/>
      <c r="CX517" s="85"/>
      <c r="CY517" s="85"/>
      <c r="CZ517" s="85"/>
      <c r="DA517" s="85"/>
      <c r="DB517" s="85"/>
      <c r="DC517" s="85"/>
      <c r="DD517" s="85"/>
      <c r="DE517" s="85"/>
      <c r="DF517" s="85"/>
      <c r="DG517" s="85"/>
      <c r="DH517" s="85"/>
      <c r="DI517" s="85"/>
      <c r="DJ517" s="85"/>
      <c r="DK517" s="85"/>
      <c r="DL517" s="85"/>
      <c r="DM517" s="85"/>
      <c r="DN517" s="85"/>
      <c r="DO517" s="85"/>
      <c r="DP517" s="85"/>
    </row>
    <row r="518">
      <c r="A518" s="91"/>
      <c r="B518" s="91"/>
      <c r="C518" s="91"/>
      <c r="D518" s="91"/>
      <c r="E518" s="78"/>
      <c r="F518" s="15"/>
      <c r="G518" s="15"/>
      <c r="H518" s="91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L518" s="15"/>
      <c r="BM518" s="15"/>
      <c r="BN518" s="92"/>
      <c r="BO518" s="92"/>
      <c r="BP518" s="92"/>
      <c r="BQ518" s="92"/>
      <c r="BR518" s="92"/>
      <c r="BS518" s="92"/>
      <c r="BT518" s="92"/>
      <c r="BU518" s="92"/>
      <c r="BV518" s="92"/>
      <c r="BW518" s="92"/>
      <c r="BX518" s="92"/>
      <c r="BY518" s="92"/>
      <c r="BZ518" s="92"/>
      <c r="CA518" s="92"/>
      <c r="CB518" s="92"/>
      <c r="CC518" s="92"/>
      <c r="CD518" s="92"/>
      <c r="CE518" s="92"/>
      <c r="CF518" s="92"/>
      <c r="CG518" s="92"/>
      <c r="CH518" s="92"/>
      <c r="CI518" s="92"/>
      <c r="CJ518" s="92"/>
      <c r="CK518" s="92"/>
      <c r="CL518" s="92"/>
      <c r="CM518" s="92"/>
      <c r="CN518" s="92"/>
      <c r="CO518" s="92"/>
      <c r="CP518" s="92"/>
      <c r="CQ518" s="92"/>
      <c r="CR518" s="92"/>
      <c r="CS518" s="92"/>
      <c r="CT518" s="92"/>
      <c r="CU518" s="92"/>
      <c r="CV518" s="92"/>
      <c r="CW518" s="92"/>
      <c r="CX518" s="85"/>
      <c r="CY518" s="85"/>
      <c r="CZ518" s="85"/>
      <c r="DA518" s="85"/>
      <c r="DB518" s="85"/>
      <c r="DC518" s="85"/>
      <c r="DD518" s="85"/>
      <c r="DE518" s="85"/>
      <c r="DF518" s="85"/>
      <c r="DG518" s="85"/>
      <c r="DH518" s="85"/>
      <c r="DI518" s="85"/>
      <c r="DJ518" s="85"/>
      <c r="DK518" s="85"/>
      <c r="DL518" s="85"/>
      <c r="DM518" s="85"/>
      <c r="DN518" s="85"/>
      <c r="DO518" s="85"/>
      <c r="DP518" s="85"/>
    </row>
    <row r="519">
      <c r="A519" s="91"/>
      <c r="B519" s="91"/>
      <c r="C519" s="91"/>
      <c r="D519" s="91"/>
      <c r="E519" s="78"/>
      <c r="F519" s="15"/>
      <c r="G519" s="15"/>
      <c r="H519" s="91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92"/>
      <c r="BO519" s="92"/>
      <c r="BP519" s="92"/>
      <c r="BQ519" s="92"/>
      <c r="BR519" s="92"/>
      <c r="BS519" s="92"/>
      <c r="BT519" s="92"/>
      <c r="BU519" s="92"/>
      <c r="BV519" s="92"/>
      <c r="BW519" s="92"/>
      <c r="BX519" s="92"/>
      <c r="BY519" s="92"/>
      <c r="BZ519" s="92"/>
      <c r="CA519" s="92"/>
      <c r="CB519" s="92"/>
      <c r="CC519" s="92"/>
      <c r="CD519" s="92"/>
      <c r="CE519" s="92"/>
      <c r="CF519" s="92"/>
      <c r="CG519" s="92"/>
      <c r="CH519" s="92"/>
      <c r="CI519" s="92"/>
      <c r="CJ519" s="92"/>
      <c r="CK519" s="92"/>
      <c r="CL519" s="92"/>
      <c r="CM519" s="92"/>
      <c r="CN519" s="92"/>
      <c r="CO519" s="92"/>
      <c r="CP519" s="92"/>
      <c r="CQ519" s="92"/>
      <c r="CR519" s="92"/>
      <c r="CS519" s="92"/>
      <c r="CT519" s="92"/>
      <c r="CU519" s="92"/>
      <c r="CV519" s="92"/>
      <c r="CW519" s="92"/>
      <c r="CX519" s="85"/>
      <c r="CY519" s="85"/>
      <c r="CZ519" s="85"/>
      <c r="DA519" s="85"/>
      <c r="DB519" s="85"/>
      <c r="DC519" s="85"/>
      <c r="DD519" s="85"/>
      <c r="DE519" s="85"/>
      <c r="DF519" s="85"/>
      <c r="DG519" s="85"/>
      <c r="DH519" s="85"/>
      <c r="DI519" s="85"/>
      <c r="DJ519" s="85"/>
      <c r="DK519" s="85"/>
      <c r="DL519" s="85"/>
      <c r="DM519" s="85"/>
      <c r="DN519" s="85"/>
      <c r="DO519" s="85"/>
      <c r="DP519" s="85"/>
    </row>
    <row r="520">
      <c r="A520" s="91"/>
      <c r="B520" s="91"/>
      <c r="C520" s="91"/>
      <c r="D520" s="91"/>
      <c r="E520" s="78"/>
      <c r="F520" s="15"/>
      <c r="G520" s="15"/>
      <c r="H520" s="91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  <c r="BJ520" s="15"/>
      <c r="BK520" s="15"/>
      <c r="BL520" s="15"/>
      <c r="BM520" s="15"/>
      <c r="BN520" s="92"/>
      <c r="BO520" s="92"/>
      <c r="BP520" s="92"/>
      <c r="BQ520" s="92"/>
      <c r="BR520" s="92"/>
      <c r="BS520" s="92"/>
      <c r="BT520" s="92"/>
      <c r="BU520" s="92"/>
      <c r="BV520" s="92"/>
      <c r="BW520" s="92"/>
      <c r="BX520" s="92"/>
      <c r="BY520" s="92"/>
      <c r="BZ520" s="92"/>
      <c r="CA520" s="92"/>
      <c r="CB520" s="92"/>
      <c r="CC520" s="92"/>
      <c r="CD520" s="92"/>
      <c r="CE520" s="92"/>
      <c r="CF520" s="92"/>
      <c r="CG520" s="92"/>
      <c r="CH520" s="92"/>
      <c r="CI520" s="92"/>
      <c r="CJ520" s="92"/>
      <c r="CK520" s="92"/>
      <c r="CL520" s="92"/>
      <c r="CM520" s="92"/>
      <c r="CN520" s="92"/>
      <c r="CO520" s="92"/>
      <c r="CP520" s="92"/>
      <c r="CQ520" s="92"/>
      <c r="CR520" s="92"/>
      <c r="CS520" s="92"/>
      <c r="CT520" s="92"/>
      <c r="CU520" s="92"/>
      <c r="CV520" s="92"/>
      <c r="CW520" s="92"/>
      <c r="CX520" s="85"/>
      <c r="CY520" s="85"/>
      <c r="CZ520" s="85"/>
      <c r="DA520" s="85"/>
      <c r="DB520" s="85"/>
      <c r="DC520" s="85"/>
      <c r="DD520" s="85"/>
      <c r="DE520" s="85"/>
      <c r="DF520" s="85"/>
      <c r="DG520" s="85"/>
      <c r="DH520" s="85"/>
      <c r="DI520" s="85"/>
      <c r="DJ520" s="85"/>
      <c r="DK520" s="85"/>
      <c r="DL520" s="85"/>
      <c r="DM520" s="85"/>
      <c r="DN520" s="85"/>
      <c r="DO520" s="85"/>
      <c r="DP520" s="85"/>
    </row>
    <row r="521">
      <c r="A521" s="91"/>
      <c r="B521" s="91"/>
      <c r="C521" s="91"/>
      <c r="D521" s="91"/>
      <c r="E521" s="78"/>
      <c r="F521" s="15"/>
      <c r="G521" s="15"/>
      <c r="H521" s="91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92"/>
      <c r="BO521" s="92"/>
      <c r="BP521" s="92"/>
      <c r="BQ521" s="92"/>
      <c r="BR521" s="92"/>
      <c r="BS521" s="92"/>
      <c r="BT521" s="92"/>
      <c r="BU521" s="92"/>
      <c r="BV521" s="92"/>
      <c r="BW521" s="92"/>
      <c r="BX521" s="92"/>
      <c r="BY521" s="92"/>
      <c r="BZ521" s="92"/>
      <c r="CA521" s="92"/>
      <c r="CB521" s="92"/>
      <c r="CC521" s="92"/>
      <c r="CD521" s="92"/>
      <c r="CE521" s="92"/>
      <c r="CF521" s="92"/>
      <c r="CG521" s="92"/>
      <c r="CH521" s="92"/>
      <c r="CI521" s="92"/>
      <c r="CJ521" s="92"/>
      <c r="CK521" s="92"/>
      <c r="CL521" s="92"/>
      <c r="CM521" s="92"/>
      <c r="CN521" s="92"/>
      <c r="CO521" s="92"/>
      <c r="CP521" s="92"/>
      <c r="CQ521" s="92"/>
      <c r="CR521" s="92"/>
      <c r="CS521" s="92"/>
      <c r="CT521" s="92"/>
      <c r="CU521" s="92"/>
      <c r="CV521" s="92"/>
      <c r="CW521" s="92"/>
      <c r="CX521" s="85"/>
      <c r="CY521" s="85"/>
      <c r="CZ521" s="85"/>
      <c r="DA521" s="85"/>
      <c r="DB521" s="85"/>
      <c r="DC521" s="85"/>
      <c r="DD521" s="85"/>
      <c r="DE521" s="85"/>
      <c r="DF521" s="85"/>
      <c r="DG521" s="85"/>
      <c r="DH521" s="85"/>
      <c r="DI521" s="85"/>
      <c r="DJ521" s="85"/>
      <c r="DK521" s="85"/>
      <c r="DL521" s="85"/>
      <c r="DM521" s="85"/>
      <c r="DN521" s="85"/>
      <c r="DO521" s="85"/>
      <c r="DP521" s="85"/>
    </row>
    <row r="522">
      <c r="A522" s="91"/>
      <c r="B522" s="91"/>
      <c r="C522" s="91"/>
      <c r="D522" s="91"/>
      <c r="E522" s="78"/>
      <c r="F522" s="15"/>
      <c r="G522" s="15"/>
      <c r="H522" s="91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  <c r="BG522" s="15"/>
      <c r="BH522" s="15"/>
      <c r="BI522" s="15"/>
      <c r="BJ522" s="15"/>
      <c r="BK522" s="15"/>
      <c r="BL522" s="15"/>
      <c r="BM522" s="15"/>
      <c r="BN522" s="92"/>
      <c r="BO522" s="92"/>
      <c r="BP522" s="92"/>
      <c r="BQ522" s="92"/>
      <c r="BR522" s="92"/>
      <c r="BS522" s="92"/>
      <c r="BT522" s="92"/>
      <c r="BU522" s="92"/>
      <c r="BV522" s="92"/>
      <c r="BW522" s="92"/>
      <c r="BX522" s="92"/>
      <c r="BY522" s="92"/>
      <c r="BZ522" s="92"/>
      <c r="CA522" s="92"/>
      <c r="CB522" s="92"/>
      <c r="CC522" s="92"/>
      <c r="CD522" s="92"/>
      <c r="CE522" s="92"/>
      <c r="CF522" s="92"/>
      <c r="CG522" s="92"/>
      <c r="CH522" s="92"/>
      <c r="CI522" s="92"/>
      <c r="CJ522" s="92"/>
      <c r="CK522" s="92"/>
      <c r="CL522" s="92"/>
      <c r="CM522" s="92"/>
      <c r="CN522" s="92"/>
      <c r="CO522" s="92"/>
      <c r="CP522" s="92"/>
      <c r="CQ522" s="92"/>
      <c r="CR522" s="92"/>
      <c r="CS522" s="92"/>
      <c r="CT522" s="92"/>
      <c r="CU522" s="92"/>
      <c r="CV522" s="92"/>
      <c r="CW522" s="92"/>
      <c r="CX522" s="85"/>
      <c r="CY522" s="85"/>
      <c r="CZ522" s="85"/>
      <c r="DA522" s="85"/>
      <c r="DB522" s="85"/>
      <c r="DC522" s="85"/>
      <c r="DD522" s="85"/>
      <c r="DE522" s="85"/>
      <c r="DF522" s="85"/>
      <c r="DG522" s="85"/>
      <c r="DH522" s="85"/>
      <c r="DI522" s="85"/>
      <c r="DJ522" s="85"/>
      <c r="DK522" s="85"/>
      <c r="DL522" s="85"/>
      <c r="DM522" s="85"/>
      <c r="DN522" s="85"/>
      <c r="DO522" s="85"/>
      <c r="DP522" s="85"/>
    </row>
    <row r="523">
      <c r="A523" s="91"/>
      <c r="B523" s="91"/>
      <c r="C523" s="91"/>
      <c r="D523" s="91"/>
      <c r="E523" s="78"/>
      <c r="F523" s="15"/>
      <c r="G523" s="15"/>
      <c r="H523" s="91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92"/>
      <c r="BO523" s="92"/>
      <c r="BP523" s="92"/>
      <c r="BQ523" s="92"/>
      <c r="BR523" s="92"/>
      <c r="BS523" s="92"/>
      <c r="BT523" s="92"/>
      <c r="BU523" s="92"/>
      <c r="BV523" s="92"/>
      <c r="BW523" s="92"/>
      <c r="BX523" s="92"/>
      <c r="BY523" s="92"/>
      <c r="BZ523" s="92"/>
      <c r="CA523" s="92"/>
      <c r="CB523" s="92"/>
      <c r="CC523" s="92"/>
      <c r="CD523" s="92"/>
      <c r="CE523" s="92"/>
      <c r="CF523" s="92"/>
      <c r="CG523" s="92"/>
      <c r="CH523" s="92"/>
      <c r="CI523" s="92"/>
      <c r="CJ523" s="92"/>
      <c r="CK523" s="92"/>
      <c r="CL523" s="92"/>
      <c r="CM523" s="92"/>
      <c r="CN523" s="92"/>
      <c r="CO523" s="92"/>
      <c r="CP523" s="92"/>
      <c r="CQ523" s="92"/>
      <c r="CR523" s="92"/>
      <c r="CS523" s="92"/>
      <c r="CT523" s="92"/>
      <c r="CU523" s="92"/>
      <c r="CV523" s="92"/>
      <c r="CW523" s="92"/>
      <c r="CX523" s="85"/>
      <c r="CY523" s="85"/>
      <c r="CZ523" s="85"/>
      <c r="DA523" s="85"/>
      <c r="DB523" s="85"/>
      <c r="DC523" s="85"/>
      <c r="DD523" s="85"/>
      <c r="DE523" s="85"/>
      <c r="DF523" s="85"/>
      <c r="DG523" s="85"/>
      <c r="DH523" s="85"/>
      <c r="DI523" s="85"/>
      <c r="DJ523" s="85"/>
      <c r="DK523" s="85"/>
      <c r="DL523" s="85"/>
      <c r="DM523" s="85"/>
      <c r="DN523" s="85"/>
      <c r="DO523" s="85"/>
      <c r="DP523" s="85"/>
    </row>
    <row r="524">
      <c r="A524" s="91"/>
      <c r="B524" s="91"/>
      <c r="C524" s="91"/>
      <c r="D524" s="91"/>
      <c r="E524" s="78"/>
      <c r="F524" s="15"/>
      <c r="G524" s="15"/>
      <c r="H524" s="91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  <c r="BJ524" s="15"/>
      <c r="BK524" s="15"/>
      <c r="BL524" s="15"/>
      <c r="BM524" s="15"/>
      <c r="BN524" s="92"/>
      <c r="BO524" s="92"/>
      <c r="BP524" s="92"/>
      <c r="BQ524" s="92"/>
      <c r="BR524" s="92"/>
      <c r="BS524" s="92"/>
      <c r="BT524" s="92"/>
      <c r="BU524" s="92"/>
      <c r="BV524" s="92"/>
      <c r="BW524" s="92"/>
      <c r="BX524" s="92"/>
      <c r="BY524" s="92"/>
      <c r="BZ524" s="92"/>
      <c r="CA524" s="92"/>
      <c r="CB524" s="92"/>
      <c r="CC524" s="92"/>
      <c r="CD524" s="92"/>
      <c r="CE524" s="92"/>
      <c r="CF524" s="92"/>
      <c r="CG524" s="92"/>
      <c r="CH524" s="92"/>
      <c r="CI524" s="92"/>
      <c r="CJ524" s="92"/>
      <c r="CK524" s="92"/>
      <c r="CL524" s="92"/>
      <c r="CM524" s="92"/>
      <c r="CN524" s="92"/>
      <c r="CO524" s="92"/>
      <c r="CP524" s="92"/>
      <c r="CQ524" s="92"/>
      <c r="CR524" s="92"/>
      <c r="CS524" s="92"/>
      <c r="CT524" s="92"/>
      <c r="CU524" s="92"/>
      <c r="CV524" s="92"/>
      <c r="CW524" s="92"/>
      <c r="CX524" s="85"/>
      <c r="CY524" s="85"/>
      <c r="CZ524" s="85"/>
      <c r="DA524" s="85"/>
      <c r="DB524" s="85"/>
      <c r="DC524" s="85"/>
      <c r="DD524" s="85"/>
      <c r="DE524" s="85"/>
      <c r="DF524" s="85"/>
      <c r="DG524" s="85"/>
      <c r="DH524" s="85"/>
      <c r="DI524" s="85"/>
      <c r="DJ524" s="85"/>
      <c r="DK524" s="85"/>
      <c r="DL524" s="85"/>
      <c r="DM524" s="85"/>
      <c r="DN524" s="85"/>
      <c r="DO524" s="85"/>
      <c r="DP524" s="85"/>
    </row>
    <row r="525">
      <c r="A525" s="91"/>
      <c r="B525" s="91"/>
      <c r="C525" s="91"/>
      <c r="D525" s="91"/>
      <c r="E525" s="78"/>
      <c r="F525" s="15"/>
      <c r="G525" s="15"/>
      <c r="H525" s="91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92"/>
      <c r="BO525" s="92"/>
      <c r="BP525" s="92"/>
      <c r="BQ525" s="92"/>
      <c r="BR525" s="92"/>
      <c r="BS525" s="92"/>
      <c r="BT525" s="92"/>
      <c r="BU525" s="92"/>
      <c r="BV525" s="92"/>
      <c r="BW525" s="92"/>
      <c r="BX525" s="92"/>
      <c r="BY525" s="92"/>
      <c r="BZ525" s="92"/>
      <c r="CA525" s="92"/>
      <c r="CB525" s="92"/>
      <c r="CC525" s="92"/>
      <c r="CD525" s="92"/>
      <c r="CE525" s="92"/>
      <c r="CF525" s="92"/>
      <c r="CG525" s="92"/>
      <c r="CH525" s="92"/>
      <c r="CI525" s="92"/>
      <c r="CJ525" s="92"/>
      <c r="CK525" s="92"/>
      <c r="CL525" s="92"/>
      <c r="CM525" s="92"/>
      <c r="CN525" s="92"/>
      <c r="CO525" s="92"/>
      <c r="CP525" s="92"/>
      <c r="CQ525" s="92"/>
      <c r="CR525" s="92"/>
      <c r="CS525" s="92"/>
      <c r="CT525" s="92"/>
      <c r="CU525" s="92"/>
      <c r="CV525" s="92"/>
      <c r="CW525" s="92"/>
      <c r="CX525" s="85"/>
      <c r="CY525" s="85"/>
      <c r="CZ525" s="85"/>
      <c r="DA525" s="85"/>
      <c r="DB525" s="85"/>
      <c r="DC525" s="85"/>
      <c r="DD525" s="85"/>
      <c r="DE525" s="85"/>
      <c r="DF525" s="85"/>
      <c r="DG525" s="85"/>
      <c r="DH525" s="85"/>
      <c r="DI525" s="85"/>
      <c r="DJ525" s="85"/>
      <c r="DK525" s="85"/>
      <c r="DL525" s="85"/>
      <c r="DM525" s="85"/>
      <c r="DN525" s="85"/>
      <c r="DO525" s="85"/>
      <c r="DP525" s="85"/>
    </row>
    <row r="526">
      <c r="A526" s="91"/>
      <c r="B526" s="91"/>
      <c r="C526" s="91"/>
      <c r="D526" s="91"/>
      <c r="E526" s="78"/>
      <c r="F526" s="15"/>
      <c r="G526" s="15"/>
      <c r="H526" s="91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  <c r="BJ526" s="15"/>
      <c r="BK526" s="15"/>
      <c r="BL526" s="15"/>
      <c r="BM526" s="15"/>
      <c r="BN526" s="92"/>
      <c r="BO526" s="92"/>
      <c r="BP526" s="92"/>
      <c r="BQ526" s="92"/>
      <c r="BR526" s="92"/>
      <c r="BS526" s="92"/>
      <c r="BT526" s="92"/>
      <c r="BU526" s="92"/>
      <c r="BV526" s="92"/>
      <c r="BW526" s="92"/>
      <c r="BX526" s="92"/>
      <c r="BY526" s="92"/>
      <c r="BZ526" s="92"/>
      <c r="CA526" s="92"/>
      <c r="CB526" s="92"/>
      <c r="CC526" s="92"/>
      <c r="CD526" s="92"/>
      <c r="CE526" s="92"/>
      <c r="CF526" s="92"/>
      <c r="CG526" s="92"/>
      <c r="CH526" s="92"/>
      <c r="CI526" s="92"/>
      <c r="CJ526" s="92"/>
      <c r="CK526" s="92"/>
      <c r="CL526" s="92"/>
      <c r="CM526" s="92"/>
      <c r="CN526" s="92"/>
      <c r="CO526" s="92"/>
      <c r="CP526" s="92"/>
      <c r="CQ526" s="92"/>
      <c r="CR526" s="92"/>
      <c r="CS526" s="92"/>
      <c r="CT526" s="92"/>
      <c r="CU526" s="92"/>
      <c r="CV526" s="92"/>
      <c r="CW526" s="92"/>
      <c r="CX526" s="85"/>
      <c r="CY526" s="85"/>
      <c r="CZ526" s="85"/>
      <c r="DA526" s="85"/>
      <c r="DB526" s="85"/>
      <c r="DC526" s="85"/>
      <c r="DD526" s="85"/>
      <c r="DE526" s="85"/>
      <c r="DF526" s="85"/>
      <c r="DG526" s="85"/>
      <c r="DH526" s="85"/>
      <c r="DI526" s="85"/>
      <c r="DJ526" s="85"/>
      <c r="DK526" s="85"/>
      <c r="DL526" s="85"/>
      <c r="DM526" s="85"/>
      <c r="DN526" s="85"/>
      <c r="DO526" s="85"/>
      <c r="DP526" s="85"/>
    </row>
    <row r="527">
      <c r="A527" s="91"/>
      <c r="B527" s="91"/>
      <c r="C527" s="91"/>
      <c r="D527" s="91"/>
      <c r="E527" s="78"/>
      <c r="F527" s="15"/>
      <c r="G527" s="15"/>
      <c r="H527" s="91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92"/>
      <c r="BO527" s="92"/>
      <c r="BP527" s="92"/>
      <c r="BQ527" s="92"/>
      <c r="BR527" s="92"/>
      <c r="BS527" s="92"/>
      <c r="BT527" s="92"/>
      <c r="BU527" s="92"/>
      <c r="BV527" s="92"/>
      <c r="BW527" s="92"/>
      <c r="BX527" s="92"/>
      <c r="BY527" s="92"/>
      <c r="BZ527" s="92"/>
      <c r="CA527" s="92"/>
      <c r="CB527" s="92"/>
      <c r="CC527" s="92"/>
      <c r="CD527" s="92"/>
      <c r="CE527" s="92"/>
      <c r="CF527" s="92"/>
      <c r="CG527" s="92"/>
      <c r="CH527" s="92"/>
      <c r="CI527" s="92"/>
      <c r="CJ527" s="92"/>
      <c r="CK527" s="92"/>
      <c r="CL527" s="92"/>
      <c r="CM527" s="92"/>
      <c r="CN527" s="92"/>
      <c r="CO527" s="92"/>
      <c r="CP527" s="92"/>
      <c r="CQ527" s="92"/>
      <c r="CR527" s="92"/>
      <c r="CS527" s="92"/>
      <c r="CT527" s="92"/>
      <c r="CU527" s="92"/>
      <c r="CV527" s="92"/>
      <c r="CW527" s="92"/>
      <c r="CX527" s="85"/>
      <c r="CY527" s="85"/>
      <c r="CZ527" s="85"/>
      <c r="DA527" s="85"/>
      <c r="DB527" s="85"/>
      <c r="DC527" s="85"/>
      <c r="DD527" s="85"/>
      <c r="DE527" s="85"/>
      <c r="DF527" s="85"/>
      <c r="DG527" s="85"/>
      <c r="DH527" s="85"/>
      <c r="DI527" s="85"/>
      <c r="DJ527" s="85"/>
      <c r="DK527" s="85"/>
      <c r="DL527" s="85"/>
      <c r="DM527" s="85"/>
      <c r="DN527" s="85"/>
      <c r="DO527" s="85"/>
      <c r="DP527" s="85"/>
    </row>
    <row r="528">
      <c r="A528" s="91"/>
      <c r="B528" s="91"/>
      <c r="C528" s="91"/>
      <c r="D528" s="91"/>
      <c r="E528" s="78"/>
      <c r="F528" s="15"/>
      <c r="G528" s="15"/>
      <c r="H528" s="91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  <c r="BJ528" s="15"/>
      <c r="BK528" s="15"/>
      <c r="BL528" s="15"/>
      <c r="BM528" s="15"/>
      <c r="BN528" s="92"/>
      <c r="BO528" s="92"/>
      <c r="BP528" s="92"/>
      <c r="BQ528" s="92"/>
      <c r="BR528" s="92"/>
      <c r="BS528" s="92"/>
      <c r="BT528" s="92"/>
      <c r="BU528" s="92"/>
      <c r="BV528" s="92"/>
      <c r="BW528" s="92"/>
      <c r="BX528" s="92"/>
      <c r="BY528" s="92"/>
      <c r="BZ528" s="92"/>
      <c r="CA528" s="92"/>
      <c r="CB528" s="92"/>
      <c r="CC528" s="92"/>
      <c r="CD528" s="92"/>
      <c r="CE528" s="92"/>
      <c r="CF528" s="92"/>
      <c r="CG528" s="92"/>
      <c r="CH528" s="92"/>
      <c r="CI528" s="92"/>
      <c r="CJ528" s="92"/>
      <c r="CK528" s="92"/>
      <c r="CL528" s="92"/>
      <c r="CM528" s="92"/>
      <c r="CN528" s="92"/>
      <c r="CO528" s="92"/>
      <c r="CP528" s="92"/>
      <c r="CQ528" s="92"/>
      <c r="CR528" s="92"/>
      <c r="CS528" s="92"/>
      <c r="CT528" s="92"/>
      <c r="CU528" s="92"/>
      <c r="CV528" s="92"/>
      <c r="CW528" s="92"/>
      <c r="CX528" s="85"/>
      <c r="CY528" s="85"/>
      <c r="CZ528" s="85"/>
      <c r="DA528" s="85"/>
      <c r="DB528" s="85"/>
      <c r="DC528" s="85"/>
      <c r="DD528" s="85"/>
      <c r="DE528" s="85"/>
      <c r="DF528" s="85"/>
      <c r="DG528" s="85"/>
      <c r="DH528" s="85"/>
      <c r="DI528" s="85"/>
      <c r="DJ528" s="85"/>
      <c r="DK528" s="85"/>
      <c r="DL528" s="85"/>
      <c r="DM528" s="85"/>
      <c r="DN528" s="85"/>
      <c r="DO528" s="85"/>
      <c r="DP528" s="85"/>
    </row>
    <row r="529">
      <c r="A529" s="91"/>
      <c r="B529" s="91"/>
      <c r="C529" s="91"/>
      <c r="D529" s="91"/>
      <c r="E529" s="78"/>
      <c r="F529" s="15"/>
      <c r="G529" s="15"/>
      <c r="H529" s="91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92"/>
      <c r="BO529" s="92"/>
      <c r="BP529" s="92"/>
      <c r="BQ529" s="92"/>
      <c r="BR529" s="92"/>
      <c r="BS529" s="92"/>
      <c r="BT529" s="92"/>
      <c r="BU529" s="92"/>
      <c r="BV529" s="92"/>
      <c r="BW529" s="92"/>
      <c r="BX529" s="92"/>
      <c r="BY529" s="92"/>
      <c r="BZ529" s="92"/>
      <c r="CA529" s="92"/>
      <c r="CB529" s="92"/>
      <c r="CC529" s="92"/>
      <c r="CD529" s="92"/>
      <c r="CE529" s="92"/>
      <c r="CF529" s="92"/>
      <c r="CG529" s="92"/>
      <c r="CH529" s="92"/>
      <c r="CI529" s="92"/>
      <c r="CJ529" s="92"/>
      <c r="CK529" s="92"/>
      <c r="CL529" s="92"/>
      <c r="CM529" s="92"/>
      <c r="CN529" s="92"/>
      <c r="CO529" s="92"/>
      <c r="CP529" s="92"/>
      <c r="CQ529" s="92"/>
      <c r="CR529" s="92"/>
      <c r="CS529" s="92"/>
      <c r="CT529" s="92"/>
      <c r="CU529" s="92"/>
      <c r="CV529" s="92"/>
      <c r="CW529" s="92"/>
      <c r="CX529" s="85"/>
      <c r="CY529" s="85"/>
      <c r="CZ529" s="85"/>
      <c r="DA529" s="85"/>
      <c r="DB529" s="85"/>
      <c r="DC529" s="85"/>
      <c r="DD529" s="85"/>
      <c r="DE529" s="85"/>
      <c r="DF529" s="85"/>
      <c r="DG529" s="85"/>
      <c r="DH529" s="85"/>
      <c r="DI529" s="85"/>
      <c r="DJ529" s="85"/>
      <c r="DK529" s="85"/>
      <c r="DL529" s="85"/>
      <c r="DM529" s="85"/>
      <c r="DN529" s="85"/>
      <c r="DO529" s="85"/>
      <c r="DP529" s="85"/>
    </row>
    <row r="530">
      <c r="A530" s="91"/>
      <c r="B530" s="91"/>
      <c r="C530" s="91"/>
      <c r="D530" s="91"/>
      <c r="E530" s="78"/>
      <c r="F530" s="15"/>
      <c r="G530" s="15"/>
      <c r="H530" s="91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  <c r="BH530" s="15"/>
      <c r="BI530" s="15"/>
      <c r="BJ530" s="15"/>
      <c r="BK530" s="15"/>
      <c r="BL530" s="15"/>
      <c r="BM530" s="15"/>
      <c r="BN530" s="92"/>
      <c r="BO530" s="92"/>
      <c r="BP530" s="92"/>
      <c r="BQ530" s="92"/>
      <c r="BR530" s="92"/>
      <c r="BS530" s="92"/>
      <c r="BT530" s="92"/>
      <c r="BU530" s="92"/>
      <c r="BV530" s="92"/>
      <c r="BW530" s="92"/>
      <c r="BX530" s="92"/>
      <c r="BY530" s="92"/>
      <c r="BZ530" s="92"/>
      <c r="CA530" s="92"/>
      <c r="CB530" s="92"/>
      <c r="CC530" s="92"/>
      <c r="CD530" s="92"/>
      <c r="CE530" s="92"/>
      <c r="CF530" s="92"/>
      <c r="CG530" s="92"/>
      <c r="CH530" s="92"/>
      <c r="CI530" s="92"/>
      <c r="CJ530" s="92"/>
      <c r="CK530" s="92"/>
      <c r="CL530" s="92"/>
      <c r="CM530" s="92"/>
      <c r="CN530" s="92"/>
      <c r="CO530" s="92"/>
      <c r="CP530" s="92"/>
      <c r="CQ530" s="92"/>
      <c r="CR530" s="92"/>
      <c r="CS530" s="92"/>
      <c r="CT530" s="92"/>
      <c r="CU530" s="92"/>
      <c r="CV530" s="92"/>
      <c r="CW530" s="92"/>
      <c r="CX530" s="85"/>
      <c r="CY530" s="85"/>
      <c r="CZ530" s="85"/>
      <c r="DA530" s="85"/>
      <c r="DB530" s="85"/>
      <c r="DC530" s="85"/>
      <c r="DD530" s="85"/>
      <c r="DE530" s="85"/>
      <c r="DF530" s="85"/>
      <c r="DG530" s="85"/>
      <c r="DH530" s="85"/>
      <c r="DI530" s="85"/>
      <c r="DJ530" s="85"/>
      <c r="DK530" s="85"/>
      <c r="DL530" s="85"/>
      <c r="DM530" s="85"/>
      <c r="DN530" s="85"/>
      <c r="DO530" s="85"/>
      <c r="DP530" s="85"/>
    </row>
    <row r="531">
      <c r="A531" s="91"/>
      <c r="B531" s="91"/>
      <c r="C531" s="91"/>
      <c r="D531" s="91"/>
      <c r="E531" s="78"/>
      <c r="F531" s="15"/>
      <c r="G531" s="15"/>
      <c r="H531" s="91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92"/>
      <c r="BO531" s="92"/>
      <c r="BP531" s="92"/>
      <c r="BQ531" s="92"/>
      <c r="BR531" s="92"/>
      <c r="BS531" s="92"/>
      <c r="BT531" s="92"/>
      <c r="BU531" s="92"/>
      <c r="BV531" s="92"/>
      <c r="BW531" s="92"/>
      <c r="BX531" s="92"/>
      <c r="BY531" s="92"/>
      <c r="BZ531" s="92"/>
      <c r="CA531" s="92"/>
      <c r="CB531" s="92"/>
      <c r="CC531" s="92"/>
      <c r="CD531" s="92"/>
      <c r="CE531" s="92"/>
      <c r="CF531" s="92"/>
      <c r="CG531" s="92"/>
      <c r="CH531" s="92"/>
      <c r="CI531" s="92"/>
      <c r="CJ531" s="92"/>
      <c r="CK531" s="92"/>
      <c r="CL531" s="92"/>
      <c r="CM531" s="92"/>
      <c r="CN531" s="92"/>
      <c r="CO531" s="92"/>
      <c r="CP531" s="92"/>
      <c r="CQ531" s="92"/>
      <c r="CR531" s="92"/>
      <c r="CS531" s="92"/>
      <c r="CT531" s="92"/>
      <c r="CU531" s="92"/>
      <c r="CV531" s="92"/>
      <c r="CW531" s="92"/>
      <c r="CX531" s="85"/>
      <c r="CY531" s="85"/>
      <c r="CZ531" s="85"/>
      <c r="DA531" s="85"/>
      <c r="DB531" s="85"/>
      <c r="DC531" s="85"/>
      <c r="DD531" s="85"/>
      <c r="DE531" s="85"/>
      <c r="DF531" s="85"/>
      <c r="DG531" s="85"/>
      <c r="DH531" s="85"/>
      <c r="DI531" s="85"/>
      <c r="DJ531" s="85"/>
      <c r="DK531" s="85"/>
      <c r="DL531" s="85"/>
      <c r="DM531" s="85"/>
      <c r="DN531" s="85"/>
      <c r="DO531" s="85"/>
      <c r="DP531" s="85"/>
    </row>
    <row r="532">
      <c r="A532" s="91"/>
      <c r="B532" s="91"/>
      <c r="C532" s="91"/>
      <c r="D532" s="91"/>
      <c r="E532" s="78"/>
      <c r="F532" s="15"/>
      <c r="G532" s="15"/>
      <c r="H532" s="91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  <c r="BJ532" s="15"/>
      <c r="BK532" s="15"/>
      <c r="BL532" s="15"/>
      <c r="BM532" s="15"/>
      <c r="BN532" s="92"/>
      <c r="BO532" s="92"/>
      <c r="BP532" s="92"/>
      <c r="BQ532" s="92"/>
      <c r="BR532" s="92"/>
      <c r="BS532" s="92"/>
      <c r="BT532" s="92"/>
      <c r="BU532" s="92"/>
      <c r="BV532" s="92"/>
      <c r="BW532" s="92"/>
      <c r="BX532" s="92"/>
      <c r="BY532" s="92"/>
      <c r="BZ532" s="92"/>
      <c r="CA532" s="92"/>
      <c r="CB532" s="92"/>
      <c r="CC532" s="92"/>
      <c r="CD532" s="92"/>
      <c r="CE532" s="92"/>
      <c r="CF532" s="92"/>
      <c r="CG532" s="92"/>
      <c r="CH532" s="92"/>
      <c r="CI532" s="92"/>
      <c r="CJ532" s="92"/>
      <c r="CK532" s="92"/>
      <c r="CL532" s="92"/>
      <c r="CM532" s="92"/>
      <c r="CN532" s="92"/>
      <c r="CO532" s="92"/>
      <c r="CP532" s="92"/>
      <c r="CQ532" s="92"/>
      <c r="CR532" s="92"/>
      <c r="CS532" s="92"/>
      <c r="CT532" s="92"/>
      <c r="CU532" s="92"/>
      <c r="CV532" s="92"/>
      <c r="CW532" s="92"/>
      <c r="CX532" s="85"/>
      <c r="CY532" s="85"/>
      <c r="CZ532" s="85"/>
      <c r="DA532" s="85"/>
      <c r="DB532" s="85"/>
      <c r="DC532" s="85"/>
      <c r="DD532" s="85"/>
      <c r="DE532" s="85"/>
      <c r="DF532" s="85"/>
      <c r="DG532" s="85"/>
      <c r="DH532" s="85"/>
      <c r="DI532" s="85"/>
      <c r="DJ532" s="85"/>
      <c r="DK532" s="85"/>
      <c r="DL532" s="85"/>
      <c r="DM532" s="85"/>
      <c r="DN532" s="85"/>
      <c r="DO532" s="85"/>
      <c r="DP532" s="85"/>
    </row>
    <row r="533">
      <c r="A533" s="91"/>
      <c r="B533" s="91"/>
      <c r="C533" s="91"/>
      <c r="D533" s="91"/>
      <c r="E533" s="78"/>
      <c r="F533" s="15"/>
      <c r="G533" s="15"/>
      <c r="H533" s="91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92"/>
      <c r="BO533" s="92"/>
      <c r="BP533" s="92"/>
      <c r="BQ533" s="92"/>
      <c r="BR533" s="92"/>
      <c r="BS533" s="92"/>
      <c r="BT533" s="92"/>
      <c r="BU533" s="92"/>
      <c r="BV533" s="92"/>
      <c r="BW533" s="92"/>
      <c r="BX533" s="92"/>
      <c r="BY533" s="92"/>
      <c r="BZ533" s="92"/>
      <c r="CA533" s="92"/>
      <c r="CB533" s="92"/>
      <c r="CC533" s="92"/>
      <c r="CD533" s="92"/>
      <c r="CE533" s="92"/>
      <c r="CF533" s="92"/>
      <c r="CG533" s="92"/>
      <c r="CH533" s="92"/>
      <c r="CI533" s="92"/>
      <c r="CJ533" s="92"/>
      <c r="CK533" s="92"/>
      <c r="CL533" s="92"/>
      <c r="CM533" s="92"/>
      <c r="CN533" s="92"/>
      <c r="CO533" s="92"/>
      <c r="CP533" s="92"/>
      <c r="CQ533" s="92"/>
      <c r="CR533" s="92"/>
      <c r="CS533" s="92"/>
      <c r="CT533" s="92"/>
      <c r="CU533" s="92"/>
      <c r="CV533" s="92"/>
      <c r="CW533" s="92"/>
      <c r="CX533" s="85"/>
      <c r="CY533" s="85"/>
      <c r="CZ533" s="85"/>
      <c r="DA533" s="85"/>
      <c r="DB533" s="85"/>
      <c r="DC533" s="85"/>
      <c r="DD533" s="85"/>
      <c r="DE533" s="85"/>
      <c r="DF533" s="85"/>
      <c r="DG533" s="85"/>
      <c r="DH533" s="85"/>
      <c r="DI533" s="85"/>
      <c r="DJ533" s="85"/>
      <c r="DK533" s="85"/>
      <c r="DL533" s="85"/>
      <c r="DM533" s="85"/>
      <c r="DN533" s="85"/>
      <c r="DO533" s="85"/>
      <c r="DP533" s="85"/>
    </row>
    <row r="534">
      <c r="A534" s="91"/>
      <c r="B534" s="91"/>
      <c r="C534" s="91"/>
      <c r="D534" s="91"/>
      <c r="E534" s="78"/>
      <c r="F534" s="15"/>
      <c r="G534" s="15"/>
      <c r="H534" s="91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  <c r="BJ534" s="15"/>
      <c r="BK534" s="15"/>
      <c r="BL534" s="15"/>
      <c r="BM534" s="15"/>
      <c r="BN534" s="92"/>
      <c r="BO534" s="92"/>
      <c r="BP534" s="92"/>
      <c r="BQ534" s="92"/>
      <c r="BR534" s="92"/>
      <c r="BS534" s="92"/>
      <c r="BT534" s="92"/>
      <c r="BU534" s="92"/>
      <c r="BV534" s="92"/>
      <c r="BW534" s="92"/>
      <c r="BX534" s="92"/>
      <c r="BY534" s="92"/>
      <c r="BZ534" s="92"/>
      <c r="CA534" s="92"/>
      <c r="CB534" s="92"/>
      <c r="CC534" s="92"/>
      <c r="CD534" s="92"/>
      <c r="CE534" s="92"/>
      <c r="CF534" s="92"/>
      <c r="CG534" s="92"/>
      <c r="CH534" s="92"/>
      <c r="CI534" s="92"/>
      <c r="CJ534" s="92"/>
      <c r="CK534" s="92"/>
      <c r="CL534" s="92"/>
      <c r="CM534" s="92"/>
      <c r="CN534" s="92"/>
      <c r="CO534" s="92"/>
      <c r="CP534" s="92"/>
      <c r="CQ534" s="92"/>
      <c r="CR534" s="92"/>
      <c r="CS534" s="92"/>
      <c r="CT534" s="92"/>
      <c r="CU534" s="92"/>
      <c r="CV534" s="92"/>
      <c r="CW534" s="92"/>
      <c r="CX534" s="85"/>
      <c r="CY534" s="85"/>
      <c r="CZ534" s="85"/>
      <c r="DA534" s="85"/>
      <c r="DB534" s="85"/>
      <c r="DC534" s="85"/>
      <c r="DD534" s="85"/>
      <c r="DE534" s="85"/>
      <c r="DF534" s="85"/>
      <c r="DG534" s="85"/>
      <c r="DH534" s="85"/>
      <c r="DI534" s="85"/>
      <c r="DJ534" s="85"/>
      <c r="DK534" s="85"/>
      <c r="DL534" s="85"/>
      <c r="DM534" s="85"/>
      <c r="DN534" s="85"/>
      <c r="DO534" s="85"/>
      <c r="DP534" s="85"/>
    </row>
    <row r="535">
      <c r="A535" s="91"/>
      <c r="B535" s="91"/>
      <c r="C535" s="91"/>
      <c r="D535" s="91"/>
      <c r="E535" s="78"/>
      <c r="F535" s="15"/>
      <c r="G535" s="15"/>
      <c r="H535" s="91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92"/>
      <c r="BO535" s="92"/>
      <c r="BP535" s="92"/>
      <c r="BQ535" s="92"/>
      <c r="BR535" s="92"/>
      <c r="BS535" s="92"/>
      <c r="BT535" s="92"/>
      <c r="BU535" s="92"/>
      <c r="BV535" s="92"/>
      <c r="BW535" s="92"/>
      <c r="BX535" s="92"/>
      <c r="BY535" s="92"/>
      <c r="BZ535" s="92"/>
      <c r="CA535" s="92"/>
      <c r="CB535" s="92"/>
      <c r="CC535" s="92"/>
      <c r="CD535" s="92"/>
      <c r="CE535" s="92"/>
      <c r="CF535" s="92"/>
      <c r="CG535" s="92"/>
      <c r="CH535" s="92"/>
      <c r="CI535" s="92"/>
      <c r="CJ535" s="92"/>
      <c r="CK535" s="92"/>
      <c r="CL535" s="92"/>
      <c r="CM535" s="92"/>
      <c r="CN535" s="92"/>
      <c r="CO535" s="92"/>
      <c r="CP535" s="92"/>
      <c r="CQ535" s="92"/>
      <c r="CR535" s="92"/>
      <c r="CS535" s="92"/>
      <c r="CT535" s="92"/>
      <c r="CU535" s="92"/>
      <c r="CV535" s="92"/>
      <c r="CW535" s="92"/>
      <c r="CX535" s="85"/>
      <c r="CY535" s="85"/>
      <c r="CZ535" s="85"/>
      <c r="DA535" s="85"/>
      <c r="DB535" s="85"/>
      <c r="DC535" s="85"/>
      <c r="DD535" s="85"/>
      <c r="DE535" s="85"/>
      <c r="DF535" s="85"/>
      <c r="DG535" s="85"/>
      <c r="DH535" s="85"/>
      <c r="DI535" s="85"/>
      <c r="DJ535" s="85"/>
      <c r="DK535" s="85"/>
      <c r="DL535" s="85"/>
      <c r="DM535" s="85"/>
      <c r="DN535" s="85"/>
      <c r="DO535" s="85"/>
      <c r="DP535" s="85"/>
    </row>
    <row r="536">
      <c r="A536" s="91"/>
      <c r="B536" s="91"/>
      <c r="C536" s="91"/>
      <c r="D536" s="91"/>
      <c r="E536" s="78"/>
      <c r="F536" s="15"/>
      <c r="G536" s="15"/>
      <c r="H536" s="91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  <c r="BH536" s="15"/>
      <c r="BI536" s="15"/>
      <c r="BJ536" s="15"/>
      <c r="BK536" s="15"/>
      <c r="BL536" s="15"/>
      <c r="BM536" s="15"/>
      <c r="BN536" s="92"/>
      <c r="BO536" s="92"/>
      <c r="BP536" s="92"/>
      <c r="BQ536" s="92"/>
      <c r="BR536" s="92"/>
      <c r="BS536" s="92"/>
      <c r="BT536" s="92"/>
      <c r="BU536" s="92"/>
      <c r="BV536" s="92"/>
      <c r="BW536" s="92"/>
      <c r="BX536" s="92"/>
      <c r="BY536" s="92"/>
      <c r="BZ536" s="92"/>
      <c r="CA536" s="92"/>
      <c r="CB536" s="92"/>
      <c r="CC536" s="92"/>
      <c r="CD536" s="92"/>
      <c r="CE536" s="92"/>
      <c r="CF536" s="92"/>
      <c r="CG536" s="92"/>
      <c r="CH536" s="92"/>
      <c r="CI536" s="92"/>
      <c r="CJ536" s="92"/>
      <c r="CK536" s="92"/>
      <c r="CL536" s="92"/>
      <c r="CM536" s="92"/>
      <c r="CN536" s="92"/>
      <c r="CO536" s="92"/>
      <c r="CP536" s="92"/>
      <c r="CQ536" s="92"/>
      <c r="CR536" s="92"/>
      <c r="CS536" s="92"/>
      <c r="CT536" s="92"/>
      <c r="CU536" s="92"/>
      <c r="CV536" s="92"/>
      <c r="CW536" s="92"/>
      <c r="CX536" s="85"/>
      <c r="CY536" s="85"/>
      <c r="CZ536" s="85"/>
      <c r="DA536" s="85"/>
      <c r="DB536" s="85"/>
      <c r="DC536" s="85"/>
      <c r="DD536" s="85"/>
      <c r="DE536" s="85"/>
      <c r="DF536" s="85"/>
      <c r="DG536" s="85"/>
      <c r="DH536" s="85"/>
      <c r="DI536" s="85"/>
      <c r="DJ536" s="85"/>
      <c r="DK536" s="85"/>
      <c r="DL536" s="85"/>
      <c r="DM536" s="85"/>
      <c r="DN536" s="85"/>
      <c r="DO536" s="85"/>
      <c r="DP536" s="85"/>
    </row>
    <row r="537">
      <c r="A537" s="91"/>
      <c r="B537" s="91"/>
      <c r="C537" s="91"/>
      <c r="D537" s="91"/>
      <c r="E537" s="78"/>
      <c r="F537" s="15"/>
      <c r="G537" s="15"/>
      <c r="H537" s="91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92"/>
      <c r="BO537" s="92"/>
      <c r="BP537" s="92"/>
      <c r="BQ537" s="92"/>
      <c r="BR537" s="92"/>
      <c r="BS537" s="92"/>
      <c r="BT537" s="92"/>
      <c r="BU537" s="92"/>
      <c r="BV537" s="92"/>
      <c r="BW537" s="92"/>
      <c r="BX537" s="92"/>
      <c r="BY537" s="92"/>
      <c r="BZ537" s="92"/>
      <c r="CA537" s="92"/>
      <c r="CB537" s="92"/>
      <c r="CC537" s="92"/>
      <c r="CD537" s="92"/>
      <c r="CE537" s="92"/>
      <c r="CF537" s="92"/>
      <c r="CG537" s="92"/>
      <c r="CH537" s="92"/>
      <c r="CI537" s="92"/>
      <c r="CJ537" s="92"/>
      <c r="CK537" s="92"/>
      <c r="CL537" s="92"/>
      <c r="CM537" s="92"/>
      <c r="CN537" s="92"/>
      <c r="CO537" s="92"/>
      <c r="CP537" s="92"/>
      <c r="CQ537" s="92"/>
      <c r="CR537" s="92"/>
      <c r="CS537" s="92"/>
      <c r="CT537" s="92"/>
      <c r="CU537" s="92"/>
      <c r="CV537" s="92"/>
      <c r="CW537" s="92"/>
      <c r="CX537" s="85"/>
      <c r="CY537" s="85"/>
      <c r="CZ537" s="85"/>
      <c r="DA537" s="85"/>
      <c r="DB537" s="85"/>
      <c r="DC537" s="85"/>
      <c r="DD537" s="85"/>
      <c r="DE537" s="85"/>
      <c r="DF537" s="85"/>
      <c r="DG537" s="85"/>
      <c r="DH537" s="85"/>
      <c r="DI537" s="85"/>
      <c r="DJ537" s="85"/>
      <c r="DK537" s="85"/>
      <c r="DL537" s="85"/>
      <c r="DM537" s="85"/>
      <c r="DN537" s="85"/>
      <c r="DO537" s="85"/>
      <c r="DP537" s="85"/>
    </row>
    <row r="538">
      <c r="A538" s="91"/>
      <c r="B538" s="91"/>
      <c r="C538" s="91"/>
      <c r="D538" s="91"/>
      <c r="E538" s="78"/>
      <c r="F538" s="15"/>
      <c r="G538" s="15"/>
      <c r="H538" s="91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  <c r="BJ538" s="15"/>
      <c r="BK538" s="15"/>
      <c r="BL538" s="15"/>
      <c r="BM538" s="15"/>
      <c r="BN538" s="92"/>
      <c r="BO538" s="92"/>
      <c r="BP538" s="92"/>
      <c r="BQ538" s="92"/>
      <c r="BR538" s="92"/>
      <c r="BS538" s="92"/>
      <c r="BT538" s="92"/>
      <c r="BU538" s="92"/>
      <c r="BV538" s="92"/>
      <c r="BW538" s="92"/>
      <c r="BX538" s="92"/>
      <c r="BY538" s="92"/>
      <c r="BZ538" s="92"/>
      <c r="CA538" s="92"/>
      <c r="CB538" s="92"/>
      <c r="CC538" s="92"/>
      <c r="CD538" s="92"/>
      <c r="CE538" s="92"/>
      <c r="CF538" s="92"/>
      <c r="CG538" s="92"/>
      <c r="CH538" s="92"/>
      <c r="CI538" s="92"/>
      <c r="CJ538" s="92"/>
      <c r="CK538" s="92"/>
      <c r="CL538" s="92"/>
      <c r="CM538" s="92"/>
      <c r="CN538" s="92"/>
      <c r="CO538" s="92"/>
      <c r="CP538" s="92"/>
      <c r="CQ538" s="92"/>
      <c r="CR538" s="92"/>
      <c r="CS538" s="92"/>
      <c r="CT538" s="92"/>
      <c r="CU538" s="92"/>
      <c r="CV538" s="92"/>
      <c r="CW538" s="92"/>
      <c r="CX538" s="85"/>
      <c r="CY538" s="85"/>
      <c r="CZ538" s="85"/>
      <c r="DA538" s="85"/>
      <c r="DB538" s="85"/>
      <c r="DC538" s="85"/>
      <c r="DD538" s="85"/>
      <c r="DE538" s="85"/>
      <c r="DF538" s="85"/>
      <c r="DG538" s="85"/>
      <c r="DH538" s="85"/>
      <c r="DI538" s="85"/>
      <c r="DJ538" s="85"/>
      <c r="DK538" s="85"/>
      <c r="DL538" s="85"/>
      <c r="DM538" s="85"/>
      <c r="DN538" s="85"/>
      <c r="DO538" s="85"/>
      <c r="DP538" s="85"/>
    </row>
    <row r="539">
      <c r="A539" s="91"/>
      <c r="B539" s="91"/>
      <c r="C539" s="91"/>
      <c r="D539" s="91"/>
      <c r="E539" s="78"/>
      <c r="F539" s="15"/>
      <c r="G539" s="15"/>
      <c r="H539" s="91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92"/>
      <c r="BO539" s="92"/>
      <c r="BP539" s="92"/>
      <c r="BQ539" s="92"/>
      <c r="BR539" s="92"/>
      <c r="BS539" s="92"/>
      <c r="BT539" s="92"/>
      <c r="BU539" s="92"/>
      <c r="BV539" s="92"/>
      <c r="BW539" s="92"/>
      <c r="BX539" s="92"/>
      <c r="BY539" s="92"/>
      <c r="BZ539" s="92"/>
      <c r="CA539" s="92"/>
      <c r="CB539" s="92"/>
      <c r="CC539" s="92"/>
      <c r="CD539" s="92"/>
      <c r="CE539" s="92"/>
      <c r="CF539" s="92"/>
      <c r="CG539" s="92"/>
      <c r="CH539" s="92"/>
      <c r="CI539" s="92"/>
      <c r="CJ539" s="92"/>
      <c r="CK539" s="92"/>
      <c r="CL539" s="92"/>
      <c r="CM539" s="92"/>
      <c r="CN539" s="92"/>
      <c r="CO539" s="92"/>
      <c r="CP539" s="92"/>
      <c r="CQ539" s="92"/>
      <c r="CR539" s="92"/>
      <c r="CS539" s="92"/>
      <c r="CT539" s="92"/>
      <c r="CU539" s="92"/>
      <c r="CV539" s="92"/>
      <c r="CW539" s="92"/>
      <c r="CX539" s="85"/>
      <c r="CY539" s="85"/>
      <c r="CZ539" s="85"/>
      <c r="DA539" s="85"/>
      <c r="DB539" s="85"/>
      <c r="DC539" s="85"/>
      <c r="DD539" s="85"/>
      <c r="DE539" s="85"/>
      <c r="DF539" s="85"/>
      <c r="DG539" s="85"/>
      <c r="DH539" s="85"/>
      <c r="DI539" s="85"/>
      <c r="DJ539" s="85"/>
      <c r="DK539" s="85"/>
      <c r="DL539" s="85"/>
      <c r="DM539" s="85"/>
      <c r="DN539" s="85"/>
      <c r="DO539" s="85"/>
      <c r="DP539" s="85"/>
    </row>
    <row r="540">
      <c r="A540" s="91"/>
      <c r="B540" s="91"/>
      <c r="C540" s="91"/>
      <c r="D540" s="91"/>
      <c r="E540" s="78"/>
      <c r="F540" s="15"/>
      <c r="G540" s="15"/>
      <c r="H540" s="91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  <c r="BJ540" s="15"/>
      <c r="BK540" s="15"/>
      <c r="BL540" s="15"/>
      <c r="BM540" s="15"/>
      <c r="BN540" s="92"/>
      <c r="BO540" s="92"/>
      <c r="BP540" s="92"/>
      <c r="BQ540" s="92"/>
      <c r="BR540" s="92"/>
      <c r="BS540" s="92"/>
      <c r="BT540" s="92"/>
      <c r="BU540" s="92"/>
      <c r="BV540" s="92"/>
      <c r="BW540" s="92"/>
      <c r="BX540" s="92"/>
      <c r="BY540" s="92"/>
      <c r="BZ540" s="92"/>
      <c r="CA540" s="92"/>
      <c r="CB540" s="92"/>
      <c r="CC540" s="92"/>
      <c r="CD540" s="92"/>
      <c r="CE540" s="92"/>
      <c r="CF540" s="92"/>
      <c r="CG540" s="92"/>
      <c r="CH540" s="92"/>
      <c r="CI540" s="92"/>
      <c r="CJ540" s="92"/>
      <c r="CK540" s="92"/>
      <c r="CL540" s="92"/>
      <c r="CM540" s="92"/>
      <c r="CN540" s="92"/>
      <c r="CO540" s="92"/>
      <c r="CP540" s="92"/>
      <c r="CQ540" s="92"/>
      <c r="CR540" s="92"/>
      <c r="CS540" s="92"/>
      <c r="CT540" s="92"/>
      <c r="CU540" s="92"/>
      <c r="CV540" s="92"/>
      <c r="CW540" s="92"/>
      <c r="CX540" s="85"/>
      <c r="CY540" s="85"/>
      <c r="CZ540" s="85"/>
      <c r="DA540" s="85"/>
      <c r="DB540" s="85"/>
      <c r="DC540" s="85"/>
      <c r="DD540" s="85"/>
      <c r="DE540" s="85"/>
      <c r="DF540" s="85"/>
      <c r="DG540" s="85"/>
      <c r="DH540" s="85"/>
      <c r="DI540" s="85"/>
      <c r="DJ540" s="85"/>
      <c r="DK540" s="85"/>
      <c r="DL540" s="85"/>
      <c r="DM540" s="85"/>
      <c r="DN540" s="85"/>
      <c r="DO540" s="85"/>
      <c r="DP540" s="85"/>
    </row>
    <row r="541">
      <c r="A541" s="91"/>
      <c r="B541" s="91"/>
      <c r="C541" s="91"/>
      <c r="D541" s="91"/>
      <c r="E541" s="78"/>
      <c r="F541" s="15"/>
      <c r="G541" s="15"/>
      <c r="H541" s="91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92"/>
      <c r="BO541" s="92"/>
      <c r="BP541" s="92"/>
      <c r="BQ541" s="92"/>
      <c r="BR541" s="92"/>
      <c r="BS541" s="92"/>
      <c r="BT541" s="92"/>
      <c r="BU541" s="92"/>
      <c r="BV541" s="92"/>
      <c r="BW541" s="92"/>
      <c r="BX541" s="92"/>
      <c r="BY541" s="92"/>
      <c r="BZ541" s="92"/>
      <c r="CA541" s="92"/>
      <c r="CB541" s="92"/>
      <c r="CC541" s="92"/>
      <c r="CD541" s="92"/>
      <c r="CE541" s="92"/>
      <c r="CF541" s="92"/>
      <c r="CG541" s="92"/>
      <c r="CH541" s="92"/>
      <c r="CI541" s="92"/>
      <c r="CJ541" s="92"/>
      <c r="CK541" s="92"/>
      <c r="CL541" s="92"/>
      <c r="CM541" s="92"/>
      <c r="CN541" s="92"/>
      <c r="CO541" s="92"/>
      <c r="CP541" s="92"/>
      <c r="CQ541" s="92"/>
      <c r="CR541" s="92"/>
      <c r="CS541" s="92"/>
      <c r="CT541" s="92"/>
      <c r="CU541" s="92"/>
      <c r="CV541" s="92"/>
      <c r="CW541" s="92"/>
      <c r="CX541" s="85"/>
      <c r="CY541" s="85"/>
      <c r="CZ541" s="85"/>
      <c r="DA541" s="85"/>
      <c r="DB541" s="85"/>
      <c r="DC541" s="85"/>
      <c r="DD541" s="85"/>
      <c r="DE541" s="85"/>
      <c r="DF541" s="85"/>
      <c r="DG541" s="85"/>
      <c r="DH541" s="85"/>
      <c r="DI541" s="85"/>
      <c r="DJ541" s="85"/>
      <c r="DK541" s="85"/>
      <c r="DL541" s="85"/>
      <c r="DM541" s="85"/>
      <c r="DN541" s="85"/>
      <c r="DO541" s="85"/>
      <c r="DP541" s="85"/>
    </row>
    <row r="542">
      <c r="A542" s="91"/>
      <c r="B542" s="91"/>
      <c r="C542" s="91"/>
      <c r="D542" s="91"/>
      <c r="E542" s="78"/>
      <c r="F542" s="15"/>
      <c r="G542" s="15"/>
      <c r="H542" s="91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  <c r="BJ542" s="15"/>
      <c r="BK542" s="15"/>
      <c r="BL542" s="15"/>
      <c r="BM542" s="15"/>
      <c r="BN542" s="92"/>
      <c r="BO542" s="92"/>
      <c r="BP542" s="92"/>
      <c r="BQ542" s="92"/>
      <c r="BR542" s="92"/>
      <c r="BS542" s="92"/>
      <c r="BT542" s="92"/>
      <c r="BU542" s="92"/>
      <c r="BV542" s="92"/>
      <c r="BW542" s="92"/>
      <c r="BX542" s="92"/>
      <c r="BY542" s="92"/>
      <c r="BZ542" s="92"/>
      <c r="CA542" s="92"/>
      <c r="CB542" s="92"/>
      <c r="CC542" s="92"/>
      <c r="CD542" s="92"/>
      <c r="CE542" s="92"/>
      <c r="CF542" s="92"/>
      <c r="CG542" s="92"/>
      <c r="CH542" s="92"/>
      <c r="CI542" s="92"/>
      <c r="CJ542" s="92"/>
      <c r="CK542" s="92"/>
      <c r="CL542" s="92"/>
      <c r="CM542" s="92"/>
      <c r="CN542" s="92"/>
      <c r="CO542" s="92"/>
      <c r="CP542" s="92"/>
      <c r="CQ542" s="92"/>
      <c r="CR542" s="92"/>
      <c r="CS542" s="92"/>
      <c r="CT542" s="92"/>
      <c r="CU542" s="92"/>
      <c r="CV542" s="92"/>
      <c r="CW542" s="92"/>
      <c r="CX542" s="85"/>
      <c r="CY542" s="85"/>
      <c r="CZ542" s="85"/>
      <c r="DA542" s="85"/>
      <c r="DB542" s="85"/>
      <c r="DC542" s="85"/>
      <c r="DD542" s="85"/>
      <c r="DE542" s="85"/>
      <c r="DF542" s="85"/>
      <c r="DG542" s="85"/>
      <c r="DH542" s="85"/>
      <c r="DI542" s="85"/>
      <c r="DJ542" s="85"/>
      <c r="DK542" s="85"/>
      <c r="DL542" s="85"/>
      <c r="DM542" s="85"/>
      <c r="DN542" s="85"/>
      <c r="DO542" s="85"/>
      <c r="DP542" s="85"/>
    </row>
    <row r="543">
      <c r="A543" s="91"/>
      <c r="B543" s="91"/>
      <c r="C543" s="91"/>
      <c r="D543" s="91"/>
      <c r="E543" s="78"/>
      <c r="F543" s="15"/>
      <c r="G543" s="15"/>
      <c r="H543" s="91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92"/>
      <c r="BO543" s="92"/>
      <c r="BP543" s="92"/>
      <c r="BQ543" s="92"/>
      <c r="BR543" s="92"/>
      <c r="BS543" s="92"/>
      <c r="BT543" s="92"/>
      <c r="BU543" s="92"/>
      <c r="BV543" s="92"/>
      <c r="BW543" s="92"/>
      <c r="BX543" s="92"/>
      <c r="BY543" s="92"/>
      <c r="BZ543" s="92"/>
      <c r="CA543" s="92"/>
      <c r="CB543" s="92"/>
      <c r="CC543" s="92"/>
      <c r="CD543" s="92"/>
      <c r="CE543" s="92"/>
      <c r="CF543" s="92"/>
      <c r="CG543" s="92"/>
      <c r="CH543" s="92"/>
      <c r="CI543" s="92"/>
      <c r="CJ543" s="92"/>
      <c r="CK543" s="92"/>
      <c r="CL543" s="92"/>
      <c r="CM543" s="92"/>
      <c r="CN543" s="92"/>
      <c r="CO543" s="92"/>
      <c r="CP543" s="92"/>
      <c r="CQ543" s="92"/>
      <c r="CR543" s="92"/>
      <c r="CS543" s="92"/>
      <c r="CT543" s="92"/>
      <c r="CU543" s="92"/>
      <c r="CV543" s="92"/>
      <c r="CW543" s="92"/>
      <c r="CX543" s="85"/>
      <c r="CY543" s="85"/>
      <c r="CZ543" s="85"/>
      <c r="DA543" s="85"/>
      <c r="DB543" s="85"/>
      <c r="DC543" s="85"/>
      <c r="DD543" s="85"/>
      <c r="DE543" s="85"/>
      <c r="DF543" s="85"/>
      <c r="DG543" s="85"/>
      <c r="DH543" s="85"/>
      <c r="DI543" s="85"/>
      <c r="DJ543" s="85"/>
      <c r="DK543" s="85"/>
      <c r="DL543" s="85"/>
      <c r="DM543" s="85"/>
      <c r="DN543" s="85"/>
      <c r="DO543" s="85"/>
      <c r="DP543" s="85"/>
    </row>
    <row r="544">
      <c r="A544" s="91"/>
      <c r="B544" s="91"/>
      <c r="C544" s="91"/>
      <c r="D544" s="91"/>
      <c r="E544" s="78"/>
      <c r="F544" s="15"/>
      <c r="G544" s="15"/>
      <c r="H544" s="91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  <c r="BG544" s="15"/>
      <c r="BH544" s="15"/>
      <c r="BI544" s="15"/>
      <c r="BJ544" s="15"/>
      <c r="BK544" s="15"/>
      <c r="BL544" s="15"/>
      <c r="BM544" s="15"/>
      <c r="BN544" s="92"/>
      <c r="BO544" s="92"/>
      <c r="BP544" s="92"/>
      <c r="BQ544" s="92"/>
      <c r="BR544" s="92"/>
      <c r="BS544" s="92"/>
      <c r="BT544" s="92"/>
      <c r="BU544" s="92"/>
      <c r="BV544" s="92"/>
      <c r="BW544" s="92"/>
      <c r="BX544" s="92"/>
      <c r="BY544" s="92"/>
      <c r="BZ544" s="92"/>
      <c r="CA544" s="92"/>
      <c r="CB544" s="92"/>
      <c r="CC544" s="92"/>
      <c r="CD544" s="92"/>
      <c r="CE544" s="92"/>
      <c r="CF544" s="92"/>
      <c r="CG544" s="92"/>
      <c r="CH544" s="92"/>
      <c r="CI544" s="92"/>
      <c r="CJ544" s="92"/>
      <c r="CK544" s="92"/>
      <c r="CL544" s="92"/>
      <c r="CM544" s="92"/>
      <c r="CN544" s="92"/>
      <c r="CO544" s="92"/>
      <c r="CP544" s="92"/>
      <c r="CQ544" s="92"/>
      <c r="CR544" s="92"/>
      <c r="CS544" s="92"/>
      <c r="CT544" s="92"/>
      <c r="CU544" s="92"/>
      <c r="CV544" s="92"/>
      <c r="CW544" s="92"/>
      <c r="CX544" s="85"/>
      <c r="CY544" s="85"/>
      <c r="CZ544" s="85"/>
      <c r="DA544" s="85"/>
      <c r="DB544" s="85"/>
      <c r="DC544" s="85"/>
      <c r="DD544" s="85"/>
      <c r="DE544" s="85"/>
      <c r="DF544" s="85"/>
      <c r="DG544" s="85"/>
      <c r="DH544" s="85"/>
      <c r="DI544" s="85"/>
      <c r="DJ544" s="85"/>
      <c r="DK544" s="85"/>
      <c r="DL544" s="85"/>
      <c r="DM544" s="85"/>
      <c r="DN544" s="85"/>
      <c r="DO544" s="85"/>
      <c r="DP544" s="85"/>
    </row>
    <row r="545">
      <c r="A545" s="91"/>
      <c r="B545" s="91"/>
      <c r="C545" s="91"/>
      <c r="D545" s="91"/>
      <c r="E545" s="78"/>
      <c r="F545" s="15"/>
      <c r="G545" s="15"/>
      <c r="H545" s="91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92"/>
      <c r="BO545" s="92"/>
      <c r="BP545" s="92"/>
      <c r="BQ545" s="92"/>
      <c r="BR545" s="92"/>
      <c r="BS545" s="92"/>
      <c r="BT545" s="92"/>
      <c r="BU545" s="92"/>
      <c r="BV545" s="92"/>
      <c r="BW545" s="92"/>
      <c r="BX545" s="92"/>
      <c r="BY545" s="92"/>
      <c r="BZ545" s="92"/>
      <c r="CA545" s="92"/>
      <c r="CB545" s="92"/>
      <c r="CC545" s="92"/>
      <c r="CD545" s="92"/>
      <c r="CE545" s="92"/>
      <c r="CF545" s="92"/>
      <c r="CG545" s="92"/>
      <c r="CH545" s="92"/>
      <c r="CI545" s="92"/>
      <c r="CJ545" s="92"/>
      <c r="CK545" s="92"/>
      <c r="CL545" s="92"/>
      <c r="CM545" s="92"/>
      <c r="CN545" s="92"/>
      <c r="CO545" s="92"/>
      <c r="CP545" s="92"/>
      <c r="CQ545" s="92"/>
      <c r="CR545" s="92"/>
      <c r="CS545" s="92"/>
      <c r="CT545" s="92"/>
      <c r="CU545" s="92"/>
      <c r="CV545" s="92"/>
      <c r="CW545" s="92"/>
      <c r="CX545" s="85"/>
      <c r="CY545" s="85"/>
      <c r="CZ545" s="85"/>
      <c r="DA545" s="85"/>
      <c r="DB545" s="85"/>
      <c r="DC545" s="85"/>
      <c r="DD545" s="85"/>
      <c r="DE545" s="85"/>
      <c r="DF545" s="85"/>
      <c r="DG545" s="85"/>
      <c r="DH545" s="85"/>
      <c r="DI545" s="85"/>
      <c r="DJ545" s="85"/>
      <c r="DK545" s="85"/>
      <c r="DL545" s="85"/>
      <c r="DM545" s="85"/>
      <c r="DN545" s="85"/>
      <c r="DO545" s="85"/>
      <c r="DP545" s="85"/>
    </row>
    <row r="546">
      <c r="A546" s="91"/>
      <c r="B546" s="91"/>
      <c r="C546" s="91"/>
      <c r="D546" s="91"/>
      <c r="E546" s="78"/>
      <c r="F546" s="15"/>
      <c r="G546" s="15"/>
      <c r="H546" s="91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  <c r="BJ546" s="15"/>
      <c r="BK546" s="15"/>
      <c r="BL546" s="15"/>
      <c r="BM546" s="15"/>
      <c r="BN546" s="92"/>
      <c r="BO546" s="92"/>
      <c r="BP546" s="92"/>
      <c r="BQ546" s="92"/>
      <c r="BR546" s="92"/>
      <c r="BS546" s="92"/>
      <c r="BT546" s="92"/>
      <c r="BU546" s="92"/>
      <c r="BV546" s="92"/>
      <c r="BW546" s="92"/>
      <c r="BX546" s="92"/>
      <c r="BY546" s="92"/>
      <c r="BZ546" s="92"/>
      <c r="CA546" s="92"/>
      <c r="CB546" s="92"/>
      <c r="CC546" s="92"/>
      <c r="CD546" s="92"/>
      <c r="CE546" s="92"/>
      <c r="CF546" s="92"/>
      <c r="CG546" s="92"/>
      <c r="CH546" s="92"/>
      <c r="CI546" s="92"/>
      <c r="CJ546" s="92"/>
      <c r="CK546" s="92"/>
      <c r="CL546" s="92"/>
      <c r="CM546" s="92"/>
      <c r="CN546" s="92"/>
      <c r="CO546" s="92"/>
      <c r="CP546" s="92"/>
      <c r="CQ546" s="92"/>
      <c r="CR546" s="92"/>
      <c r="CS546" s="92"/>
      <c r="CT546" s="92"/>
      <c r="CU546" s="92"/>
      <c r="CV546" s="92"/>
      <c r="CW546" s="92"/>
      <c r="CX546" s="85"/>
      <c r="CY546" s="85"/>
      <c r="CZ546" s="85"/>
      <c r="DA546" s="85"/>
      <c r="DB546" s="85"/>
      <c r="DC546" s="85"/>
      <c r="DD546" s="85"/>
      <c r="DE546" s="85"/>
      <c r="DF546" s="85"/>
      <c r="DG546" s="85"/>
      <c r="DH546" s="85"/>
      <c r="DI546" s="85"/>
      <c r="DJ546" s="85"/>
      <c r="DK546" s="85"/>
      <c r="DL546" s="85"/>
      <c r="DM546" s="85"/>
      <c r="DN546" s="85"/>
      <c r="DO546" s="85"/>
      <c r="DP546" s="85"/>
    </row>
    <row r="547">
      <c r="A547" s="91"/>
      <c r="B547" s="91"/>
      <c r="C547" s="91"/>
      <c r="D547" s="91"/>
      <c r="E547" s="78"/>
      <c r="F547" s="15"/>
      <c r="G547" s="15"/>
      <c r="H547" s="91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92"/>
      <c r="BO547" s="92"/>
      <c r="BP547" s="92"/>
      <c r="BQ547" s="92"/>
      <c r="BR547" s="92"/>
      <c r="BS547" s="92"/>
      <c r="BT547" s="92"/>
      <c r="BU547" s="92"/>
      <c r="BV547" s="92"/>
      <c r="BW547" s="92"/>
      <c r="BX547" s="92"/>
      <c r="BY547" s="92"/>
      <c r="BZ547" s="92"/>
      <c r="CA547" s="92"/>
      <c r="CB547" s="92"/>
      <c r="CC547" s="92"/>
      <c r="CD547" s="92"/>
      <c r="CE547" s="92"/>
      <c r="CF547" s="92"/>
      <c r="CG547" s="92"/>
      <c r="CH547" s="92"/>
      <c r="CI547" s="92"/>
      <c r="CJ547" s="92"/>
      <c r="CK547" s="92"/>
      <c r="CL547" s="92"/>
      <c r="CM547" s="92"/>
      <c r="CN547" s="92"/>
      <c r="CO547" s="92"/>
      <c r="CP547" s="92"/>
      <c r="CQ547" s="92"/>
      <c r="CR547" s="92"/>
      <c r="CS547" s="92"/>
      <c r="CT547" s="92"/>
      <c r="CU547" s="92"/>
      <c r="CV547" s="92"/>
      <c r="CW547" s="92"/>
      <c r="CX547" s="85"/>
      <c r="CY547" s="85"/>
      <c r="CZ547" s="85"/>
      <c r="DA547" s="85"/>
      <c r="DB547" s="85"/>
      <c r="DC547" s="85"/>
      <c r="DD547" s="85"/>
      <c r="DE547" s="85"/>
      <c r="DF547" s="85"/>
      <c r="DG547" s="85"/>
      <c r="DH547" s="85"/>
      <c r="DI547" s="85"/>
      <c r="DJ547" s="85"/>
      <c r="DK547" s="85"/>
      <c r="DL547" s="85"/>
      <c r="DM547" s="85"/>
      <c r="DN547" s="85"/>
      <c r="DO547" s="85"/>
      <c r="DP547" s="85"/>
    </row>
    <row r="548">
      <c r="A548" s="91"/>
      <c r="B548" s="91"/>
      <c r="C548" s="91"/>
      <c r="D548" s="91"/>
      <c r="E548" s="78"/>
      <c r="F548" s="15"/>
      <c r="G548" s="15"/>
      <c r="H548" s="91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  <c r="BH548" s="15"/>
      <c r="BI548" s="15"/>
      <c r="BJ548" s="15"/>
      <c r="BK548" s="15"/>
      <c r="BL548" s="15"/>
      <c r="BM548" s="15"/>
      <c r="BN548" s="92"/>
      <c r="BO548" s="92"/>
      <c r="BP548" s="92"/>
      <c r="BQ548" s="92"/>
      <c r="BR548" s="92"/>
      <c r="BS548" s="92"/>
      <c r="BT548" s="92"/>
      <c r="BU548" s="92"/>
      <c r="BV548" s="92"/>
      <c r="BW548" s="92"/>
      <c r="BX548" s="92"/>
      <c r="BY548" s="92"/>
      <c r="BZ548" s="92"/>
      <c r="CA548" s="92"/>
      <c r="CB548" s="92"/>
      <c r="CC548" s="92"/>
      <c r="CD548" s="92"/>
      <c r="CE548" s="92"/>
      <c r="CF548" s="92"/>
      <c r="CG548" s="92"/>
      <c r="CH548" s="92"/>
      <c r="CI548" s="92"/>
      <c r="CJ548" s="92"/>
      <c r="CK548" s="92"/>
      <c r="CL548" s="92"/>
      <c r="CM548" s="92"/>
      <c r="CN548" s="92"/>
      <c r="CO548" s="92"/>
      <c r="CP548" s="92"/>
      <c r="CQ548" s="92"/>
      <c r="CR548" s="92"/>
      <c r="CS548" s="92"/>
      <c r="CT548" s="92"/>
      <c r="CU548" s="92"/>
      <c r="CV548" s="92"/>
      <c r="CW548" s="92"/>
      <c r="CX548" s="85"/>
      <c r="CY548" s="85"/>
      <c r="CZ548" s="85"/>
      <c r="DA548" s="85"/>
      <c r="DB548" s="85"/>
      <c r="DC548" s="85"/>
      <c r="DD548" s="85"/>
      <c r="DE548" s="85"/>
      <c r="DF548" s="85"/>
      <c r="DG548" s="85"/>
      <c r="DH548" s="85"/>
      <c r="DI548" s="85"/>
      <c r="DJ548" s="85"/>
      <c r="DK548" s="85"/>
      <c r="DL548" s="85"/>
      <c r="DM548" s="85"/>
      <c r="DN548" s="85"/>
      <c r="DO548" s="85"/>
      <c r="DP548" s="85"/>
    </row>
    <row r="549">
      <c r="A549" s="91"/>
      <c r="B549" s="91"/>
      <c r="C549" s="91"/>
      <c r="D549" s="91"/>
      <c r="E549" s="78"/>
      <c r="F549" s="15"/>
      <c r="G549" s="15"/>
      <c r="H549" s="91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92"/>
      <c r="BO549" s="92"/>
      <c r="BP549" s="92"/>
      <c r="BQ549" s="92"/>
      <c r="BR549" s="92"/>
      <c r="BS549" s="92"/>
      <c r="BT549" s="92"/>
      <c r="BU549" s="92"/>
      <c r="BV549" s="92"/>
      <c r="BW549" s="92"/>
      <c r="BX549" s="92"/>
      <c r="BY549" s="92"/>
      <c r="BZ549" s="92"/>
      <c r="CA549" s="92"/>
      <c r="CB549" s="92"/>
      <c r="CC549" s="92"/>
      <c r="CD549" s="92"/>
      <c r="CE549" s="92"/>
      <c r="CF549" s="92"/>
      <c r="CG549" s="92"/>
      <c r="CH549" s="92"/>
      <c r="CI549" s="92"/>
      <c r="CJ549" s="92"/>
      <c r="CK549" s="92"/>
      <c r="CL549" s="92"/>
      <c r="CM549" s="92"/>
      <c r="CN549" s="92"/>
      <c r="CO549" s="92"/>
      <c r="CP549" s="92"/>
      <c r="CQ549" s="92"/>
      <c r="CR549" s="92"/>
      <c r="CS549" s="92"/>
      <c r="CT549" s="92"/>
      <c r="CU549" s="92"/>
      <c r="CV549" s="92"/>
      <c r="CW549" s="92"/>
      <c r="CX549" s="85"/>
      <c r="CY549" s="85"/>
      <c r="CZ549" s="85"/>
      <c r="DA549" s="85"/>
      <c r="DB549" s="85"/>
      <c r="DC549" s="85"/>
      <c r="DD549" s="85"/>
      <c r="DE549" s="85"/>
      <c r="DF549" s="85"/>
      <c r="DG549" s="85"/>
      <c r="DH549" s="85"/>
      <c r="DI549" s="85"/>
      <c r="DJ549" s="85"/>
      <c r="DK549" s="85"/>
      <c r="DL549" s="85"/>
      <c r="DM549" s="85"/>
      <c r="DN549" s="85"/>
      <c r="DO549" s="85"/>
      <c r="DP549" s="85"/>
    </row>
    <row r="550">
      <c r="A550" s="91"/>
      <c r="B550" s="91"/>
      <c r="C550" s="91"/>
      <c r="D550" s="91"/>
      <c r="E550" s="78"/>
      <c r="F550" s="15"/>
      <c r="G550" s="15"/>
      <c r="H550" s="91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  <c r="BJ550" s="15"/>
      <c r="BK550" s="15"/>
      <c r="BL550" s="15"/>
      <c r="BM550" s="15"/>
      <c r="BN550" s="92"/>
      <c r="BO550" s="92"/>
      <c r="BP550" s="92"/>
      <c r="BQ550" s="92"/>
      <c r="BR550" s="92"/>
      <c r="BS550" s="92"/>
      <c r="BT550" s="92"/>
      <c r="BU550" s="92"/>
      <c r="BV550" s="92"/>
      <c r="BW550" s="92"/>
      <c r="BX550" s="92"/>
      <c r="BY550" s="92"/>
      <c r="BZ550" s="92"/>
      <c r="CA550" s="92"/>
      <c r="CB550" s="92"/>
      <c r="CC550" s="92"/>
      <c r="CD550" s="92"/>
      <c r="CE550" s="92"/>
      <c r="CF550" s="92"/>
      <c r="CG550" s="92"/>
      <c r="CH550" s="92"/>
      <c r="CI550" s="92"/>
      <c r="CJ550" s="92"/>
      <c r="CK550" s="92"/>
      <c r="CL550" s="92"/>
      <c r="CM550" s="92"/>
      <c r="CN550" s="92"/>
      <c r="CO550" s="92"/>
      <c r="CP550" s="92"/>
      <c r="CQ550" s="92"/>
      <c r="CR550" s="92"/>
      <c r="CS550" s="92"/>
      <c r="CT550" s="92"/>
      <c r="CU550" s="92"/>
      <c r="CV550" s="92"/>
      <c r="CW550" s="92"/>
      <c r="CX550" s="85"/>
      <c r="CY550" s="85"/>
      <c r="CZ550" s="85"/>
      <c r="DA550" s="85"/>
      <c r="DB550" s="85"/>
      <c r="DC550" s="85"/>
      <c r="DD550" s="85"/>
      <c r="DE550" s="85"/>
      <c r="DF550" s="85"/>
      <c r="DG550" s="85"/>
      <c r="DH550" s="85"/>
      <c r="DI550" s="85"/>
      <c r="DJ550" s="85"/>
      <c r="DK550" s="85"/>
      <c r="DL550" s="85"/>
      <c r="DM550" s="85"/>
      <c r="DN550" s="85"/>
      <c r="DO550" s="85"/>
      <c r="DP550" s="85"/>
    </row>
    <row r="551">
      <c r="A551" s="91"/>
      <c r="B551" s="91"/>
      <c r="C551" s="91"/>
      <c r="D551" s="91"/>
      <c r="E551" s="78"/>
      <c r="F551" s="15"/>
      <c r="G551" s="15"/>
      <c r="H551" s="91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92"/>
      <c r="BO551" s="92"/>
      <c r="BP551" s="92"/>
      <c r="BQ551" s="92"/>
      <c r="BR551" s="92"/>
      <c r="BS551" s="92"/>
      <c r="BT551" s="92"/>
      <c r="BU551" s="92"/>
      <c r="BV551" s="92"/>
      <c r="BW551" s="92"/>
      <c r="BX551" s="92"/>
      <c r="BY551" s="92"/>
      <c r="BZ551" s="92"/>
      <c r="CA551" s="92"/>
      <c r="CB551" s="92"/>
      <c r="CC551" s="92"/>
      <c r="CD551" s="92"/>
      <c r="CE551" s="92"/>
      <c r="CF551" s="92"/>
      <c r="CG551" s="92"/>
      <c r="CH551" s="92"/>
      <c r="CI551" s="92"/>
      <c r="CJ551" s="92"/>
      <c r="CK551" s="92"/>
      <c r="CL551" s="92"/>
      <c r="CM551" s="92"/>
      <c r="CN551" s="92"/>
      <c r="CO551" s="92"/>
      <c r="CP551" s="92"/>
      <c r="CQ551" s="92"/>
      <c r="CR551" s="92"/>
      <c r="CS551" s="92"/>
      <c r="CT551" s="92"/>
      <c r="CU551" s="92"/>
      <c r="CV551" s="92"/>
      <c r="CW551" s="92"/>
      <c r="CX551" s="85"/>
      <c r="CY551" s="85"/>
      <c r="CZ551" s="85"/>
      <c r="DA551" s="85"/>
      <c r="DB551" s="85"/>
      <c r="DC551" s="85"/>
      <c r="DD551" s="85"/>
      <c r="DE551" s="85"/>
      <c r="DF551" s="85"/>
      <c r="DG551" s="85"/>
      <c r="DH551" s="85"/>
      <c r="DI551" s="85"/>
      <c r="DJ551" s="85"/>
      <c r="DK551" s="85"/>
      <c r="DL551" s="85"/>
      <c r="DM551" s="85"/>
      <c r="DN551" s="85"/>
      <c r="DO551" s="85"/>
      <c r="DP551" s="85"/>
    </row>
    <row r="552">
      <c r="A552" s="91"/>
      <c r="B552" s="91"/>
      <c r="C552" s="91"/>
      <c r="D552" s="91"/>
      <c r="E552" s="78"/>
      <c r="F552" s="15"/>
      <c r="G552" s="15"/>
      <c r="H552" s="91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  <c r="BJ552" s="15"/>
      <c r="BK552" s="15"/>
      <c r="BL552" s="15"/>
      <c r="BM552" s="15"/>
      <c r="BN552" s="92"/>
      <c r="BO552" s="92"/>
      <c r="BP552" s="92"/>
      <c r="BQ552" s="92"/>
      <c r="BR552" s="92"/>
      <c r="BS552" s="92"/>
      <c r="BT552" s="92"/>
      <c r="BU552" s="92"/>
      <c r="BV552" s="92"/>
      <c r="BW552" s="92"/>
      <c r="BX552" s="92"/>
      <c r="BY552" s="92"/>
      <c r="BZ552" s="92"/>
      <c r="CA552" s="92"/>
      <c r="CB552" s="92"/>
      <c r="CC552" s="92"/>
      <c r="CD552" s="92"/>
      <c r="CE552" s="92"/>
      <c r="CF552" s="92"/>
      <c r="CG552" s="92"/>
      <c r="CH552" s="92"/>
      <c r="CI552" s="92"/>
      <c r="CJ552" s="92"/>
      <c r="CK552" s="92"/>
      <c r="CL552" s="92"/>
      <c r="CM552" s="92"/>
      <c r="CN552" s="92"/>
      <c r="CO552" s="92"/>
      <c r="CP552" s="92"/>
      <c r="CQ552" s="92"/>
      <c r="CR552" s="92"/>
      <c r="CS552" s="92"/>
      <c r="CT552" s="92"/>
      <c r="CU552" s="92"/>
      <c r="CV552" s="92"/>
      <c r="CW552" s="92"/>
      <c r="CX552" s="85"/>
      <c r="CY552" s="85"/>
      <c r="CZ552" s="85"/>
      <c r="DA552" s="85"/>
      <c r="DB552" s="85"/>
      <c r="DC552" s="85"/>
      <c r="DD552" s="85"/>
      <c r="DE552" s="85"/>
      <c r="DF552" s="85"/>
      <c r="DG552" s="85"/>
      <c r="DH552" s="85"/>
      <c r="DI552" s="85"/>
      <c r="DJ552" s="85"/>
      <c r="DK552" s="85"/>
      <c r="DL552" s="85"/>
      <c r="DM552" s="85"/>
      <c r="DN552" s="85"/>
      <c r="DO552" s="85"/>
      <c r="DP552" s="85"/>
    </row>
    <row r="553">
      <c r="A553" s="91"/>
      <c r="B553" s="91"/>
      <c r="C553" s="91"/>
      <c r="D553" s="91"/>
      <c r="E553" s="78"/>
      <c r="F553" s="15"/>
      <c r="G553" s="15"/>
      <c r="H553" s="91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92"/>
      <c r="BO553" s="92"/>
      <c r="BP553" s="92"/>
      <c r="BQ553" s="92"/>
      <c r="BR553" s="92"/>
      <c r="BS553" s="92"/>
      <c r="BT553" s="92"/>
      <c r="BU553" s="92"/>
      <c r="BV553" s="92"/>
      <c r="BW553" s="92"/>
      <c r="BX553" s="92"/>
      <c r="BY553" s="92"/>
      <c r="BZ553" s="92"/>
      <c r="CA553" s="92"/>
      <c r="CB553" s="92"/>
      <c r="CC553" s="92"/>
      <c r="CD553" s="92"/>
      <c r="CE553" s="92"/>
      <c r="CF553" s="92"/>
      <c r="CG553" s="92"/>
      <c r="CH553" s="92"/>
      <c r="CI553" s="92"/>
      <c r="CJ553" s="92"/>
      <c r="CK553" s="92"/>
      <c r="CL553" s="92"/>
      <c r="CM553" s="92"/>
      <c r="CN553" s="92"/>
      <c r="CO553" s="92"/>
      <c r="CP553" s="92"/>
      <c r="CQ553" s="92"/>
      <c r="CR553" s="92"/>
      <c r="CS553" s="92"/>
      <c r="CT553" s="92"/>
      <c r="CU553" s="92"/>
      <c r="CV553" s="92"/>
      <c r="CW553" s="92"/>
      <c r="CX553" s="85"/>
      <c r="CY553" s="85"/>
      <c r="CZ553" s="85"/>
      <c r="DA553" s="85"/>
      <c r="DB553" s="85"/>
      <c r="DC553" s="85"/>
      <c r="DD553" s="85"/>
      <c r="DE553" s="85"/>
      <c r="DF553" s="85"/>
      <c r="DG553" s="85"/>
      <c r="DH553" s="85"/>
      <c r="DI553" s="85"/>
      <c r="DJ553" s="85"/>
      <c r="DK553" s="85"/>
      <c r="DL553" s="85"/>
      <c r="DM553" s="85"/>
      <c r="DN553" s="85"/>
      <c r="DO553" s="85"/>
      <c r="DP553" s="85"/>
    </row>
    <row r="554">
      <c r="A554" s="91"/>
      <c r="B554" s="91"/>
      <c r="C554" s="91"/>
      <c r="D554" s="91"/>
      <c r="E554" s="78"/>
      <c r="F554" s="15"/>
      <c r="G554" s="15"/>
      <c r="H554" s="91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  <c r="BJ554" s="15"/>
      <c r="BK554" s="15"/>
      <c r="BL554" s="15"/>
      <c r="BM554" s="15"/>
      <c r="BN554" s="92"/>
      <c r="BO554" s="92"/>
      <c r="BP554" s="92"/>
      <c r="BQ554" s="92"/>
      <c r="BR554" s="92"/>
      <c r="BS554" s="92"/>
      <c r="BT554" s="92"/>
      <c r="BU554" s="92"/>
      <c r="BV554" s="92"/>
      <c r="BW554" s="92"/>
      <c r="BX554" s="92"/>
      <c r="BY554" s="92"/>
      <c r="BZ554" s="92"/>
      <c r="CA554" s="92"/>
      <c r="CB554" s="92"/>
      <c r="CC554" s="92"/>
      <c r="CD554" s="92"/>
      <c r="CE554" s="92"/>
      <c r="CF554" s="92"/>
      <c r="CG554" s="92"/>
      <c r="CH554" s="92"/>
      <c r="CI554" s="92"/>
      <c r="CJ554" s="92"/>
      <c r="CK554" s="92"/>
      <c r="CL554" s="92"/>
      <c r="CM554" s="92"/>
      <c r="CN554" s="92"/>
      <c r="CO554" s="92"/>
      <c r="CP554" s="92"/>
      <c r="CQ554" s="92"/>
      <c r="CR554" s="92"/>
      <c r="CS554" s="92"/>
      <c r="CT554" s="92"/>
      <c r="CU554" s="92"/>
      <c r="CV554" s="92"/>
      <c r="CW554" s="92"/>
      <c r="CX554" s="85"/>
      <c r="CY554" s="85"/>
      <c r="CZ554" s="85"/>
      <c r="DA554" s="85"/>
      <c r="DB554" s="85"/>
      <c r="DC554" s="85"/>
      <c r="DD554" s="85"/>
      <c r="DE554" s="85"/>
      <c r="DF554" s="85"/>
      <c r="DG554" s="85"/>
      <c r="DH554" s="85"/>
      <c r="DI554" s="85"/>
      <c r="DJ554" s="85"/>
      <c r="DK554" s="85"/>
      <c r="DL554" s="85"/>
      <c r="DM554" s="85"/>
      <c r="DN554" s="85"/>
      <c r="DO554" s="85"/>
      <c r="DP554" s="85"/>
    </row>
    <row r="555">
      <c r="A555" s="91"/>
      <c r="B555" s="91"/>
      <c r="C555" s="91"/>
      <c r="D555" s="91"/>
      <c r="E555" s="78"/>
      <c r="F555" s="15"/>
      <c r="G555" s="15"/>
      <c r="H555" s="91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92"/>
      <c r="BO555" s="92"/>
      <c r="BP555" s="92"/>
      <c r="BQ555" s="92"/>
      <c r="BR555" s="92"/>
      <c r="BS555" s="92"/>
      <c r="BT555" s="92"/>
      <c r="BU555" s="92"/>
      <c r="BV555" s="92"/>
      <c r="BW555" s="92"/>
      <c r="BX555" s="92"/>
      <c r="BY555" s="92"/>
      <c r="BZ555" s="92"/>
      <c r="CA555" s="92"/>
      <c r="CB555" s="92"/>
      <c r="CC555" s="92"/>
      <c r="CD555" s="92"/>
      <c r="CE555" s="92"/>
      <c r="CF555" s="92"/>
      <c r="CG555" s="92"/>
      <c r="CH555" s="92"/>
      <c r="CI555" s="92"/>
      <c r="CJ555" s="92"/>
      <c r="CK555" s="92"/>
      <c r="CL555" s="92"/>
      <c r="CM555" s="92"/>
      <c r="CN555" s="92"/>
      <c r="CO555" s="92"/>
      <c r="CP555" s="92"/>
      <c r="CQ555" s="92"/>
      <c r="CR555" s="92"/>
      <c r="CS555" s="92"/>
      <c r="CT555" s="92"/>
      <c r="CU555" s="92"/>
      <c r="CV555" s="92"/>
      <c r="CW555" s="92"/>
      <c r="CX555" s="85"/>
      <c r="CY555" s="85"/>
      <c r="CZ555" s="85"/>
      <c r="DA555" s="85"/>
      <c r="DB555" s="85"/>
      <c r="DC555" s="85"/>
      <c r="DD555" s="85"/>
      <c r="DE555" s="85"/>
      <c r="DF555" s="85"/>
      <c r="DG555" s="85"/>
      <c r="DH555" s="85"/>
      <c r="DI555" s="85"/>
      <c r="DJ555" s="85"/>
      <c r="DK555" s="85"/>
      <c r="DL555" s="85"/>
      <c r="DM555" s="85"/>
      <c r="DN555" s="85"/>
      <c r="DO555" s="85"/>
      <c r="DP555" s="85"/>
    </row>
    <row r="556">
      <c r="A556" s="91"/>
      <c r="B556" s="91"/>
      <c r="C556" s="91"/>
      <c r="D556" s="91"/>
      <c r="E556" s="78"/>
      <c r="F556" s="15"/>
      <c r="G556" s="15"/>
      <c r="H556" s="91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  <c r="BG556" s="15"/>
      <c r="BH556" s="15"/>
      <c r="BI556" s="15"/>
      <c r="BJ556" s="15"/>
      <c r="BK556" s="15"/>
      <c r="BL556" s="15"/>
      <c r="BM556" s="15"/>
      <c r="BN556" s="92"/>
      <c r="BO556" s="92"/>
      <c r="BP556" s="92"/>
      <c r="BQ556" s="92"/>
      <c r="BR556" s="92"/>
      <c r="BS556" s="92"/>
      <c r="BT556" s="92"/>
      <c r="BU556" s="92"/>
      <c r="BV556" s="92"/>
      <c r="BW556" s="92"/>
      <c r="BX556" s="92"/>
      <c r="BY556" s="92"/>
      <c r="BZ556" s="92"/>
      <c r="CA556" s="92"/>
      <c r="CB556" s="92"/>
      <c r="CC556" s="92"/>
      <c r="CD556" s="92"/>
      <c r="CE556" s="92"/>
      <c r="CF556" s="92"/>
      <c r="CG556" s="92"/>
      <c r="CH556" s="92"/>
      <c r="CI556" s="92"/>
      <c r="CJ556" s="92"/>
      <c r="CK556" s="92"/>
      <c r="CL556" s="92"/>
      <c r="CM556" s="92"/>
      <c r="CN556" s="92"/>
      <c r="CO556" s="92"/>
      <c r="CP556" s="92"/>
      <c r="CQ556" s="92"/>
      <c r="CR556" s="92"/>
      <c r="CS556" s="92"/>
      <c r="CT556" s="92"/>
      <c r="CU556" s="92"/>
      <c r="CV556" s="92"/>
      <c r="CW556" s="92"/>
      <c r="CX556" s="85"/>
      <c r="CY556" s="85"/>
      <c r="CZ556" s="85"/>
      <c r="DA556" s="85"/>
      <c r="DB556" s="85"/>
      <c r="DC556" s="85"/>
      <c r="DD556" s="85"/>
      <c r="DE556" s="85"/>
      <c r="DF556" s="85"/>
      <c r="DG556" s="85"/>
      <c r="DH556" s="85"/>
      <c r="DI556" s="85"/>
      <c r="DJ556" s="85"/>
      <c r="DK556" s="85"/>
      <c r="DL556" s="85"/>
      <c r="DM556" s="85"/>
      <c r="DN556" s="85"/>
      <c r="DO556" s="85"/>
      <c r="DP556" s="85"/>
    </row>
    <row r="557">
      <c r="A557" s="91"/>
      <c r="B557" s="91"/>
      <c r="C557" s="91"/>
      <c r="D557" s="91"/>
      <c r="E557" s="78"/>
      <c r="F557" s="15"/>
      <c r="G557" s="15"/>
      <c r="H557" s="91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92"/>
      <c r="BO557" s="92"/>
      <c r="BP557" s="92"/>
      <c r="BQ557" s="92"/>
      <c r="BR557" s="92"/>
      <c r="BS557" s="92"/>
      <c r="BT557" s="92"/>
      <c r="BU557" s="92"/>
      <c r="BV557" s="92"/>
      <c r="BW557" s="92"/>
      <c r="BX557" s="92"/>
      <c r="BY557" s="92"/>
      <c r="BZ557" s="92"/>
      <c r="CA557" s="92"/>
      <c r="CB557" s="92"/>
      <c r="CC557" s="92"/>
      <c r="CD557" s="92"/>
      <c r="CE557" s="92"/>
      <c r="CF557" s="92"/>
      <c r="CG557" s="92"/>
      <c r="CH557" s="92"/>
      <c r="CI557" s="92"/>
      <c r="CJ557" s="92"/>
      <c r="CK557" s="92"/>
      <c r="CL557" s="92"/>
      <c r="CM557" s="92"/>
      <c r="CN557" s="92"/>
      <c r="CO557" s="92"/>
      <c r="CP557" s="92"/>
      <c r="CQ557" s="92"/>
      <c r="CR557" s="92"/>
      <c r="CS557" s="92"/>
      <c r="CT557" s="92"/>
      <c r="CU557" s="92"/>
      <c r="CV557" s="92"/>
      <c r="CW557" s="92"/>
      <c r="CX557" s="85"/>
      <c r="CY557" s="85"/>
      <c r="CZ557" s="85"/>
      <c r="DA557" s="85"/>
      <c r="DB557" s="85"/>
      <c r="DC557" s="85"/>
      <c r="DD557" s="85"/>
      <c r="DE557" s="85"/>
      <c r="DF557" s="85"/>
      <c r="DG557" s="85"/>
      <c r="DH557" s="85"/>
      <c r="DI557" s="85"/>
      <c r="DJ557" s="85"/>
      <c r="DK557" s="85"/>
      <c r="DL557" s="85"/>
      <c r="DM557" s="85"/>
      <c r="DN557" s="85"/>
      <c r="DO557" s="85"/>
      <c r="DP557" s="85"/>
    </row>
    <row r="558">
      <c r="A558" s="91"/>
      <c r="B558" s="91"/>
      <c r="C558" s="91"/>
      <c r="D558" s="91"/>
      <c r="E558" s="78"/>
      <c r="F558" s="15"/>
      <c r="G558" s="15"/>
      <c r="H558" s="91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  <c r="BM558" s="15"/>
      <c r="BN558" s="92"/>
      <c r="BO558" s="92"/>
      <c r="BP558" s="92"/>
      <c r="BQ558" s="92"/>
      <c r="BR558" s="92"/>
      <c r="BS558" s="92"/>
      <c r="BT558" s="92"/>
      <c r="BU558" s="92"/>
      <c r="BV558" s="92"/>
      <c r="BW558" s="92"/>
      <c r="BX558" s="92"/>
      <c r="BY558" s="92"/>
      <c r="BZ558" s="92"/>
      <c r="CA558" s="92"/>
      <c r="CB558" s="92"/>
      <c r="CC558" s="92"/>
      <c r="CD558" s="92"/>
      <c r="CE558" s="92"/>
      <c r="CF558" s="92"/>
      <c r="CG558" s="92"/>
      <c r="CH558" s="92"/>
      <c r="CI558" s="92"/>
      <c r="CJ558" s="92"/>
      <c r="CK558" s="92"/>
      <c r="CL558" s="92"/>
      <c r="CM558" s="92"/>
      <c r="CN558" s="92"/>
      <c r="CO558" s="92"/>
      <c r="CP558" s="92"/>
      <c r="CQ558" s="92"/>
      <c r="CR558" s="92"/>
      <c r="CS558" s="92"/>
      <c r="CT558" s="92"/>
      <c r="CU558" s="92"/>
      <c r="CV558" s="92"/>
      <c r="CW558" s="92"/>
      <c r="CX558" s="85"/>
      <c r="CY558" s="85"/>
      <c r="CZ558" s="85"/>
      <c r="DA558" s="85"/>
      <c r="DB558" s="85"/>
      <c r="DC558" s="85"/>
      <c r="DD558" s="85"/>
      <c r="DE558" s="85"/>
      <c r="DF558" s="85"/>
      <c r="DG558" s="85"/>
      <c r="DH558" s="85"/>
      <c r="DI558" s="85"/>
      <c r="DJ558" s="85"/>
      <c r="DK558" s="85"/>
      <c r="DL558" s="85"/>
      <c r="DM558" s="85"/>
      <c r="DN558" s="85"/>
      <c r="DO558" s="85"/>
      <c r="DP558" s="85"/>
    </row>
    <row r="559">
      <c r="A559" s="91"/>
      <c r="B559" s="91"/>
      <c r="C559" s="91"/>
      <c r="D559" s="91"/>
      <c r="E559" s="78"/>
      <c r="F559" s="15"/>
      <c r="G559" s="15"/>
      <c r="H559" s="91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92"/>
      <c r="BO559" s="92"/>
      <c r="BP559" s="92"/>
      <c r="BQ559" s="92"/>
      <c r="BR559" s="92"/>
      <c r="BS559" s="92"/>
      <c r="BT559" s="92"/>
      <c r="BU559" s="92"/>
      <c r="BV559" s="92"/>
      <c r="BW559" s="92"/>
      <c r="BX559" s="92"/>
      <c r="BY559" s="92"/>
      <c r="BZ559" s="92"/>
      <c r="CA559" s="92"/>
      <c r="CB559" s="92"/>
      <c r="CC559" s="92"/>
      <c r="CD559" s="92"/>
      <c r="CE559" s="92"/>
      <c r="CF559" s="92"/>
      <c r="CG559" s="92"/>
      <c r="CH559" s="92"/>
      <c r="CI559" s="92"/>
      <c r="CJ559" s="92"/>
      <c r="CK559" s="92"/>
      <c r="CL559" s="92"/>
      <c r="CM559" s="92"/>
      <c r="CN559" s="92"/>
      <c r="CO559" s="92"/>
      <c r="CP559" s="92"/>
      <c r="CQ559" s="92"/>
      <c r="CR559" s="92"/>
      <c r="CS559" s="92"/>
      <c r="CT559" s="92"/>
      <c r="CU559" s="92"/>
      <c r="CV559" s="92"/>
      <c r="CW559" s="92"/>
      <c r="CX559" s="85"/>
      <c r="CY559" s="85"/>
      <c r="CZ559" s="85"/>
      <c r="DA559" s="85"/>
      <c r="DB559" s="85"/>
      <c r="DC559" s="85"/>
      <c r="DD559" s="85"/>
      <c r="DE559" s="85"/>
      <c r="DF559" s="85"/>
      <c r="DG559" s="85"/>
      <c r="DH559" s="85"/>
      <c r="DI559" s="85"/>
      <c r="DJ559" s="85"/>
      <c r="DK559" s="85"/>
      <c r="DL559" s="85"/>
      <c r="DM559" s="85"/>
      <c r="DN559" s="85"/>
      <c r="DO559" s="85"/>
      <c r="DP559" s="85"/>
    </row>
    <row r="560">
      <c r="A560" s="91"/>
      <c r="B560" s="91"/>
      <c r="C560" s="91"/>
      <c r="D560" s="91"/>
      <c r="E560" s="78"/>
      <c r="F560" s="15"/>
      <c r="G560" s="15"/>
      <c r="H560" s="91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/>
      <c r="BM560" s="15"/>
      <c r="BN560" s="92"/>
      <c r="BO560" s="92"/>
      <c r="BP560" s="92"/>
      <c r="BQ560" s="92"/>
      <c r="BR560" s="92"/>
      <c r="BS560" s="92"/>
      <c r="BT560" s="92"/>
      <c r="BU560" s="92"/>
      <c r="BV560" s="92"/>
      <c r="BW560" s="92"/>
      <c r="BX560" s="92"/>
      <c r="BY560" s="92"/>
      <c r="BZ560" s="92"/>
      <c r="CA560" s="92"/>
      <c r="CB560" s="92"/>
      <c r="CC560" s="92"/>
      <c r="CD560" s="92"/>
      <c r="CE560" s="92"/>
      <c r="CF560" s="92"/>
      <c r="CG560" s="92"/>
      <c r="CH560" s="92"/>
      <c r="CI560" s="92"/>
      <c r="CJ560" s="92"/>
      <c r="CK560" s="92"/>
      <c r="CL560" s="92"/>
      <c r="CM560" s="92"/>
      <c r="CN560" s="92"/>
      <c r="CO560" s="92"/>
      <c r="CP560" s="92"/>
      <c r="CQ560" s="92"/>
      <c r="CR560" s="92"/>
      <c r="CS560" s="92"/>
      <c r="CT560" s="92"/>
      <c r="CU560" s="92"/>
      <c r="CV560" s="92"/>
      <c r="CW560" s="92"/>
      <c r="CX560" s="85"/>
      <c r="CY560" s="85"/>
      <c r="CZ560" s="85"/>
      <c r="DA560" s="85"/>
      <c r="DB560" s="85"/>
      <c r="DC560" s="85"/>
      <c r="DD560" s="85"/>
      <c r="DE560" s="85"/>
      <c r="DF560" s="85"/>
      <c r="DG560" s="85"/>
      <c r="DH560" s="85"/>
      <c r="DI560" s="85"/>
      <c r="DJ560" s="85"/>
      <c r="DK560" s="85"/>
      <c r="DL560" s="85"/>
      <c r="DM560" s="85"/>
      <c r="DN560" s="85"/>
      <c r="DO560" s="85"/>
      <c r="DP560" s="85"/>
    </row>
    <row r="561">
      <c r="A561" s="91"/>
      <c r="B561" s="91"/>
      <c r="C561" s="91"/>
      <c r="D561" s="91"/>
      <c r="E561" s="78"/>
      <c r="F561" s="15"/>
      <c r="G561" s="15"/>
      <c r="H561" s="91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92"/>
      <c r="BO561" s="92"/>
      <c r="BP561" s="92"/>
      <c r="BQ561" s="92"/>
      <c r="BR561" s="92"/>
      <c r="BS561" s="92"/>
      <c r="BT561" s="92"/>
      <c r="BU561" s="92"/>
      <c r="BV561" s="92"/>
      <c r="BW561" s="92"/>
      <c r="BX561" s="92"/>
      <c r="BY561" s="92"/>
      <c r="BZ561" s="92"/>
      <c r="CA561" s="92"/>
      <c r="CB561" s="92"/>
      <c r="CC561" s="92"/>
      <c r="CD561" s="92"/>
      <c r="CE561" s="92"/>
      <c r="CF561" s="92"/>
      <c r="CG561" s="92"/>
      <c r="CH561" s="92"/>
      <c r="CI561" s="92"/>
      <c r="CJ561" s="92"/>
      <c r="CK561" s="92"/>
      <c r="CL561" s="92"/>
      <c r="CM561" s="92"/>
      <c r="CN561" s="92"/>
      <c r="CO561" s="92"/>
      <c r="CP561" s="92"/>
      <c r="CQ561" s="92"/>
      <c r="CR561" s="92"/>
      <c r="CS561" s="92"/>
      <c r="CT561" s="92"/>
      <c r="CU561" s="92"/>
      <c r="CV561" s="92"/>
      <c r="CW561" s="92"/>
      <c r="CX561" s="85"/>
      <c r="CY561" s="85"/>
      <c r="CZ561" s="85"/>
      <c r="DA561" s="85"/>
      <c r="DB561" s="85"/>
      <c r="DC561" s="85"/>
      <c r="DD561" s="85"/>
      <c r="DE561" s="85"/>
      <c r="DF561" s="85"/>
      <c r="DG561" s="85"/>
      <c r="DH561" s="85"/>
      <c r="DI561" s="85"/>
      <c r="DJ561" s="85"/>
      <c r="DK561" s="85"/>
      <c r="DL561" s="85"/>
      <c r="DM561" s="85"/>
      <c r="DN561" s="85"/>
      <c r="DO561" s="85"/>
      <c r="DP561" s="85"/>
    </row>
    <row r="562">
      <c r="A562" s="91"/>
      <c r="B562" s="91"/>
      <c r="C562" s="91"/>
      <c r="D562" s="91"/>
      <c r="E562" s="78"/>
      <c r="F562" s="15"/>
      <c r="G562" s="15"/>
      <c r="H562" s="91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92"/>
      <c r="BO562" s="92"/>
      <c r="BP562" s="92"/>
      <c r="BQ562" s="92"/>
      <c r="BR562" s="92"/>
      <c r="BS562" s="92"/>
      <c r="BT562" s="92"/>
      <c r="BU562" s="92"/>
      <c r="BV562" s="92"/>
      <c r="BW562" s="92"/>
      <c r="BX562" s="92"/>
      <c r="BY562" s="92"/>
      <c r="BZ562" s="92"/>
      <c r="CA562" s="92"/>
      <c r="CB562" s="92"/>
      <c r="CC562" s="92"/>
      <c r="CD562" s="92"/>
      <c r="CE562" s="92"/>
      <c r="CF562" s="92"/>
      <c r="CG562" s="92"/>
      <c r="CH562" s="92"/>
      <c r="CI562" s="92"/>
      <c r="CJ562" s="92"/>
      <c r="CK562" s="92"/>
      <c r="CL562" s="92"/>
      <c r="CM562" s="92"/>
      <c r="CN562" s="92"/>
      <c r="CO562" s="92"/>
      <c r="CP562" s="92"/>
      <c r="CQ562" s="92"/>
      <c r="CR562" s="92"/>
      <c r="CS562" s="92"/>
      <c r="CT562" s="92"/>
      <c r="CU562" s="92"/>
      <c r="CV562" s="92"/>
      <c r="CW562" s="92"/>
      <c r="CX562" s="85"/>
      <c r="CY562" s="85"/>
      <c r="CZ562" s="85"/>
      <c r="DA562" s="85"/>
      <c r="DB562" s="85"/>
      <c r="DC562" s="85"/>
      <c r="DD562" s="85"/>
      <c r="DE562" s="85"/>
      <c r="DF562" s="85"/>
      <c r="DG562" s="85"/>
      <c r="DH562" s="85"/>
      <c r="DI562" s="85"/>
      <c r="DJ562" s="85"/>
      <c r="DK562" s="85"/>
      <c r="DL562" s="85"/>
      <c r="DM562" s="85"/>
      <c r="DN562" s="85"/>
      <c r="DO562" s="85"/>
      <c r="DP562" s="85"/>
    </row>
    <row r="563">
      <c r="A563" s="91"/>
      <c r="B563" s="91"/>
      <c r="C563" s="91"/>
      <c r="D563" s="91"/>
      <c r="E563" s="78"/>
      <c r="F563" s="15"/>
      <c r="G563" s="15"/>
      <c r="H563" s="91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92"/>
      <c r="BO563" s="92"/>
      <c r="BP563" s="92"/>
      <c r="BQ563" s="92"/>
      <c r="BR563" s="92"/>
      <c r="BS563" s="92"/>
      <c r="BT563" s="92"/>
      <c r="BU563" s="92"/>
      <c r="BV563" s="92"/>
      <c r="BW563" s="92"/>
      <c r="BX563" s="92"/>
      <c r="BY563" s="92"/>
      <c r="BZ563" s="92"/>
      <c r="CA563" s="92"/>
      <c r="CB563" s="92"/>
      <c r="CC563" s="92"/>
      <c r="CD563" s="92"/>
      <c r="CE563" s="92"/>
      <c r="CF563" s="92"/>
      <c r="CG563" s="92"/>
      <c r="CH563" s="92"/>
      <c r="CI563" s="92"/>
      <c r="CJ563" s="92"/>
      <c r="CK563" s="92"/>
      <c r="CL563" s="92"/>
      <c r="CM563" s="92"/>
      <c r="CN563" s="92"/>
      <c r="CO563" s="92"/>
      <c r="CP563" s="92"/>
      <c r="CQ563" s="92"/>
      <c r="CR563" s="92"/>
      <c r="CS563" s="92"/>
      <c r="CT563" s="92"/>
      <c r="CU563" s="92"/>
      <c r="CV563" s="92"/>
      <c r="CW563" s="92"/>
      <c r="CX563" s="85"/>
      <c r="CY563" s="85"/>
      <c r="CZ563" s="85"/>
      <c r="DA563" s="85"/>
      <c r="DB563" s="85"/>
      <c r="DC563" s="85"/>
      <c r="DD563" s="85"/>
      <c r="DE563" s="85"/>
      <c r="DF563" s="85"/>
      <c r="DG563" s="85"/>
      <c r="DH563" s="85"/>
      <c r="DI563" s="85"/>
      <c r="DJ563" s="85"/>
      <c r="DK563" s="85"/>
      <c r="DL563" s="85"/>
      <c r="DM563" s="85"/>
      <c r="DN563" s="85"/>
      <c r="DO563" s="85"/>
      <c r="DP563" s="85"/>
    </row>
    <row r="564">
      <c r="A564" s="91"/>
      <c r="B564" s="91"/>
      <c r="C564" s="91"/>
      <c r="D564" s="91"/>
      <c r="E564" s="78"/>
      <c r="F564" s="15"/>
      <c r="G564" s="15"/>
      <c r="H564" s="91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15"/>
      <c r="BH564" s="15"/>
      <c r="BI564" s="15"/>
      <c r="BJ564" s="15"/>
      <c r="BK564" s="15"/>
      <c r="BL564" s="15"/>
      <c r="BM564" s="15"/>
      <c r="BN564" s="92"/>
      <c r="BO564" s="92"/>
      <c r="BP564" s="92"/>
      <c r="BQ564" s="92"/>
      <c r="BR564" s="92"/>
      <c r="BS564" s="92"/>
      <c r="BT564" s="92"/>
      <c r="BU564" s="92"/>
      <c r="BV564" s="92"/>
      <c r="BW564" s="92"/>
      <c r="BX564" s="92"/>
      <c r="BY564" s="92"/>
      <c r="BZ564" s="92"/>
      <c r="CA564" s="92"/>
      <c r="CB564" s="92"/>
      <c r="CC564" s="92"/>
      <c r="CD564" s="92"/>
      <c r="CE564" s="92"/>
      <c r="CF564" s="92"/>
      <c r="CG564" s="92"/>
      <c r="CH564" s="92"/>
      <c r="CI564" s="92"/>
      <c r="CJ564" s="92"/>
      <c r="CK564" s="92"/>
      <c r="CL564" s="92"/>
      <c r="CM564" s="92"/>
      <c r="CN564" s="92"/>
      <c r="CO564" s="92"/>
      <c r="CP564" s="92"/>
      <c r="CQ564" s="92"/>
      <c r="CR564" s="92"/>
      <c r="CS564" s="92"/>
      <c r="CT564" s="92"/>
      <c r="CU564" s="92"/>
      <c r="CV564" s="92"/>
      <c r="CW564" s="92"/>
      <c r="CX564" s="85"/>
      <c r="CY564" s="85"/>
      <c r="CZ564" s="85"/>
      <c r="DA564" s="85"/>
      <c r="DB564" s="85"/>
      <c r="DC564" s="85"/>
      <c r="DD564" s="85"/>
      <c r="DE564" s="85"/>
      <c r="DF564" s="85"/>
      <c r="DG564" s="85"/>
      <c r="DH564" s="85"/>
      <c r="DI564" s="85"/>
      <c r="DJ564" s="85"/>
      <c r="DK564" s="85"/>
      <c r="DL564" s="85"/>
      <c r="DM564" s="85"/>
      <c r="DN564" s="85"/>
      <c r="DO564" s="85"/>
      <c r="DP564" s="85"/>
    </row>
    <row r="565">
      <c r="A565" s="91"/>
      <c r="B565" s="91"/>
      <c r="C565" s="91"/>
      <c r="D565" s="91"/>
      <c r="E565" s="78"/>
      <c r="F565" s="15"/>
      <c r="G565" s="15"/>
      <c r="H565" s="91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92"/>
      <c r="BO565" s="92"/>
      <c r="BP565" s="92"/>
      <c r="BQ565" s="92"/>
      <c r="BR565" s="92"/>
      <c r="BS565" s="92"/>
      <c r="BT565" s="92"/>
      <c r="BU565" s="92"/>
      <c r="BV565" s="92"/>
      <c r="BW565" s="92"/>
      <c r="BX565" s="92"/>
      <c r="BY565" s="92"/>
      <c r="BZ565" s="92"/>
      <c r="CA565" s="92"/>
      <c r="CB565" s="92"/>
      <c r="CC565" s="92"/>
      <c r="CD565" s="92"/>
      <c r="CE565" s="92"/>
      <c r="CF565" s="92"/>
      <c r="CG565" s="92"/>
      <c r="CH565" s="92"/>
      <c r="CI565" s="92"/>
      <c r="CJ565" s="92"/>
      <c r="CK565" s="92"/>
      <c r="CL565" s="92"/>
      <c r="CM565" s="92"/>
      <c r="CN565" s="92"/>
      <c r="CO565" s="92"/>
      <c r="CP565" s="92"/>
      <c r="CQ565" s="92"/>
      <c r="CR565" s="92"/>
      <c r="CS565" s="92"/>
      <c r="CT565" s="92"/>
      <c r="CU565" s="92"/>
      <c r="CV565" s="92"/>
      <c r="CW565" s="92"/>
      <c r="CX565" s="85"/>
      <c r="CY565" s="85"/>
      <c r="CZ565" s="85"/>
      <c r="DA565" s="85"/>
      <c r="DB565" s="85"/>
      <c r="DC565" s="85"/>
      <c r="DD565" s="85"/>
      <c r="DE565" s="85"/>
      <c r="DF565" s="85"/>
      <c r="DG565" s="85"/>
      <c r="DH565" s="85"/>
      <c r="DI565" s="85"/>
      <c r="DJ565" s="85"/>
      <c r="DK565" s="85"/>
      <c r="DL565" s="85"/>
      <c r="DM565" s="85"/>
      <c r="DN565" s="85"/>
      <c r="DO565" s="85"/>
      <c r="DP565" s="85"/>
    </row>
    <row r="566">
      <c r="A566" s="91"/>
      <c r="B566" s="91"/>
      <c r="C566" s="91"/>
      <c r="D566" s="91"/>
      <c r="E566" s="78"/>
      <c r="F566" s="15"/>
      <c r="G566" s="15"/>
      <c r="H566" s="91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  <c r="BJ566" s="15"/>
      <c r="BK566" s="15"/>
      <c r="BL566" s="15"/>
      <c r="BM566" s="15"/>
      <c r="BN566" s="92"/>
      <c r="BO566" s="92"/>
      <c r="BP566" s="92"/>
      <c r="BQ566" s="92"/>
      <c r="BR566" s="92"/>
      <c r="BS566" s="92"/>
      <c r="BT566" s="92"/>
      <c r="BU566" s="92"/>
      <c r="BV566" s="92"/>
      <c r="BW566" s="92"/>
      <c r="BX566" s="92"/>
      <c r="BY566" s="92"/>
      <c r="BZ566" s="92"/>
      <c r="CA566" s="92"/>
      <c r="CB566" s="92"/>
      <c r="CC566" s="92"/>
      <c r="CD566" s="92"/>
      <c r="CE566" s="92"/>
      <c r="CF566" s="92"/>
      <c r="CG566" s="92"/>
      <c r="CH566" s="92"/>
      <c r="CI566" s="92"/>
      <c r="CJ566" s="92"/>
      <c r="CK566" s="92"/>
      <c r="CL566" s="92"/>
      <c r="CM566" s="92"/>
      <c r="CN566" s="92"/>
      <c r="CO566" s="92"/>
      <c r="CP566" s="92"/>
      <c r="CQ566" s="92"/>
      <c r="CR566" s="92"/>
      <c r="CS566" s="92"/>
      <c r="CT566" s="92"/>
      <c r="CU566" s="92"/>
      <c r="CV566" s="92"/>
      <c r="CW566" s="92"/>
      <c r="CX566" s="85"/>
      <c r="CY566" s="85"/>
      <c r="CZ566" s="85"/>
      <c r="DA566" s="85"/>
      <c r="DB566" s="85"/>
      <c r="DC566" s="85"/>
      <c r="DD566" s="85"/>
      <c r="DE566" s="85"/>
      <c r="DF566" s="85"/>
      <c r="DG566" s="85"/>
      <c r="DH566" s="85"/>
      <c r="DI566" s="85"/>
      <c r="DJ566" s="85"/>
      <c r="DK566" s="85"/>
      <c r="DL566" s="85"/>
      <c r="DM566" s="85"/>
      <c r="DN566" s="85"/>
      <c r="DO566" s="85"/>
      <c r="DP566" s="85"/>
    </row>
    <row r="567">
      <c r="A567" s="91"/>
      <c r="B567" s="91"/>
      <c r="C567" s="91"/>
      <c r="D567" s="91"/>
      <c r="E567" s="78"/>
      <c r="F567" s="15"/>
      <c r="G567" s="15"/>
      <c r="H567" s="91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92"/>
      <c r="BO567" s="92"/>
      <c r="BP567" s="92"/>
      <c r="BQ567" s="92"/>
      <c r="BR567" s="92"/>
      <c r="BS567" s="92"/>
      <c r="BT567" s="92"/>
      <c r="BU567" s="92"/>
      <c r="BV567" s="92"/>
      <c r="BW567" s="92"/>
      <c r="BX567" s="92"/>
      <c r="BY567" s="92"/>
      <c r="BZ567" s="92"/>
      <c r="CA567" s="92"/>
      <c r="CB567" s="92"/>
      <c r="CC567" s="92"/>
      <c r="CD567" s="92"/>
      <c r="CE567" s="92"/>
      <c r="CF567" s="92"/>
      <c r="CG567" s="92"/>
      <c r="CH567" s="92"/>
      <c r="CI567" s="92"/>
      <c r="CJ567" s="92"/>
      <c r="CK567" s="92"/>
      <c r="CL567" s="92"/>
      <c r="CM567" s="92"/>
      <c r="CN567" s="92"/>
      <c r="CO567" s="92"/>
      <c r="CP567" s="92"/>
      <c r="CQ567" s="92"/>
      <c r="CR567" s="92"/>
      <c r="CS567" s="92"/>
      <c r="CT567" s="92"/>
      <c r="CU567" s="92"/>
      <c r="CV567" s="92"/>
      <c r="CW567" s="92"/>
      <c r="CX567" s="85"/>
      <c r="CY567" s="85"/>
      <c r="CZ567" s="85"/>
      <c r="DA567" s="85"/>
      <c r="DB567" s="85"/>
      <c r="DC567" s="85"/>
      <c r="DD567" s="85"/>
      <c r="DE567" s="85"/>
      <c r="DF567" s="85"/>
      <c r="DG567" s="85"/>
      <c r="DH567" s="85"/>
      <c r="DI567" s="85"/>
      <c r="DJ567" s="85"/>
      <c r="DK567" s="85"/>
      <c r="DL567" s="85"/>
      <c r="DM567" s="85"/>
      <c r="DN567" s="85"/>
      <c r="DO567" s="85"/>
      <c r="DP567" s="85"/>
    </row>
    <row r="568">
      <c r="A568" s="91"/>
      <c r="B568" s="91"/>
      <c r="C568" s="91"/>
      <c r="D568" s="91"/>
      <c r="E568" s="78"/>
      <c r="F568" s="15"/>
      <c r="G568" s="15"/>
      <c r="H568" s="91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  <c r="BL568" s="15"/>
      <c r="BM568" s="15"/>
      <c r="BN568" s="92"/>
      <c r="BO568" s="92"/>
      <c r="BP568" s="92"/>
      <c r="BQ568" s="92"/>
      <c r="BR568" s="92"/>
      <c r="BS568" s="92"/>
      <c r="BT568" s="92"/>
      <c r="BU568" s="92"/>
      <c r="BV568" s="92"/>
      <c r="BW568" s="92"/>
      <c r="BX568" s="92"/>
      <c r="BY568" s="92"/>
      <c r="BZ568" s="92"/>
      <c r="CA568" s="92"/>
      <c r="CB568" s="92"/>
      <c r="CC568" s="92"/>
      <c r="CD568" s="92"/>
      <c r="CE568" s="92"/>
      <c r="CF568" s="92"/>
      <c r="CG568" s="92"/>
      <c r="CH568" s="92"/>
      <c r="CI568" s="92"/>
      <c r="CJ568" s="92"/>
      <c r="CK568" s="92"/>
      <c r="CL568" s="92"/>
      <c r="CM568" s="92"/>
      <c r="CN568" s="92"/>
      <c r="CO568" s="92"/>
      <c r="CP568" s="92"/>
      <c r="CQ568" s="92"/>
      <c r="CR568" s="92"/>
      <c r="CS568" s="92"/>
      <c r="CT568" s="92"/>
      <c r="CU568" s="92"/>
      <c r="CV568" s="92"/>
      <c r="CW568" s="92"/>
      <c r="CX568" s="85"/>
      <c r="CY568" s="85"/>
      <c r="CZ568" s="85"/>
      <c r="DA568" s="85"/>
      <c r="DB568" s="85"/>
      <c r="DC568" s="85"/>
      <c r="DD568" s="85"/>
      <c r="DE568" s="85"/>
      <c r="DF568" s="85"/>
      <c r="DG568" s="85"/>
      <c r="DH568" s="85"/>
      <c r="DI568" s="85"/>
      <c r="DJ568" s="85"/>
      <c r="DK568" s="85"/>
      <c r="DL568" s="85"/>
      <c r="DM568" s="85"/>
      <c r="DN568" s="85"/>
      <c r="DO568" s="85"/>
      <c r="DP568" s="85"/>
    </row>
    <row r="569">
      <c r="A569" s="91"/>
      <c r="B569" s="91"/>
      <c r="C569" s="91"/>
      <c r="D569" s="91"/>
      <c r="E569" s="78"/>
      <c r="F569" s="15"/>
      <c r="G569" s="15"/>
      <c r="H569" s="91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92"/>
      <c r="BO569" s="92"/>
      <c r="BP569" s="92"/>
      <c r="BQ569" s="92"/>
      <c r="BR569" s="92"/>
      <c r="BS569" s="92"/>
      <c r="BT569" s="92"/>
      <c r="BU569" s="92"/>
      <c r="BV569" s="92"/>
      <c r="BW569" s="92"/>
      <c r="BX569" s="92"/>
      <c r="BY569" s="92"/>
      <c r="BZ569" s="92"/>
      <c r="CA569" s="92"/>
      <c r="CB569" s="92"/>
      <c r="CC569" s="92"/>
      <c r="CD569" s="92"/>
      <c r="CE569" s="92"/>
      <c r="CF569" s="92"/>
      <c r="CG569" s="92"/>
      <c r="CH569" s="92"/>
      <c r="CI569" s="92"/>
      <c r="CJ569" s="92"/>
      <c r="CK569" s="92"/>
      <c r="CL569" s="92"/>
      <c r="CM569" s="92"/>
      <c r="CN569" s="92"/>
      <c r="CO569" s="92"/>
      <c r="CP569" s="92"/>
      <c r="CQ569" s="92"/>
      <c r="CR569" s="92"/>
      <c r="CS569" s="92"/>
      <c r="CT569" s="92"/>
      <c r="CU569" s="92"/>
      <c r="CV569" s="92"/>
      <c r="CW569" s="92"/>
      <c r="CX569" s="85"/>
      <c r="CY569" s="85"/>
      <c r="CZ569" s="85"/>
      <c r="DA569" s="85"/>
      <c r="DB569" s="85"/>
      <c r="DC569" s="85"/>
      <c r="DD569" s="85"/>
      <c r="DE569" s="85"/>
      <c r="DF569" s="85"/>
      <c r="DG569" s="85"/>
      <c r="DH569" s="85"/>
      <c r="DI569" s="85"/>
      <c r="DJ569" s="85"/>
      <c r="DK569" s="85"/>
      <c r="DL569" s="85"/>
      <c r="DM569" s="85"/>
      <c r="DN569" s="85"/>
      <c r="DO569" s="85"/>
      <c r="DP569" s="85"/>
    </row>
    <row r="570">
      <c r="A570" s="91"/>
      <c r="B570" s="91"/>
      <c r="C570" s="91"/>
      <c r="D570" s="91"/>
      <c r="E570" s="78"/>
      <c r="F570" s="15"/>
      <c r="G570" s="15"/>
      <c r="H570" s="91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  <c r="BJ570" s="15"/>
      <c r="BK570" s="15"/>
      <c r="BL570" s="15"/>
      <c r="BM570" s="15"/>
      <c r="BN570" s="92"/>
      <c r="BO570" s="92"/>
      <c r="BP570" s="92"/>
      <c r="BQ570" s="92"/>
      <c r="BR570" s="92"/>
      <c r="BS570" s="92"/>
      <c r="BT570" s="92"/>
      <c r="BU570" s="92"/>
      <c r="BV570" s="92"/>
      <c r="BW570" s="92"/>
      <c r="BX570" s="92"/>
      <c r="BY570" s="92"/>
      <c r="BZ570" s="92"/>
      <c r="CA570" s="92"/>
      <c r="CB570" s="92"/>
      <c r="CC570" s="92"/>
      <c r="CD570" s="92"/>
      <c r="CE570" s="92"/>
      <c r="CF570" s="92"/>
      <c r="CG570" s="92"/>
      <c r="CH570" s="92"/>
      <c r="CI570" s="92"/>
      <c r="CJ570" s="92"/>
      <c r="CK570" s="92"/>
      <c r="CL570" s="92"/>
      <c r="CM570" s="92"/>
      <c r="CN570" s="92"/>
      <c r="CO570" s="92"/>
      <c r="CP570" s="92"/>
      <c r="CQ570" s="92"/>
      <c r="CR570" s="92"/>
      <c r="CS570" s="92"/>
      <c r="CT570" s="92"/>
      <c r="CU570" s="92"/>
      <c r="CV570" s="92"/>
      <c r="CW570" s="92"/>
      <c r="CX570" s="85"/>
      <c r="CY570" s="85"/>
      <c r="CZ570" s="85"/>
      <c r="DA570" s="85"/>
      <c r="DB570" s="85"/>
      <c r="DC570" s="85"/>
      <c r="DD570" s="85"/>
      <c r="DE570" s="85"/>
      <c r="DF570" s="85"/>
      <c r="DG570" s="85"/>
      <c r="DH570" s="85"/>
      <c r="DI570" s="85"/>
      <c r="DJ570" s="85"/>
      <c r="DK570" s="85"/>
      <c r="DL570" s="85"/>
      <c r="DM570" s="85"/>
      <c r="DN570" s="85"/>
      <c r="DO570" s="85"/>
      <c r="DP570" s="85"/>
    </row>
    <row r="571">
      <c r="A571" s="91"/>
      <c r="B571" s="91"/>
      <c r="C571" s="91"/>
      <c r="D571" s="91"/>
      <c r="E571" s="78"/>
      <c r="F571" s="15"/>
      <c r="G571" s="15"/>
      <c r="H571" s="91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92"/>
      <c r="BO571" s="92"/>
      <c r="BP571" s="92"/>
      <c r="BQ571" s="92"/>
      <c r="BR571" s="92"/>
      <c r="BS571" s="92"/>
      <c r="BT571" s="92"/>
      <c r="BU571" s="92"/>
      <c r="BV571" s="92"/>
      <c r="BW571" s="92"/>
      <c r="BX571" s="92"/>
      <c r="BY571" s="92"/>
      <c r="BZ571" s="92"/>
      <c r="CA571" s="92"/>
      <c r="CB571" s="92"/>
      <c r="CC571" s="92"/>
      <c r="CD571" s="92"/>
      <c r="CE571" s="92"/>
      <c r="CF571" s="92"/>
      <c r="CG571" s="92"/>
      <c r="CH571" s="92"/>
      <c r="CI571" s="92"/>
      <c r="CJ571" s="92"/>
      <c r="CK571" s="92"/>
      <c r="CL571" s="92"/>
      <c r="CM571" s="92"/>
      <c r="CN571" s="92"/>
      <c r="CO571" s="92"/>
      <c r="CP571" s="92"/>
      <c r="CQ571" s="92"/>
      <c r="CR571" s="92"/>
      <c r="CS571" s="92"/>
      <c r="CT571" s="92"/>
      <c r="CU571" s="92"/>
      <c r="CV571" s="92"/>
      <c r="CW571" s="92"/>
      <c r="CX571" s="85"/>
      <c r="CY571" s="85"/>
      <c r="CZ571" s="85"/>
      <c r="DA571" s="85"/>
      <c r="DB571" s="85"/>
      <c r="DC571" s="85"/>
      <c r="DD571" s="85"/>
      <c r="DE571" s="85"/>
      <c r="DF571" s="85"/>
      <c r="DG571" s="85"/>
      <c r="DH571" s="85"/>
      <c r="DI571" s="85"/>
      <c r="DJ571" s="85"/>
      <c r="DK571" s="85"/>
      <c r="DL571" s="85"/>
      <c r="DM571" s="85"/>
      <c r="DN571" s="85"/>
      <c r="DO571" s="85"/>
      <c r="DP571" s="85"/>
    </row>
    <row r="572">
      <c r="A572" s="91"/>
      <c r="B572" s="91"/>
      <c r="C572" s="91"/>
      <c r="D572" s="91"/>
      <c r="E572" s="78"/>
      <c r="F572" s="15"/>
      <c r="G572" s="15"/>
      <c r="H572" s="91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  <c r="BH572" s="15"/>
      <c r="BI572" s="15"/>
      <c r="BJ572" s="15"/>
      <c r="BK572" s="15"/>
      <c r="BL572" s="15"/>
      <c r="BM572" s="15"/>
      <c r="BN572" s="92"/>
      <c r="BO572" s="92"/>
      <c r="BP572" s="92"/>
      <c r="BQ572" s="92"/>
      <c r="BR572" s="92"/>
      <c r="BS572" s="92"/>
      <c r="BT572" s="92"/>
      <c r="BU572" s="92"/>
      <c r="BV572" s="92"/>
      <c r="BW572" s="92"/>
      <c r="BX572" s="92"/>
      <c r="BY572" s="92"/>
      <c r="BZ572" s="92"/>
      <c r="CA572" s="92"/>
      <c r="CB572" s="92"/>
      <c r="CC572" s="92"/>
      <c r="CD572" s="92"/>
      <c r="CE572" s="92"/>
      <c r="CF572" s="92"/>
      <c r="CG572" s="92"/>
      <c r="CH572" s="92"/>
      <c r="CI572" s="92"/>
      <c r="CJ572" s="92"/>
      <c r="CK572" s="92"/>
      <c r="CL572" s="92"/>
      <c r="CM572" s="92"/>
      <c r="CN572" s="92"/>
      <c r="CO572" s="92"/>
      <c r="CP572" s="92"/>
      <c r="CQ572" s="92"/>
      <c r="CR572" s="92"/>
      <c r="CS572" s="92"/>
      <c r="CT572" s="92"/>
      <c r="CU572" s="92"/>
      <c r="CV572" s="92"/>
      <c r="CW572" s="92"/>
      <c r="CX572" s="85"/>
      <c r="CY572" s="85"/>
      <c r="CZ572" s="85"/>
      <c r="DA572" s="85"/>
      <c r="DB572" s="85"/>
      <c r="DC572" s="85"/>
      <c r="DD572" s="85"/>
      <c r="DE572" s="85"/>
      <c r="DF572" s="85"/>
      <c r="DG572" s="85"/>
      <c r="DH572" s="85"/>
      <c r="DI572" s="85"/>
      <c r="DJ572" s="85"/>
      <c r="DK572" s="85"/>
      <c r="DL572" s="85"/>
      <c r="DM572" s="85"/>
      <c r="DN572" s="85"/>
      <c r="DO572" s="85"/>
      <c r="DP572" s="85"/>
    </row>
    <row r="573">
      <c r="A573" s="91"/>
      <c r="B573" s="91"/>
      <c r="C573" s="91"/>
      <c r="D573" s="91"/>
      <c r="E573" s="78"/>
      <c r="F573" s="15"/>
      <c r="G573" s="15"/>
      <c r="H573" s="91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92"/>
      <c r="BO573" s="92"/>
      <c r="BP573" s="92"/>
      <c r="BQ573" s="92"/>
      <c r="BR573" s="92"/>
      <c r="BS573" s="92"/>
      <c r="BT573" s="92"/>
      <c r="BU573" s="92"/>
      <c r="BV573" s="92"/>
      <c r="BW573" s="92"/>
      <c r="BX573" s="92"/>
      <c r="BY573" s="92"/>
      <c r="BZ573" s="92"/>
      <c r="CA573" s="92"/>
      <c r="CB573" s="92"/>
      <c r="CC573" s="92"/>
      <c r="CD573" s="92"/>
      <c r="CE573" s="92"/>
      <c r="CF573" s="92"/>
      <c r="CG573" s="92"/>
      <c r="CH573" s="92"/>
      <c r="CI573" s="92"/>
      <c r="CJ573" s="92"/>
      <c r="CK573" s="92"/>
      <c r="CL573" s="92"/>
      <c r="CM573" s="92"/>
      <c r="CN573" s="92"/>
      <c r="CO573" s="92"/>
      <c r="CP573" s="92"/>
      <c r="CQ573" s="92"/>
      <c r="CR573" s="92"/>
      <c r="CS573" s="92"/>
      <c r="CT573" s="92"/>
      <c r="CU573" s="92"/>
      <c r="CV573" s="92"/>
      <c r="CW573" s="92"/>
      <c r="CX573" s="85"/>
      <c r="CY573" s="85"/>
      <c r="CZ573" s="85"/>
      <c r="DA573" s="85"/>
      <c r="DB573" s="85"/>
      <c r="DC573" s="85"/>
      <c r="DD573" s="85"/>
      <c r="DE573" s="85"/>
      <c r="DF573" s="85"/>
      <c r="DG573" s="85"/>
      <c r="DH573" s="85"/>
      <c r="DI573" s="85"/>
      <c r="DJ573" s="85"/>
      <c r="DK573" s="85"/>
      <c r="DL573" s="85"/>
      <c r="DM573" s="85"/>
      <c r="DN573" s="85"/>
      <c r="DO573" s="85"/>
      <c r="DP573" s="85"/>
    </row>
    <row r="574">
      <c r="A574" s="91"/>
      <c r="B574" s="91"/>
      <c r="C574" s="91"/>
      <c r="D574" s="91"/>
      <c r="E574" s="78"/>
      <c r="F574" s="15"/>
      <c r="G574" s="15"/>
      <c r="H574" s="91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  <c r="BG574" s="15"/>
      <c r="BH574" s="15"/>
      <c r="BI574" s="15"/>
      <c r="BJ574" s="15"/>
      <c r="BK574" s="15"/>
      <c r="BL574" s="15"/>
      <c r="BM574" s="15"/>
      <c r="BN574" s="92"/>
      <c r="BO574" s="92"/>
      <c r="BP574" s="92"/>
      <c r="BQ574" s="92"/>
      <c r="BR574" s="92"/>
      <c r="BS574" s="92"/>
      <c r="BT574" s="92"/>
      <c r="BU574" s="92"/>
      <c r="BV574" s="92"/>
      <c r="BW574" s="92"/>
      <c r="BX574" s="92"/>
      <c r="BY574" s="92"/>
      <c r="BZ574" s="92"/>
      <c r="CA574" s="92"/>
      <c r="CB574" s="92"/>
      <c r="CC574" s="92"/>
      <c r="CD574" s="92"/>
      <c r="CE574" s="92"/>
      <c r="CF574" s="92"/>
      <c r="CG574" s="92"/>
      <c r="CH574" s="92"/>
      <c r="CI574" s="92"/>
      <c r="CJ574" s="92"/>
      <c r="CK574" s="92"/>
      <c r="CL574" s="92"/>
      <c r="CM574" s="92"/>
      <c r="CN574" s="92"/>
      <c r="CO574" s="92"/>
      <c r="CP574" s="92"/>
      <c r="CQ574" s="92"/>
      <c r="CR574" s="92"/>
      <c r="CS574" s="92"/>
      <c r="CT574" s="92"/>
      <c r="CU574" s="92"/>
      <c r="CV574" s="92"/>
      <c r="CW574" s="92"/>
      <c r="CX574" s="85"/>
      <c r="CY574" s="85"/>
      <c r="CZ574" s="85"/>
      <c r="DA574" s="85"/>
      <c r="DB574" s="85"/>
      <c r="DC574" s="85"/>
      <c r="DD574" s="85"/>
      <c r="DE574" s="85"/>
      <c r="DF574" s="85"/>
      <c r="DG574" s="85"/>
      <c r="DH574" s="85"/>
      <c r="DI574" s="85"/>
      <c r="DJ574" s="85"/>
      <c r="DK574" s="85"/>
      <c r="DL574" s="85"/>
      <c r="DM574" s="85"/>
      <c r="DN574" s="85"/>
      <c r="DO574" s="85"/>
      <c r="DP574" s="85"/>
    </row>
    <row r="575">
      <c r="A575" s="91"/>
      <c r="B575" s="91"/>
      <c r="C575" s="91"/>
      <c r="D575" s="91"/>
      <c r="E575" s="78"/>
      <c r="F575" s="15"/>
      <c r="G575" s="15"/>
      <c r="H575" s="91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92"/>
      <c r="BO575" s="92"/>
      <c r="BP575" s="92"/>
      <c r="BQ575" s="92"/>
      <c r="BR575" s="92"/>
      <c r="BS575" s="92"/>
      <c r="BT575" s="92"/>
      <c r="BU575" s="92"/>
      <c r="BV575" s="92"/>
      <c r="BW575" s="92"/>
      <c r="BX575" s="92"/>
      <c r="BY575" s="92"/>
      <c r="BZ575" s="92"/>
      <c r="CA575" s="92"/>
      <c r="CB575" s="92"/>
      <c r="CC575" s="92"/>
      <c r="CD575" s="92"/>
      <c r="CE575" s="92"/>
      <c r="CF575" s="92"/>
      <c r="CG575" s="92"/>
      <c r="CH575" s="92"/>
      <c r="CI575" s="92"/>
      <c r="CJ575" s="92"/>
      <c r="CK575" s="92"/>
      <c r="CL575" s="92"/>
      <c r="CM575" s="92"/>
      <c r="CN575" s="92"/>
      <c r="CO575" s="92"/>
      <c r="CP575" s="92"/>
      <c r="CQ575" s="92"/>
      <c r="CR575" s="92"/>
      <c r="CS575" s="92"/>
      <c r="CT575" s="92"/>
      <c r="CU575" s="92"/>
      <c r="CV575" s="92"/>
      <c r="CW575" s="92"/>
      <c r="CX575" s="85"/>
      <c r="CY575" s="85"/>
      <c r="CZ575" s="85"/>
      <c r="DA575" s="85"/>
      <c r="DB575" s="85"/>
      <c r="DC575" s="85"/>
      <c r="DD575" s="85"/>
      <c r="DE575" s="85"/>
      <c r="DF575" s="85"/>
      <c r="DG575" s="85"/>
      <c r="DH575" s="85"/>
      <c r="DI575" s="85"/>
      <c r="DJ575" s="85"/>
      <c r="DK575" s="85"/>
      <c r="DL575" s="85"/>
      <c r="DM575" s="85"/>
      <c r="DN575" s="85"/>
      <c r="DO575" s="85"/>
      <c r="DP575" s="85"/>
    </row>
    <row r="576">
      <c r="A576" s="91"/>
      <c r="B576" s="91"/>
      <c r="C576" s="91"/>
      <c r="D576" s="91"/>
      <c r="E576" s="78"/>
      <c r="F576" s="15"/>
      <c r="G576" s="15"/>
      <c r="H576" s="91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  <c r="BG576" s="15"/>
      <c r="BH576" s="15"/>
      <c r="BI576" s="15"/>
      <c r="BJ576" s="15"/>
      <c r="BK576" s="15"/>
      <c r="BL576" s="15"/>
      <c r="BM576" s="15"/>
      <c r="BN576" s="92"/>
      <c r="BO576" s="92"/>
      <c r="BP576" s="92"/>
      <c r="BQ576" s="92"/>
      <c r="BR576" s="92"/>
      <c r="BS576" s="92"/>
      <c r="BT576" s="92"/>
      <c r="BU576" s="92"/>
      <c r="BV576" s="92"/>
      <c r="BW576" s="92"/>
      <c r="BX576" s="92"/>
      <c r="BY576" s="92"/>
      <c r="BZ576" s="92"/>
      <c r="CA576" s="92"/>
      <c r="CB576" s="92"/>
      <c r="CC576" s="92"/>
      <c r="CD576" s="92"/>
      <c r="CE576" s="92"/>
      <c r="CF576" s="92"/>
      <c r="CG576" s="92"/>
      <c r="CH576" s="92"/>
      <c r="CI576" s="92"/>
      <c r="CJ576" s="92"/>
      <c r="CK576" s="92"/>
      <c r="CL576" s="92"/>
      <c r="CM576" s="92"/>
      <c r="CN576" s="92"/>
      <c r="CO576" s="92"/>
      <c r="CP576" s="92"/>
      <c r="CQ576" s="92"/>
      <c r="CR576" s="92"/>
      <c r="CS576" s="92"/>
      <c r="CT576" s="92"/>
      <c r="CU576" s="92"/>
      <c r="CV576" s="92"/>
      <c r="CW576" s="92"/>
      <c r="CX576" s="85"/>
      <c r="CY576" s="85"/>
      <c r="CZ576" s="85"/>
      <c r="DA576" s="85"/>
      <c r="DB576" s="85"/>
      <c r="DC576" s="85"/>
      <c r="DD576" s="85"/>
      <c r="DE576" s="85"/>
      <c r="DF576" s="85"/>
      <c r="DG576" s="85"/>
      <c r="DH576" s="85"/>
      <c r="DI576" s="85"/>
      <c r="DJ576" s="85"/>
      <c r="DK576" s="85"/>
      <c r="DL576" s="85"/>
      <c r="DM576" s="85"/>
      <c r="DN576" s="85"/>
      <c r="DO576" s="85"/>
      <c r="DP576" s="85"/>
    </row>
    <row r="577">
      <c r="A577" s="91"/>
      <c r="B577" s="91"/>
      <c r="C577" s="91"/>
      <c r="D577" s="91"/>
      <c r="E577" s="78"/>
      <c r="F577" s="15"/>
      <c r="G577" s="15"/>
      <c r="H577" s="91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92"/>
      <c r="BO577" s="92"/>
      <c r="BP577" s="92"/>
      <c r="BQ577" s="92"/>
      <c r="BR577" s="92"/>
      <c r="BS577" s="92"/>
      <c r="BT577" s="92"/>
      <c r="BU577" s="92"/>
      <c r="BV577" s="92"/>
      <c r="BW577" s="92"/>
      <c r="BX577" s="92"/>
      <c r="BY577" s="92"/>
      <c r="BZ577" s="92"/>
      <c r="CA577" s="92"/>
      <c r="CB577" s="92"/>
      <c r="CC577" s="92"/>
      <c r="CD577" s="92"/>
      <c r="CE577" s="92"/>
      <c r="CF577" s="92"/>
      <c r="CG577" s="92"/>
      <c r="CH577" s="92"/>
      <c r="CI577" s="92"/>
      <c r="CJ577" s="92"/>
      <c r="CK577" s="92"/>
      <c r="CL577" s="92"/>
      <c r="CM577" s="92"/>
      <c r="CN577" s="92"/>
      <c r="CO577" s="92"/>
      <c r="CP577" s="92"/>
      <c r="CQ577" s="92"/>
      <c r="CR577" s="92"/>
      <c r="CS577" s="92"/>
      <c r="CT577" s="92"/>
      <c r="CU577" s="92"/>
      <c r="CV577" s="92"/>
      <c r="CW577" s="92"/>
      <c r="CX577" s="85"/>
      <c r="CY577" s="85"/>
      <c r="CZ577" s="85"/>
      <c r="DA577" s="85"/>
      <c r="DB577" s="85"/>
      <c r="DC577" s="85"/>
      <c r="DD577" s="85"/>
      <c r="DE577" s="85"/>
      <c r="DF577" s="85"/>
      <c r="DG577" s="85"/>
      <c r="DH577" s="85"/>
      <c r="DI577" s="85"/>
      <c r="DJ577" s="85"/>
      <c r="DK577" s="85"/>
      <c r="DL577" s="85"/>
      <c r="DM577" s="85"/>
      <c r="DN577" s="85"/>
      <c r="DO577" s="85"/>
      <c r="DP577" s="85"/>
    </row>
    <row r="578">
      <c r="A578" s="91"/>
      <c r="B578" s="91"/>
      <c r="C578" s="91"/>
      <c r="D578" s="91"/>
      <c r="E578" s="78"/>
      <c r="F578" s="15"/>
      <c r="G578" s="15"/>
      <c r="H578" s="91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  <c r="BG578" s="15"/>
      <c r="BH578" s="15"/>
      <c r="BI578" s="15"/>
      <c r="BJ578" s="15"/>
      <c r="BK578" s="15"/>
      <c r="BL578" s="15"/>
      <c r="BM578" s="15"/>
      <c r="BN578" s="92"/>
      <c r="BO578" s="92"/>
      <c r="BP578" s="92"/>
      <c r="BQ578" s="92"/>
      <c r="BR578" s="92"/>
      <c r="BS578" s="92"/>
      <c r="BT578" s="92"/>
      <c r="BU578" s="92"/>
      <c r="BV578" s="92"/>
      <c r="BW578" s="92"/>
      <c r="BX578" s="92"/>
      <c r="BY578" s="92"/>
      <c r="BZ578" s="92"/>
      <c r="CA578" s="92"/>
      <c r="CB578" s="92"/>
      <c r="CC578" s="92"/>
      <c r="CD578" s="92"/>
      <c r="CE578" s="92"/>
      <c r="CF578" s="92"/>
      <c r="CG578" s="92"/>
      <c r="CH578" s="92"/>
      <c r="CI578" s="92"/>
      <c r="CJ578" s="92"/>
      <c r="CK578" s="92"/>
      <c r="CL578" s="92"/>
      <c r="CM578" s="92"/>
      <c r="CN578" s="92"/>
      <c r="CO578" s="92"/>
      <c r="CP578" s="92"/>
      <c r="CQ578" s="92"/>
      <c r="CR578" s="92"/>
      <c r="CS578" s="92"/>
      <c r="CT578" s="92"/>
      <c r="CU578" s="92"/>
      <c r="CV578" s="92"/>
      <c r="CW578" s="92"/>
      <c r="CX578" s="85"/>
      <c r="CY578" s="85"/>
      <c r="CZ578" s="85"/>
      <c r="DA578" s="85"/>
      <c r="DB578" s="85"/>
      <c r="DC578" s="85"/>
      <c r="DD578" s="85"/>
      <c r="DE578" s="85"/>
      <c r="DF578" s="85"/>
      <c r="DG578" s="85"/>
      <c r="DH578" s="85"/>
      <c r="DI578" s="85"/>
      <c r="DJ578" s="85"/>
      <c r="DK578" s="85"/>
      <c r="DL578" s="85"/>
      <c r="DM578" s="85"/>
      <c r="DN578" s="85"/>
      <c r="DO578" s="85"/>
      <c r="DP578" s="85"/>
    </row>
    <row r="579">
      <c r="A579" s="91"/>
      <c r="B579" s="91"/>
      <c r="C579" s="91"/>
      <c r="D579" s="91"/>
      <c r="E579" s="78"/>
      <c r="F579" s="15"/>
      <c r="G579" s="15"/>
      <c r="H579" s="91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92"/>
      <c r="BO579" s="92"/>
      <c r="BP579" s="92"/>
      <c r="BQ579" s="92"/>
      <c r="BR579" s="92"/>
      <c r="BS579" s="92"/>
      <c r="BT579" s="92"/>
      <c r="BU579" s="92"/>
      <c r="BV579" s="92"/>
      <c r="BW579" s="92"/>
      <c r="BX579" s="92"/>
      <c r="BY579" s="92"/>
      <c r="BZ579" s="92"/>
      <c r="CA579" s="92"/>
      <c r="CB579" s="92"/>
      <c r="CC579" s="92"/>
      <c r="CD579" s="92"/>
      <c r="CE579" s="92"/>
      <c r="CF579" s="92"/>
      <c r="CG579" s="92"/>
      <c r="CH579" s="92"/>
      <c r="CI579" s="92"/>
      <c r="CJ579" s="92"/>
      <c r="CK579" s="92"/>
      <c r="CL579" s="92"/>
      <c r="CM579" s="92"/>
      <c r="CN579" s="92"/>
      <c r="CO579" s="92"/>
      <c r="CP579" s="92"/>
      <c r="CQ579" s="92"/>
      <c r="CR579" s="92"/>
      <c r="CS579" s="92"/>
      <c r="CT579" s="92"/>
      <c r="CU579" s="92"/>
      <c r="CV579" s="92"/>
      <c r="CW579" s="92"/>
      <c r="CX579" s="85"/>
      <c r="CY579" s="85"/>
      <c r="CZ579" s="85"/>
      <c r="DA579" s="85"/>
      <c r="DB579" s="85"/>
      <c r="DC579" s="85"/>
      <c r="DD579" s="85"/>
      <c r="DE579" s="85"/>
      <c r="DF579" s="85"/>
      <c r="DG579" s="85"/>
      <c r="DH579" s="85"/>
      <c r="DI579" s="85"/>
      <c r="DJ579" s="85"/>
      <c r="DK579" s="85"/>
      <c r="DL579" s="85"/>
      <c r="DM579" s="85"/>
      <c r="DN579" s="85"/>
      <c r="DO579" s="85"/>
      <c r="DP579" s="85"/>
    </row>
    <row r="580">
      <c r="A580" s="91"/>
      <c r="B580" s="91"/>
      <c r="C580" s="91"/>
      <c r="D580" s="91"/>
      <c r="E580" s="78"/>
      <c r="F580" s="15"/>
      <c r="G580" s="15"/>
      <c r="H580" s="91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  <c r="BG580" s="15"/>
      <c r="BH580" s="15"/>
      <c r="BI580" s="15"/>
      <c r="BJ580" s="15"/>
      <c r="BK580" s="15"/>
      <c r="BL580" s="15"/>
      <c r="BM580" s="15"/>
      <c r="BN580" s="92"/>
      <c r="BO580" s="92"/>
      <c r="BP580" s="92"/>
      <c r="BQ580" s="92"/>
      <c r="BR580" s="92"/>
      <c r="BS580" s="92"/>
      <c r="BT580" s="92"/>
      <c r="BU580" s="92"/>
      <c r="BV580" s="92"/>
      <c r="BW580" s="92"/>
      <c r="BX580" s="92"/>
      <c r="BY580" s="92"/>
      <c r="BZ580" s="92"/>
      <c r="CA580" s="92"/>
      <c r="CB580" s="92"/>
      <c r="CC580" s="92"/>
      <c r="CD580" s="92"/>
      <c r="CE580" s="92"/>
      <c r="CF580" s="92"/>
      <c r="CG580" s="92"/>
      <c r="CH580" s="92"/>
      <c r="CI580" s="92"/>
      <c r="CJ580" s="92"/>
      <c r="CK580" s="92"/>
      <c r="CL580" s="92"/>
      <c r="CM580" s="92"/>
      <c r="CN580" s="92"/>
      <c r="CO580" s="92"/>
      <c r="CP580" s="92"/>
      <c r="CQ580" s="92"/>
      <c r="CR580" s="92"/>
      <c r="CS580" s="92"/>
      <c r="CT580" s="92"/>
      <c r="CU580" s="92"/>
      <c r="CV580" s="92"/>
      <c r="CW580" s="92"/>
      <c r="CX580" s="85"/>
      <c r="CY580" s="85"/>
      <c r="CZ580" s="85"/>
      <c r="DA580" s="85"/>
      <c r="DB580" s="85"/>
      <c r="DC580" s="85"/>
      <c r="DD580" s="85"/>
      <c r="DE580" s="85"/>
      <c r="DF580" s="85"/>
      <c r="DG580" s="85"/>
      <c r="DH580" s="85"/>
      <c r="DI580" s="85"/>
      <c r="DJ580" s="85"/>
      <c r="DK580" s="85"/>
      <c r="DL580" s="85"/>
      <c r="DM580" s="85"/>
      <c r="DN580" s="85"/>
      <c r="DO580" s="85"/>
      <c r="DP580" s="85"/>
    </row>
    <row r="581">
      <c r="A581" s="91"/>
      <c r="B581" s="91"/>
      <c r="C581" s="91"/>
      <c r="D581" s="91"/>
      <c r="E581" s="78"/>
      <c r="F581" s="15"/>
      <c r="G581" s="15"/>
      <c r="H581" s="91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92"/>
      <c r="BO581" s="92"/>
      <c r="BP581" s="92"/>
      <c r="BQ581" s="92"/>
      <c r="BR581" s="92"/>
      <c r="BS581" s="92"/>
      <c r="BT581" s="92"/>
      <c r="BU581" s="92"/>
      <c r="BV581" s="92"/>
      <c r="BW581" s="92"/>
      <c r="BX581" s="92"/>
      <c r="BY581" s="92"/>
      <c r="BZ581" s="92"/>
      <c r="CA581" s="92"/>
      <c r="CB581" s="92"/>
      <c r="CC581" s="92"/>
      <c r="CD581" s="92"/>
      <c r="CE581" s="92"/>
      <c r="CF581" s="92"/>
      <c r="CG581" s="92"/>
      <c r="CH581" s="92"/>
      <c r="CI581" s="92"/>
      <c r="CJ581" s="92"/>
      <c r="CK581" s="92"/>
      <c r="CL581" s="92"/>
      <c r="CM581" s="92"/>
      <c r="CN581" s="92"/>
      <c r="CO581" s="92"/>
      <c r="CP581" s="92"/>
      <c r="CQ581" s="92"/>
      <c r="CR581" s="92"/>
      <c r="CS581" s="92"/>
      <c r="CT581" s="92"/>
      <c r="CU581" s="92"/>
      <c r="CV581" s="92"/>
      <c r="CW581" s="92"/>
      <c r="CX581" s="85"/>
      <c r="CY581" s="85"/>
      <c r="CZ581" s="85"/>
      <c r="DA581" s="85"/>
      <c r="DB581" s="85"/>
      <c r="DC581" s="85"/>
      <c r="DD581" s="85"/>
      <c r="DE581" s="85"/>
      <c r="DF581" s="85"/>
      <c r="DG581" s="85"/>
      <c r="DH581" s="85"/>
      <c r="DI581" s="85"/>
      <c r="DJ581" s="85"/>
      <c r="DK581" s="85"/>
      <c r="DL581" s="85"/>
      <c r="DM581" s="85"/>
      <c r="DN581" s="85"/>
      <c r="DO581" s="85"/>
      <c r="DP581" s="85"/>
    </row>
    <row r="582">
      <c r="A582" s="91"/>
      <c r="B582" s="91"/>
      <c r="C582" s="91"/>
      <c r="D582" s="91"/>
      <c r="E582" s="78"/>
      <c r="F582" s="15"/>
      <c r="G582" s="15"/>
      <c r="H582" s="91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  <c r="BG582" s="15"/>
      <c r="BH582" s="15"/>
      <c r="BI582" s="15"/>
      <c r="BJ582" s="15"/>
      <c r="BK582" s="15"/>
      <c r="BL582" s="15"/>
      <c r="BM582" s="15"/>
      <c r="BN582" s="92"/>
      <c r="BO582" s="92"/>
      <c r="BP582" s="92"/>
      <c r="BQ582" s="92"/>
      <c r="BR582" s="92"/>
      <c r="BS582" s="92"/>
      <c r="BT582" s="92"/>
      <c r="BU582" s="92"/>
      <c r="BV582" s="92"/>
      <c r="BW582" s="92"/>
      <c r="BX582" s="92"/>
      <c r="BY582" s="92"/>
      <c r="BZ582" s="92"/>
      <c r="CA582" s="92"/>
      <c r="CB582" s="92"/>
      <c r="CC582" s="92"/>
      <c r="CD582" s="92"/>
      <c r="CE582" s="92"/>
      <c r="CF582" s="92"/>
      <c r="CG582" s="92"/>
      <c r="CH582" s="92"/>
      <c r="CI582" s="92"/>
      <c r="CJ582" s="92"/>
      <c r="CK582" s="92"/>
      <c r="CL582" s="92"/>
      <c r="CM582" s="92"/>
      <c r="CN582" s="92"/>
      <c r="CO582" s="92"/>
      <c r="CP582" s="92"/>
      <c r="CQ582" s="92"/>
      <c r="CR582" s="92"/>
      <c r="CS582" s="92"/>
      <c r="CT582" s="92"/>
      <c r="CU582" s="92"/>
      <c r="CV582" s="92"/>
      <c r="CW582" s="92"/>
      <c r="CX582" s="85"/>
      <c r="CY582" s="85"/>
      <c r="CZ582" s="85"/>
      <c r="DA582" s="85"/>
      <c r="DB582" s="85"/>
      <c r="DC582" s="85"/>
      <c r="DD582" s="85"/>
      <c r="DE582" s="85"/>
      <c r="DF582" s="85"/>
      <c r="DG582" s="85"/>
      <c r="DH582" s="85"/>
      <c r="DI582" s="85"/>
      <c r="DJ582" s="85"/>
      <c r="DK582" s="85"/>
      <c r="DL582" s="85"/>
      <c r="DM582" s="85"/>
      <c r="DN582" s="85"/>
      <c r="DO582" s="85"/>
      <c r="DP582" s="85"/>
    </row>
    <row r="583">
      <c r="A583" s="91"/>
      <c r="B583" s="91"/>
      <c r="C583" s="91"/>
      <c r="D583" s="91"/>
      <c r="E583" s="78"/>
      <c r="F583" s="15"/>
      <c r="G583" s="15"/>
      <c r="H583" s="91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92"/>
      <c r="BO583" s="92"/>
      <c r="BP583" s="92"/>
      <c r="BQ583" s="92"/>
      <c r="BR583" s="92"/>
      <c r="BS583" s="92"/>
      <c r="BT583" s="92"/>
      <c r="BU583" s="92"/>
      <c r="BV583" s="92"/>
      <c r="BW583" s="92"/>
      <c r="BX583" s="92"/>
      <c r="BY583" s="92"/>
      <c r="BZ583" s="92"/>
      <c r="CA583" s="92"/>
      <c r="CB583" s="92"/>
      <c r="CC583" s="92"/>
      <c r="CD583" s="92"/>
      <c r="CE583" s="92"/>
      <c r="CF583" s="92"/>
      <c r="CG583" s="92"/>
      <c r="CH583" s="92"/>
      <c r="CI583" s="92"/>
      <c r="CJ583" s="92"/>
      <c r="CK583" s="92"/>
      <c r="CL583" s="92"/>
      <c r="CM583" s="92"/>
      <c r="CN583" s="92"/>
      <c r="CO583" s="92"/>
      <c r="CP583" s="92"/>
      <c r="CQ583" s="92"/>
      <c r="CR583" s="92"/>
      <c r="CS583" s="92"/>
      <c r="CT583" s="92"/>
      <c r="CU583" s="92"/>
      <c r="CV583" s="92"/>
      <c r="CW583" s="92"/>
      <c r="CX583" s="85"/>
      <c r="CY583" s="85"/>
      <c r="CZ583" s="85"/>
      <c r="DA583" s="85"/>
      <c r="DB583" s="85"/>
      <c r="DC583" s="85"/>
      <c r="DD583" s="85"/>
      <c r="DE583" s="85"/>
      <c r="DF583" s="85"/>
      <c r="DG583" s="85"/>
      <c r="DH583" s="85"/>
      <c r="DI583" s="85"/>
      <c r="DJ583" s="85"/>
      <c r="DK583" s="85"/>
      <c r="DL583" s="85"/>
      <c r="DM583" s="85"/>
      <c r="DN583" s="85"/>
      <c r="DO583" s="85"/>
      <c r="DP583" s="85"/>
    </row>
    <row r="584">
      <c r="A584" s="91"/>
      <c r="B584" s="91"/>
      <c r="C584" s="91"/>
      <c r="D584" s="91"/>
      <c r="E584" s="78"/>
      <c r="F584" s="15"/>
      <c r="G584" s="15"/>
      <c r="H584" s="91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  <c r="BG584" s="15"/>
      <c r="BH584" s="15"/>
      <c r="BI584" s="15"/>
      <c r="BJ584" s="15"/>
      <c r="BK584" s="15"/>
      <c r="BL584" s="15"/>
      <c r="BM584" s="15"/>
      <c r="BN584" s="92"/>
      <c r="BO584" s="92"/>
      <c r="BP584" s="92"/>
      <c r="BQ584" s="92"/>
      <c r="BR584" s="92"/>
      <c r="BS584" s="92"/>
      <c r="BT584" s="92"/>
      <c r="BU584" s="92"/>
      <c r="BV584" s="92"/>
      <c r="BW584" s="92"/>
      <c r="BX584" s="92"/>
      <c r="BY584" s="92"/>
      <c r="BZ584" s="92"/>
      <c r="CA584" s="92"/>
      <c r="CB584" s="92"/>
      <c r="CC584" s="92"/>
      <c r="CD584" s="92"/>
      <c r="CE584" s="92"/>
      <c r="CF584" s="92"/>
      <c r="CG584" s="92"/>
      <c r="CH584" s="92"/>
      <c r="CI584" s="92"/>
      <c r="CJ584" s="92"/>
      <c r="CK584" s="92"/>
      <c r="CL584" s="92"/>
      <c r="CM584" s="92"/>
      <c r="CN584" s="92"/>
      <c r="CO584" s="92"/>
      <c r="CP584" s="92"/>
      <c r="CQ584" s="92"/>
      <c r="CR584" s="92"/>
      <c r="CS584" s="92"/>
      <c r="CT584" s="92"/>
      <c r="CU584" s="92"/>
      <c r="CV584" s="92"/>
      <c r="CW584" s="92"/>
      <c r="CX584" s="85"/>
      <c r="CY584" s="85"/>
      <c r="CZ584" s="85"/>
      <c r="DA584" s="85"/>
      <c r="DB584" s="85"/>
      <c r="DC584" s="85"/>
      <c r="DD584" s="85"/>
      <c r="DE584" s="85"/>
      <c r="DF584" s="85"/>
      <c r="DG584" s="85"/>
      <c r="DH584" s="85"/>
      <c r="DI584" s="85"/>
      <c r="DJ584" s="85"/>
      <c r="DK584" s="85"/>
      <c r="DL584" s="85"/>
      <c r="DM584" s="85"/>
      <c r="DN584" s="85"/>
      <c r="DO584" s="85"/>
      <c r="DP584" s="85"/>
    </row>
    <row r="585">
      <c r="A585" s="91"/>
      <c r="B585" s="91"/>
      <c r="C585" s="91"/>
      <c r="D585" s="91"/>
      <c r="E585" s="78"/>
      <c r="F585" s="15"/>
      <c r="G585" s="15"/>
      <c r="H585" s="91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92"/>
      <c r="BO585" s="92"/>
      <c r="BP585" s="92"/>
      <c r="BQ585" s="92"/>
      <c r="BR585" s="92"/>
      <c r="BS585" s="92"/>
      <c r="BT585" s="92"/>
      <c r="BU585" s="92"/>
      <c r="BV585" s="92"/>
      <c r="BW585" s="92"/>
      <c r="BX585" s="92"/>
      <c r="BY585" s="92"/>
      <c r="BZ585" s="92"/>
      <c r="CA585" s="92"/>
      <c r="CB585" s="92"/>
      <c r="CC585" s="92"/>
      <c r="CD585" s="92"/>
      <c r="CE585" s="92"/>
      <c r="CF585" s="92"/>
      <c r="CG585" s="92"/>
      <c r="CH585" s="92"/>
      <c r="CI585" s="92"/>
      <c r="CJ585" s="92"/>
      <c r="CK585" s="92"/>
      <c r="CL585" s="92"/>
      <c r="CM585" s="92"/>
      <c r="CN585" s="92"/>
      <c r="CO585" s="92"/>
      <c r="CP585" s="92"/>
      <c r="CQ585" s="92"/>
      <c r="CR585" s="92"/>
      <c r="CS585" s="92"/>
      <c r="CT585" s="92"/>
      <c r="CU585" s="92"/>
      <c r="CV585" s="92"/>
      <c r="CW585" s="92"/>
      <c r="CX585" s="85"/>
      <c r="CY585" s="85"/>
      <c r="CZ585" s="85"/>
      <c r="DA585" s="85"/>
      <c r="DB585" s="85"/>
      <c r="DC585" s="85"/>
      <c r="DD585" s="85"/>
      <c r="DE585" s="85"/>
      <c r="DF585" s="85"/>
      <c r="DG585" s="85"/>
      <c r="DH585" s="85"/>
      <c r="DI585" s="85"/>
      <c r="DJ585" s="85"/>
      <c r="DK585" s="85"/>
      <c r="DL585" s="85"/>
      <c r="DM585" s="85"/>
      <c r="DN585" s="85"/>
      <c r="DO585" s="85"/>
      <c r="DP585" s="85"/>
    </row>
    <row r="586">
      <c r="A586" s="91"/>
      <c r="B586" s="91"/>
      <c r="C586" s="91"/>
      <c r="D586" s="91"/>
      <c r="E586" s="78"/>
      <c r="F586" s="15"/>
      <c r="G586" s="15"/>
      <c r="H586" s="91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  <c r="BG586" s="15"/>
      <c r="BH586" s="15"/>
      <c r="BI586" s="15"/>
      <c r="BJ586" s="15"/>
      <c r="BK586" s="15"/>
      <c r="BL586" s="15"/>
      <c r="BM586" s="15"/>
      <c r="BN586" s="92"/>
      <c r="BO586" s="92"/>
      <c r="BP586" s="92"/>
      <c r="BQ586" s="92"/>
      <c r="BR586" s="92"/>
      <c r="BS586" s="92"/>
      <c r="BT586" s="92"/>
      <c r="BU586" s="92"/>
      <c r="BV586" s="92"/>
      <c r="BW586" s="92"/>
      <c r="BX586" s="92"/>
      <c r="BY586" s="92"/>
      <c r="BZ586" s="92"/>
      <c r="CA586" s="92"/>
      <c r="CB586" s="92"/>
      <c r="CC586" s="92"/>
      <c r="CD586" s="92"/>
      <c r="CE586" s="92"/>
      <c r="CF586" s="92"/>
      <c r="CG586" s="92"/>
      <c r="CH586" s="92"/>
      <c r="CI586" s="92"/>
      <c r="CJ586" s="92"/>
      <c r="CK586" s="92"/>
      <c r="CL586" s="92"/>
      <c r="CM586" s="92"/>
      <c r="CN586" s="92"/>
      <c r="CO586" s="92"/>
      <c r="CP586" s="92"/>
      <c r="CQ586" s="92"/>
      <c r="CR586" s="92"/>
      <c r="CS586" s="92"/>
      <c r="CT586" s="92"/>
      <c r="CU586" s="92"/>
      <c r="CV586" s="92"/>
      <c r="CW586" s="92"/>
      <c r="CX586" s="85"/>
      <c r="CY586" s="85"/>
      <c r="CZ586" s="85"/>
      <c r="DA586" s="85"/>
      <c r="DB586" s="85"/>
      <c r="DC586" s="85"/>
      <c r="DD586" s="85"/>
      <c r="DE586" s="85"/>
      <c r="DF586" s="85"/>
      <c r="DG586" s="85"/>
      <c r="DH586" s="85"/>
      <c r="DI586" s="85"/>
      <c r="DJ586" s="85"/>
      <c r="DK586" s="85"/>
      <c r="DL586" s="85"/>
      <c r="DM586" s="85"/>
      <c r="DN586" s="85"/>
      <c r="DO586" s="85"/>
      <c r="DP586" s="85"/>
    </row>
    <row r="587">
      <c r="A587" s="91"/>
      <c r="B587" s="91"/>
      <c r="C587" s="91"/>
      <c r="D587" s="91"/>
      <c r="E587" s="78"/>
      <c r="F587" s="15"/>
      <c r="G587" s="15"/>
      <c r="H587" s="91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92"/>
      <c r="BO587" s="92"/>
      <c r="BP587" s="92"/>
      <c r="BQ587" s="92"/>
      <c r="BR587" s="92"/>
      <c r="BS587" s="92"/>
      <c r="BT587" s="92"/>
      <c r="BU587" s="92"/>
      <c r="BV587" s="92"/>
      <c r="BW587" s="92"/>
      <c r="BX587" s="92"/>
      <c r="BY587" s="92"/>
      <c r="BZ587" s="92"/>
      <c r="CA587" s="92"/>
      <c r="CB587" s="92"/>
      <c r="CC587" s="92"/>
      <c r="CD587" s="92"/>
      <c r="CE587" s="92"/>
      <c r="CF587" s="92"/>
      <c r="CG587" s="92"/>
      <c r="CH587" s="92"/>
      <c r="CI587" s="92"/>
      <c r="CJ587" s="92"/>
      <c r="CK587" s="92"/>
      <c r="CL587" s="92"/>
      <c r="CM587" s="92"/>
      <c r="CN587" s="92"/>
      <c r="CO587" s="92"/>
      <c r="CP587" s="92"/>
      <c r="CQ587" s="92"/>
      <c r="CR587" s="92"/>
      <c r="CS587" s="92"/>
      <c r="CT587" s="92"/>
      <c r="CU587" s="92"/>
      <c r="CV587" s="92"/>
      <c r="CW587" s="92"/>
      <c r="CX587" s="85"/>
      <c r="CY587" s="85"/>
      <c r="CZ587" s="85"/>
      <c r="DA587" s="85"/>
      <c r="DB587" s="85"/>
      <c r="DC587" s="85"/>
      <c r="DD587" s="85"/>
      <c r="DE587" s="85"/>
      <c r="DF587" s="85"/>
      <c r="DG587" s="85"/>
      <c r="DH587" s="85"/>
      <c r="DI587" s="85"/>
      <c r="DJ587" s="85"/>
      <c r="DK587" s="85"/>
      <c r="DL587" s="85"/>
      <c r="DM587" s="85"/>
      <c r="DN587" s="85"/>
      <c r="DO587" s="85"/>
      <c r="DP587" s="85"/>
    </row>
    <row r="588">
      <c r="A588" s="91"/>
      <c r="B588" s="91"/>
      <c r="C588" s="91"/>
      <c r="D588" s="91"/>
      <c r="E588" s="78"/>
      <c r="F588" s="15"/>
      <c r="G588" s="15"/>
      <c r="H588" s="91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  <c r="BH588" s="15"/>
      <c r="BI588" s="15"/>
      <c r="BJ588" s="15"/>
      <c r="BK588" s="15"/>
      <c r="BL588" s="15"/>
      <c r="BM588" s="15"/>
      <c r="BN588" s="92"/>
      <c r="BO588" s="92"/>
      <c r="BP588" s="92"/>
      <c r="BQ588" s="92"/>
      <c r="BR588" s="92"/>
      <c r="BS588" s="92"/>
      <c r="BT588" s="92"/>
      <c r="BU588" s="92"/>
      <c r="BV588" s="92"/>
      <c r="BW588" s="92"/>
      <c r="BX588" s="92"/>
      <c r="BY588" s="92"/>
      <c r="BZ588" s="92"/>
      <c r="CA588" s="92"/>
      <c r="CB588" s="92"/>
      <c r="CC588" s="92"/>
      <c r="CD588" s="92"/>
      <c r="CE588" s="92"/>
      <c r="CF588" s="92"/>
      <c r="CG588" s="92"/>
      <c r="CH588" s="92"/>
      <c r="CI588" s="92"/>
      <c r="CJ588" s="92"/>
      <c r="CK588" s="92"/>
      <c r="CL588" s="92"/>
      <c r="CM588" s="92"/>
      <c r="CN588" s="92"/>
      <c r="CO588" s="92"/>
      <c r="CP588" s="92"/>
      <c r="CQ588" s="92"/>
      <c r="CR588" s="92"/>
      <c r="CS588" s="92"/>
      <c r="CT588" s="92"/>
      <c r="CU588" s="92"/>
      <c r="CV588" s="92"/>
      <c r="CW588" s="92"/>
      <c r="CX588" s="85"/>
      <c r="CY588" s="85"/>
      <c r="CZ588" s="85"/>
      <c r="DA588" s="85"/>
      <c r="DB588" s="85"/>
      <c r="DC588" s="85"/>
      <c r="DD588" s="85"/>
      <c r="DE588" s="85"/>
      <c r="DF588" s="85"/>
      <c r="DG588" s="85"/>
      <c r="DH588" s="85"/>
      <c r="DI588" s="85"/>
      <c r="DJ588" s="85"/>
      <c r="DK588" s="85"/>
      <c r="DL588" s="85"/>
      <c r="DM588" s="85"/>
      <c r="DN588" s="85"/>
      <c r="DO588" s="85"/>
      <c r="DP588" s="85"/>
    </row>
    <row r="589">
      <c r="A589" s="91"/>
      <c r="B589" s="91"/>
      <c r="C589" s="91"/>
      <c r="D589" s="91"/>
      <c r="E589" s="78"/>
      <c r="F589" s="15"/>
      <c r="G589" s="15"/>
      <c r="H589" s="91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92"/>
      <c r="BO589" s="92"/>
      <c r="BP589" s="92"/>
      <c r="BQ589" s="92"/>
      <c r="BR589" s="92"/>
      <c r="BS589" s="92"/>
      <c r="BT589" s="92"/>
      <c r="BU589" s="92"/>
      <c r="BV589" s="92"/>
      <c r="BW589" s="92"/>
      <c r="BX589" s="92"/>
      <c r="BY589" s="92"/>
      <c r="BZ589" s="92"/>
      <c r="CA589" s="92"/>
      <c r="CB589" s="92"/>
      <c r="CC589" s="92"/>
      <c r="CD589" s="92"/>
      <c r="CE589" s="92"/>
      <c r="CF589" s="92"/>
      <c r="CG589" s="92"/>
      <c r="CH589" s="92"/>
      <c r="CI589" s="92"/>
      <c r="CJ589" s="92"/>
      <c r="CK589" s="92"/>
      <c r="CL589" s="92"/>
      <c r="CM589" s="92"/>
      <c r="CN589" s="92"/>
      <c r="CO589" s="92"/>
      <c r="CP589" s="92"/>
      <c r="CQ589" s="92"/>
      <c r="CR589" s="92"/>
      <c r="CS589" s="92"/>
      <c r="CT589" s="92"/>
      <c r="CU589" s="92"/>
      <c r="CV589" s="92"/>
      <c r="CW589" s="92"/>
      <c r="CX589" s="85"/>
      <c r="CY589" s="85"/>
      <c r="CZ589" s="85"/>
      <c r="DA589" s="85"/>
      <c r="DB589" s="85"/>
      <c r="DC589" s="85"/>
      <c r="DD589" s="85"/>
      <c r="DE589" s="85"/>
      <c r="DF589" s="85"/>
      <c r="DG589" s="85"/>
      <c r="DH589" s="85"/>
      <c r="DI589" s="85"/>
      <c r="DJ589" s="85"/>
      <c r="DK589" s="85"/>
      <c r="DL589" s="85"/>
      <c r="DM589" s="85"/>
      <c r="DN589" s="85"/>
      <c r="DO589" s="85"/>
      <c r="DP589" s="85"/>
    </row>
    <row r="590">
      <c r="A590" s="91"/>
      <c r="B590" s="91"/>
      <c r="C590" s="91"/>
      <c r="D590" s="91"/>
      <c r="E590" s="78"/>
      <c r="F590" s="15"/>
      <c r="G590" s="15"/>
      <c r="H590" s="91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  <c r="BG590" s="15"/>
      <c r="BH590" s="15"/>
      <c r="BI590" s="15"/>
      <c r="BJ590" s="15"/>
      <c r="BK590" s="15"/>
      <c r="BL590" s="15"/>
      <c r="BM590" s="15"/>
      <c r="BN590" s="92"/>
      <c r="BO590" s="92"/>
      <c r="BP590" s="92"/>
      <c r="BQ590" s="92"/>
      <c r="BR590" s="92"/>
      <c r="BS590" s="92"/>
      <c r="BT590" s="92"/>
      <c r="BU590" s="92"/>
      <c r="BV590" s="92"/>
      <c r="BW590" s="92"/>
      <c r="BX590" s="92"/>
      <c r="BY590" s="92"/>
      <c r="BZ590" s="92"/>
      <c r="CA590" s="92"/>
      <c r="CB590" s="92"/>
      <c r="CC590" s="92"/>
      <c r="CD590" s="92"/>
      <c r="CE590" s="92"/>
      <c r="CF590" s="92"/>
      <c r="CG590" s="92"/>
      <c r="CH590" s="92"/>
      <c r="CI590" s="92"/>
      <c r="CJ590" s="92"/>
      <c r="CK590" s="92"/>
      <c r="CL590" s="92"/>
      <c r="CM590" s="92"/>
      <c r="CN590" s="92"/>
      <c r="CO590" s="92"/>
      <c r="CP590" s="92"/>
      <c r="CQ590" s="92"/>
      <c r="CR590" s="92"/>
      <c r="CS590" s="92"/>
      <c r="CT590" s="92"/>
      <c r="CU590" s="92"/>
      <c r="CV590" s="92"/>
      <c r="CW590" s="92"/>
      <c r="CX590" s="85"/>
      <c r="CY590" s="85"/>
      <c r="CZ590" s="85"/>
      <c r="DA590" s="85"/>
      <c r="DB590" s="85"/>
      <c r="DC590" s="85"/>
      <c r="DD590" s="85"/>
      <c r="DE590" s="85"/>
      <c r="DF590" s="85"/>
      <c r="DG590" s="85"/>
      <c r="DH590" s="85"/>
      <c r="DI590" s="85"/>
      <c r="DJ590" s="85"/>
      <c r="DK590" s="85"/>
      <c r="DL590" s="85"/>
      <c r="DM590" s="85"/>
      <c r="DN590" s="85"/>
      <c r="DO590" s="85"/>
      <c r="DP590" s="85"/>
    </row>
    <row r="591">
      <c r="A591" s="91"/>
      <c r="B591" s="91"/>
      <c r="C591" s="91"/>
      <c r="D591" s="91"/>
      <c r="E591" s="78"/>
      <c r="F591" s="15"/>
      <c r="G591" s="15"/>
      <c r="H591" s="91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92"/>
      <c r="BO591" s="92"/>
      <c r="BP591" s="92"/>
      <c r="BQ591" s="92"/>
      <c r="BR591" s="92"/>
      <c r="BS591" s="92"/>
      <c r="BT591" s="92"/>
      <c r="BU591" s="92"/>
      <c r="BV591" s="92"/>
      <c r="BW591" s="92"/>
      <c r="BX591" s="92"/>
      <c r="BY591" s="92"/>
      <c r="BZ591" s="92"/>
      <c r="CA591" s="92"/>
      <c r="CB591" s="92"/>
      <c r="CC591" s="92"/>
      <c r="CD591" s="92"/>
      <c r="CE591" s="92"/>
      <c r="CF591" s="92"/>
      <c r="CG591" s="92"/>
      <c r="CH591" s="92"/>
      <c r="CI591" s="92"/>
      <c r="CJ591" s="92"/>
      <c r="CK591" s="92"/>
      <c r="CL591" s="92"/>
      <c r="CM591" s="92"/>
      <c r="CN591" s="92"/>
      <c r="CO591" s="92"/>
      <c r="CP591" s="92"/>
      <c r="CQ591" s="92"/>
      <c r="CR591" s="92"/>
      <c r="CS591" s="92"/>
      <c r="CT591" s="92"/>
      <c r="CU591" s="92"/>
      <c r="CV591" s="92"/>
      <c r="CW591" s="92"/>
      <c r="CX591" s="85"/>
      <c r="CY591" s="85"/>
      <c r="CZ591" s="85"/>
      <c r="DA591" s="85"/>
      <c r="DB591" s="85"/>
      <c r="DC591" s="85"/>
      <c r="DD591" s="85"/>
      <c r="DE591" s="85"/>
      <c r="DF591" s="85"/>
      <c r="DG591" s="85"/>
      <c r="DH591" s="85"/>
      <c r="DI591" s="85"/>
      <c r="DJ591" s="85"/>
      <c r="DK591" s="85"/>
      <c r="DL591" s="85"/>
      <c r="DM591" s="85"/>
      <c r="DN591" s="85"/>
      <c r="DO591" s="85"/>
      <c r="DP591" s="85"/>
    </row>
    <row r="592">
      <c r="A592" s="91"/>
      <c r="B592" s="91"/>
      <c r="C592" s="91"/>
      <c r="D592" s="91"/>
      <c r="E592" s="78"/>
      <c r="F592" s="15"/>
      <c r="G592" s="15"/>
      <c r="H592" s="91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  <c r="BG592" s="15"/>
      <c r="BH592" s="15"/>
      <c r="BI592" s="15"/>
      <c r="BJ592" s="15"/>
      <c r="BK592" s="15"/>
      <c r="BL592" s="15"/>
      <c r="BM592" s="15"/>
      <c r="BN592" s="92"/>
      <c r="BO592" s="92"/>
      <c r="BP592" s="92"/>
      <c r="BQ592" s="92"/>
      <c r="BR592" s="92"/>
      <c r="BS592" s="92"/>
      <c r="BT592" s="92"/>
      <c r="BU592" s="92"/>
      <c r="BV592" s="92"/>
      <c r="BW592" s="92"/>
      <c r="BX592" s="92"/>
      <c r="BY592" s="92"/>
      <c r="BZ592" s="92"/>
      <c r="CA592" s="92"/>
      <c r="CB592" s="92"/>
      <c r="CC592" s="92"/>
      <c r="CD592" s="92"/>
      <c r="CE592" s="92"/>
      <c r="CF592" s="92"/>
      <c r="CG592" s="92"/>
      <c r="CH592" s="92"/>
      <c r="CI592" s="92"/>
      <c r="CJ592" s="92"/>
      <c r="CK592" s="92"/>
      <c r="CL592" s="92"/>
      <c r="CM592" s="92"/>
      <c r="CN592" s="92"/>
      <c r="CO592" s="92"/>
      <c r="CP592" s="92"/>
      <c r="CQ592" s="92"/>
      <c r="CR592" s="92"/>
      <c r="CS592" s="92"/>
      <c r="CT592" s="92"/>
      <c r="CU592" s="92"/>
      <c r="CV592" s="92"/>
      <c r="CW592" s="92"/>
      <c r="CX592" s="85"/>
      <c r="CY592" s="85"/>
      <c r="CZ592" s="85"/>
      <c r="DA592" s="85"/>
      <c r="DB592" s="85"/>
      <c r="DC592" s="85"/>
      <c r="DD592" s="85"/>
      <c r="DE592" s="85"/>
      <c r="DF592" s="85"/>
      <c r="DG592" s="85"/>
      <c r="DH592" s="85"/>
      <c r="DI592" s="85"/>
      <c r="DJ592" s="85"/>
      <c r="DK592" s="85"/>
      <c r="DL592" s="85"/>
      <c r="DM592" s="85"/>
      <c r="DN592" s="85"/>
      <c r="DO592" s="85"/>
      <c r="DP592" s="85"/>
    </row>
    <row r="593">
      <c r="A593" s="91"/>
      <c r="B593" s="91"/>
      <c r="C593" s="91"/>
      <c r="D593" s="91"/>
      <c r="E593" s="78"/>
      <c r="F593" s="15"/>
      <c r="G593" s="15"/>
      <c r="H593" s="91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92"/>
      <c r="BO593" s="92"/>
      <c r="BP593" s="92"/>
      <c r="BQ593" s="92"/>
      <c r="BR593" s="92"/>
      <c r="BS593" s="92"/>
      <c r="BT593" s="92"/>
      <c r="BU593" s="92"/>
      <c r="BV593" s="92"/>
      <c r="BW593" s="92"/>
      <c r="BX593" s="92"/>
      <c r="BY593" s="92"/>
      <c r="BZ593" s="92"/>
      <c r="CA593" s="92"/>
      <c r="CB593" s="92"/>
      <c r="CC593" s="92"/>
      <c r="CD593" s="92"/>
      <c r="CE593" s="92"/>
      <c r="CF593" s="92"/>
      <c r="CG593" s="92"/>
      <c r="CH593" s="92"/>
      <c r="CI593" s="92"/>
      <c r="CJ593" s="92"/>
      <c r="CK593" s="92"/>
      <c r="CL593" s="92"/>
      <c r="CM593" s="92"/>
      <c r="CN593" s="92"/>
      <c r="CO593" s="92"/>
      <c r="CP593" s="92"/>
      <c r="CQ593" s="92"/>
      <c r="CR593" s="92"/>
      <c r="CS593" s="92"/>
      <c r="CT593" s="92"/>
      <c r="CU593" s="92"/>
      <c r="CV593" s="92"/>
      <c r="CW593" s="92"/>
      <c r="CX593" s="85"/>
      <c r="CY593" s="85"/>
      <c r="CZ593" s="85"/>
      <c r="DA593" s="85"/>
      <c r="DB593" s="85"/>
      <c r="DC593" s="85"/>
      <c r="DD593" s="85"/>
      <c r="DE593" s="85"/>
      <c r="DF593" s="85"/>
      <c r="DG593" s="85"/>
      <c r="DH593" s="85"/>
      <c r="DI593" s="85"/>
      <c r="DJ593" s="85"/>
      <c r="DK593" s="85"/>
      <c r="DL593" s="85"/>
      <c r="DM593" s="85"/>
      <c r="DN593" s="85"/>
      <c r="DO593" s="85"/>
      <c r="DP593" s="85"/>
    </row>
    <row r="594">
      <c r="A594" s="91"/>
      <c r="B594" s="91"/>
      <c r="C594" s="91"/>
      <c r="D594" s="91"/>
      <c r="E594" s="78"/>
      <c r="F594" s="15"/>
      <c r="G594" s="15"/>
      <c r="H594" s="91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  <c r="BG594" s="15"/>
      <c r="BH594" s="15"/>
      <c r="BI594" s="15"/>
      <c r="BJ594" s="15"/>
      <c r="BK594" s="15"/>
      <c r="BL594" s="15"/>
      <c r="BM594" s="15"/>
      <c r="BN594" s="92"/>
      <c r="BO594" s="92"/>
      <c r="BP594" s="92"/>
      <c r="BQ594" s="92"/>
      <c r="BR594" s="92"/>
      <c r="BS594" s="92"/>
      <c r="BT594" s="92"/>
      <c r="BU594" s="92"/>
      <c r="BV594" s="92"/>
      <c r="BW594" s="92"/>
      <c r="BX594" s="92"/>
      <c r="BY594" s="92"/>
      <c r="BZ594" s="92"/>
      <c r="CA594" s="92"/>
      <c r="CB594" s="92"/>
      <c r="CC594" s="92"/>
      <c r="CD594" s="92"/>
      <c r="CE594" s="92"/>
      <c r="CF594" s="92"/>
      <c r="CG594" s="92"/>
      <c r="CH594" s="92"/>
      <c r="CI594" s="92"/>
      <c r="CJ594" s="92"/>
      <c r="CK594" s="92"/>
      <c r="CL594" s="92"/>
      <c r="CM594" s="92"/>
      <c r="CN594" s="92"/>
      <c r="CO594" s="92"/>
      <c r="CP594" s="92"/>
      <c r="CQ594" s="92"/>
      <c r="CR594" s="92"/>
      <c r="CS594" s="92"/>
      <c r="CT594" s="92"/>
      <c r="CU594" s="92"/>
      <c r="CV594" s="92"/>
      <c r="CW594" s="92"/>
      <c r="CX594" s="85"/>
      <c r="CY594" s="85"/>
      <c r="CZ594" s="85"/>
      <c r="DA594" s="85"/>
      <c r="DB594" s="85"/>
      <c r="DC594" s="85"/>
      <c r="DD594" s="85"/>
      <c r="DE594" s="85"/>
      <c r="DF594" s="85"/>
      <c r="DG594" s="85"/>
      <c r="DH594" s="85"/>
      <c r="DI594" s="85"/>
      <c r="DJ594" s="85"/>
      <c r="DK594" s="85"/>
      <c r="DL594" s="85"/>
      <c r="DM594" s="85"/>
      <c r="DN594" s="85"/>
      <c r="DO594" s="85"/>
      <c r="DP594" s="85"/>
    </row>
    <row r="595">
      <c r="A595" s="91"/>
      <c r="B595" s="91"/>
      <c r="C595" s="91"/>
      <c r="D595" s="91"/>
      <c r="E595" s="78"/>
      <c r="F595" s="15"/>
      <c r="G595" s="15"/>
      <c r="H595" s="91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92"/>
      <c r="BO595" s="92"/>
      <c r="BP595" s="92"/>
      <c r="BQ595" s="92"/>
      <c r="BR595" s="92"/>
      <c r="BS595" s="92"/>
      <c r="BT595" s="92"/>
      <c r="BU595" s="92"/>
      <c r="BV595" s="92"/>
      <c r="BW595" s="92"/>
      <c r="BX595" s="92"/>
      <c r="BY595" s="92"/>
      <c r="BZ595" s="92"/>
      <c r="CA595" s="92"/>
      <c r="CB595" s="92"/>
      <c r="CC595" s="92"/>
      <c r="CD595" s="92"/>
      <c r="CE595" s="92"/>
      <c r="CF595" s="92"/>
      <c r="CG595" s="92"/>
      <c r="CH595" s="92"/>
      <c r="CI595" s="92"/>
      <c r="CJ595" s="92"/>
      <c r="CK595" s="92"/>
      <c r="CL595" s="92"/>
      <c r="CM595" s="92"/>
      <c r="CN595" s="92"/>
      <c r="CO595" s="92"/>
      <c r="CP595" s="92"/>
      <c r="CQ595" s="92"/>
      <c r="CR595" s="92"/>
      <c r="CS595" s="92"/>
      <c r="CT595" s="92"/>
      <c r="CU595" s="92"/>
      <c r="CV595" s="92"/>
      <c r="CW595" s="92"/>
      <c r="CX595" s="85"/>
      <c r="CY595" s="85"/>
      <c r="CZ595" s="85"/>
      <c r="DA595" s="85"/>
      <c r="DB595" s="85"/>
      <c r="DC595" s="85"/>
      <c r="DD595" s="85"/>
      <c r="DE595" s="85"/>
      <c r="DF595" s="85"/>
      <c r="DG595" s="85"/>
      <c r="DH595" s="85"/>
      <c r="DI595" s="85"/>
      <c r="DJ595" s="85"/>
      <c r="DK595" s="85"/>
      <c r="DL595" s="85"/>
      <c r="DM595" s="85"/>
      <c r="DN595" s="85"/>
      <c r="DO595" s="85"/>
      <c r="DP595" s="85"/>
    </row>
    <row r="596">
      <c r="A596" s="91"/>
      <c r="B596" s="91"/>
      <c r="C596" s="91"/>
      <c r="D596" s="91"/>
      <c r="E596" s="78"/>
      <c r="F596" s="15"/>
      <c r="G596" s="15"/>
      <c r="H596" s="91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  <c r="BG596" s="15"/>
      <c r="BH596" s="15"/>
      <c r="BI596" s="15"/>
      <c r="BJ596" s="15"/>
      <c r="BK596" s="15"/>
      <c r="BL596" s="15"/>
      <c r="BM596" s="15"/>
      <c r="BN596" s="92"/>
      <c r="BO596" s="92"/>
      <c r="BP596" s="92"/>
      <c r="BQ596" s="92"/>
      <c r="BR596" s="92"/>
      <c r="BS596" s="92"/>
      <c r="BT596" s="92"/>
      <c r="BU596" s="92"/>
      <c r="BV596" s="92"/>
      <c r="BW596" s="92"/>
      <c r="BX596" s="92"/>
      <c r="BY596" s="92"/>
      <c r="BZ596" s="92"/>
      <c r="CA596" s="92"/>
      <c r="CB596" s="92"/>
      <c r="CC596" s="92"/>
      <c r="CD596" s="92"/>
      <c r="CE596" s="92"/>
      <c r="CF596" s="92"/>
      <c r="CG596" s="92"/>
      <c r="CH596" s="92"/>
      <c r="CI596" s="92"/>
      <c r="CJ596" s="92"/>
      <c r="CK596" s="92"/>
      <c r="CL596" s="92"/>
      <c r="CM596" s="92"/>
      <c r="CN596" s="92"/>
      <c r="CO596" s="92"/>
      <c r="CP596" s="92"/>
      <c r="CQ596" s="92"/>
      <c r="CR596" s="92"/>
      <c r="CS596" s="92"/>
      <c r="CT596" s="92"/>
      <c r="CU596" s="92"/>
      <c r="CV596" s="92"/>
      <c r="CW596" s="92"/>
      <c r="CX596" s="85"/>
      <c r="CY596" s="85"/>
      <c r="CZ596" s="85"/>
      <c r="DA596" s="85"/>
      <c r="DB596" s="85"/>
      <c r="DC596" s="85"/>
      <c r="DD596" s="85"/>
      <c r="DE596" s="85"/>
      <c r="DF596" s="85"/>
      <c r="DG596" s="85"/>
      <c r="DH596" s="85"/>
      <c r="DI596" s="85"/>
      <c r="DJ596" s="85"/>
      <c r="DK596" s="85"/>
      <c r="DL596" s="85"/>
      <c r="DM596" s="85"/>
      <c r="DN596" s="85"/>
      <c r="DO596" s="85"/>
      <c r="DP596" s="85"/>
    </row>
    <row r="597">
      <c r="A597" s="91"/>
      <c r="B597" s="91"/>
      <c r="C597" s="91"/>
      <c r="D597" s="91"/>
      <c r="E597" s="78"/>
      <c r="F597" s="15"/>
      <c r="G597" s="15"/>
      <c r="H597" s="91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92"/>
      <c r="BO597" s="92"/>
      <c r="BP597" s="92"/>
      <c r="BQ597" s="92"/>
      <c r="BR597" s="92"/>
      <c r="BS597" s="92"/>
      <c r="BT597" s="92"/>
      <c r="BU597" s="92"/>
      <c r="BV597" s="92"/>
      <c r="BW597" s="92"/>
      <c r="BX597" s="92"/>
      <c r="BY597" s="92"/>
      <c r="BZ597" s="92"/>
      <c r="CA597" s="92"/>
      <c r="CB597" s="92"/>
      <c r="CC597" s="92"/>
      <c r="CD597" s="92"/>
      <c r="CE597" s="92"/>
      <c r="CF597" s="92"/>
      <c r="CG597" s="92"/>
      <c r="CH597" s="92"/>
      <c r="CI597" s="92"/>
      <c r="CJ597" s="92"/>
      <c r="CK597" s="92"/>
      <c r="CL597" s="92"/>
      <c r="CM597" s="92"/>
      <c r="CN597" s="92"/>
      <c r="CO597" s="92"/>
      <c r="CP597" s="92"/>
      <c r="CQ597" s="92"/>
      <c r="CR597" s="92"/>
      <c r="CS597" s="92"/>
      <c r="CT597" s="92"/>
      <c r="CU597" s="92"/>
      <c r="CV597" s="92"/>
      <c r="CW597" s="92"/>
      <c r="CX597" s="85"/>
      <c r="CY597" s="85"/>
      <c r="CZ597" s="85"/>
      <c r="DA597" s="85"/>
      <c r="DB597" s="85"/>
      <c r="DC597" s="85"/>
      <c r="DD597" s="85"/>
      <c r="DE597" s="85"/>
      <c r="DF597" s="85"/>
      <c r="DG597" s="85"/>
      <c r="DH597" s="85"/>
      <c r="DI597" s="85"/>
      <c r="DJ597" s="85"/>
      <c r="DK597" s="85"/>
      <c r="DL597" s="85"/>
      <c r="DM597" s="85"/>
      <c r="DN597" s="85"/>
      <c r="DO597" s="85"/>
      <c r="DP597" s="85"/>
    </row>
    <row r="598">
      <c r="A598" s="91"/>
      <c r="B598" s="91"/>
      <c r="C598" s="91"/>
      <c r="D598" s="91"/>
      <c r="E598" s="78"/>
      <c r="F598" s="15"/>
      <c r="G598" s="15"/>
      <c r="H598" s="91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  <c r="BG598" s="15"/>
      <c r="BH598" s="15"/>
      <c r="BI598" s="15"/>
      <c r="BJ598" s="15"/>
      <c r="BK598" s="15"/>
      <c r="BL598" s="15"/>
      <c r="BM598" s="15"/>
      <c r="BN598" s="92"/>
      <c r="BO598" s="92"/>
      <c r="BP598" s="92"/>
      <c r="BQ598" s="92"/>
      <c r="BR598" s="92"/>
      <c r="BS598" s="92"/>
      <c r="BT598" s="92"/>
      <c r="BU598" s="92"/>
      <c r="BV598" s="92"/>
      <c r="BW598" s="92"/>
      <c r="BX598" s="92"/>
      <c r="BY598" s="92"/>
      <c r="BZ598" s="92"/>
      <c r="CA598" s="92"/>
      <c r="CB598" s="92"/>
      <c r="CC598" s="92"/>
      <c r="CD598" s="92"/>
      <c r="CE598" s="92"/>
      <c r="CF598" s="92"/>
      <c r="CG598" s="92"/>
      <c r="CH598" s="92"/>
      <c r="CI598" s="92"/>
      <c r="CJ598" s="92"/>
      <c r="CK598" s="92"/>
      <c r="CL598" s="92"/>
      <c r="CM598" s="92"/>
      <c r="CN598" s="92"/>
      <c r="CO598" s="92"/>
      <c r="CP598" s="92"/>
      <c r="CQ598" s="92"/>
      <c r="CR598" s="92"/>
      <c r="CS598" s="92"/>
      <c r="CT598" s="92"/>
      <c r="CU598" s="92"/>
      <c r="CV598" s="92"/>
      <c r="CW598" s="92"/>
      <c r="CX598" s="85"/>
      <c r="CY598" s="85"/>
      <c r="CZ598" s="85"/>
      <c r="DA598" s="85"/>
      <c r="DB598" s="85"/>
      <c r="DC598" s="85"/>
      <c r="DD598" s="85"/>
      <c r="DE598" s="85"/>
      <c r="DF598" s="85"/>
      <c r="DG598" s="85"/>
      <c r="DH598" s="85"/>
      <c r="DI598" s="85"/>
      <c r="DJ598" s="85"/>
      <c r="DK598" s="85"/>
      <c r="DL598" s="85"/>
      <c r="DM598" s="85"/>
      <c r="DN598" s="85"/>
      <c r="DO598" s="85"/>
      <c r="DP598" s="85"/>
    </row>
    <row r="599">
      <c r="A599" s="91"/>
      <c r="B599" s="91"/>
      <c r="C599" s="91"/>
      <c r="D599" s="91"/>
      <c r="E599" s="78"/>
      <c r="F599" s="15"/>
      <c r="G599" s="15"/>
      <c r="H599" s="91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92"/>
      <c r="BO599" s="92"/>
      <c r="BP599" s="92"/>
      <c r="BQ599" s="92"/>
      <c r="BR599" s="92"/>
      <c r="BS599" s="92"/>
      <c r="BT599" s="92"/>
      <c r="BU599" s="92"/>
      <c r="BV599" s="92"/>
      <c r="BW599" s="92"/>
      <c r="BX599" s="92"/>
      <c r="BY599" s="92"/>
      <c r="BZ599" s="92"/>
      <c r="CA599" s="92"/>
      <c r="CB599" s="92"/>
      <c r="CC599" s="92"/>
      <c r="CD599" s="92"/>
      <c r="CE599" s="92"/>
      <c r="CF599" s="92"/>
      <c r="CG599" s="92"/>
      <c r="CH599" s="92"/>
      <c r="CI599" s="92"/>
      <c r="CJ599" s="92"/>
      <c r="CK599" s="92"/>
      <c r="CL599" s="92"/>
      <c r="CM599" s="92"/>
      <c r="CN599" s="92"/>
      <c r="CO599" s="92"/>
      <c r="CP599" s="92"/>
      <c r="CQ599" s="92"/>
      <c r="CR599" s="92"/>
      <c r="CS599" s="92"/>
      <c r="CT599" s="92"/>
      <c r="CU599" s="92"/>
      <c r="CV599" s="92"/>
      <c r="CW599" s="92"/>
      <c r="CX599" s="85"/>
      <c r="CY599" s="85"/>
      <c r="CZ599" s="85"/>
      <c r="DA599" s="85"/>
      <c r="DB599" s="85"/>
      <c r="DC599" s="85"/>
      <c r="DD599" s="85"/>
      <c r="DE599" s="85"/>
      <c r="DF599" s="85"/>
      <c r="DG599" s="85"/>
      <c r="DH599" s="85"/>
      <c r="DI599" s="85"/>
      <c r="DJ599" s="85"/>
      <c r="DK599" s="85"/>
      <c r="DL599" s="85"/>
      <c r="DM599" s="85"/>
      <c r="DN599" s="85"/>
      <c r="DO599" s="85"/>
      <c r="DP599" s="85"/>
    </row>
    <row r="600">
      <c r="A600" s="91"/>
      <c r="B600" s="91"/>
      <c r="C600" s="91"/>
      <c r="D600" s="91"/>
      <c r="E600" s="78"/>
      <c r="F600" s="15"/>
      <c r="G600" s="15"/>
      <c r="H600" s="91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5"/>
      <c r="BF600" s="15"/>
      <c r="BG600" s="15"/>
      <c r="BH600" s="15"/>
      <c r="BI600" s="15"/>
      <c r="BJ600" s="15"/>
      <c r="BK600" s="15"/>
      <c r="BL600" s="15"/>
      <c r="BM600" s="15"/>
      <c r="BN600" s="92"/>
      <c r="BO600" s="92"/>
      <c r="BP600" s="92"/>
      <c r="BQ600" s="92"/>
      <c r="BR600" s="92"/>
      <c r="BS600" s="92"/>
      <c r="BT600" s="92"/>
      <c r="BU600" s="92"/>
      <c r="BV600" s="92"/>
      <c r="BW600" s="92"/>
      <c r="BX600" s="92"/>
      <c r="BY600" s="92"/>
      <c r="BZ600" s="92"/>
      <c r="CA600" s="92"/>
      <c r="CB600" s="92"/>
      <c r="CC600" s="92"/>
      <c r="CD600" s="92"/>
      <c r="CE600" s="92"/>
      <c r="CF600" s="92"/>
      <c r="CG600" s="92"/>
      <c r="CH600" s="92"/>
      <c r="CI600" s="92"/>
      <c r="CJ600" s="92"/>
      <c r="CK600" s="92"/>
      <c r="CL600" s="92"/>
      <c r="CM600" s="92"/>
      <c r="CN600" s="92"/>
      <c r="CO600" s="92"/>
      <c r="CP600" s="92"/>
      <c r="CQ600" s="92"/>
      <c r="CR600" s="92"/>
      <c r="CS600" s="92"/>
      <c r="CT600" s="92"/>
      <c r="CU600" s="92"/>
      <c r="CV600" s="92"/>
      <c r="CW600" s="92"/>
      <c r="CX600" s="85"/>
      <c r="CY600" s="85"/>
      <c r="CZ600" s="85"/>
      <c r="DA600" s="85"/>
      <c r="DB600" s="85"/>
      <c r="DC600" s="85"/>
      <c r="DD600" s="85"/>
      <c r="DE600" s="85"/>
      <c r="DF600" s="85"/>
      <c r="DG600" s="85"/>
      <c r="DH600" s="85"/>
      <c r="DI600" s="85"/>
      <c r="DJ600" s="85"/>
      <c r="DK600" s="85"/>
      <c r="DL600" s="85"/>
      <c r="DM600" s="85"/>
      <c r="DN600" s="85"/>
      <c r="DO600" s="85"/>
      <c r="DP600" s="85"/>
    </row>
    <row r="601">
      <c r="A601" s="91"/>
      <c r="B601" s="91"/>
      <c r="C601" s="91"/>
      <c r="D601" s="91"/>
      <c r="E601" s="78"/>
      <c r="F601" s="15"/>
      <c r="G601" s="15"/>
      <c r="H601" s="91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92"/>
      <c r="BO601" s="92"/>
      <c r="BP601" s="92"/>
      <c r="BQ601" s="92"/>
      <c r="BR601" s="92"/>
      <c r="BS601" s="92"/>
      <c r="BT601" s="92"/>
      <c r="BU601" s="92"/>
      <c r="BV601" s="92"/>
      <c r="BW601" s="92"/>
      <c r="BX601" s="92"/>
      <c r="BY601" s="92"/>
      <c r="BZ601" s="92"/>
      <c r="CA601" s="92"/>
      <c r="CB601" s="92"/>
      <c r="CC601" s="92"/>
      <c r="CD601" s="92"/>
      <c r="CE601" s="92"/>
      <c r="CF601" s="92"/>
      <c r="CG601" s="92"/>
      <c r="CH601" s="92"/>
      <c r="CI601" s="92"/>
      <c r="CJ601" s="92"/>
      <c r="CK601" s="92"/>
      <c r="CL601" s="92"/>
      <c r="CM601" s="92"/>
      <c r="CN601" s="92"/>
      <c r="CO601" s="92"/>
      <c r="CP601" s="92"/>
      <c r="CQ601" s="92"/>
      <c r="CR601" s="92"/>
      <c r="CS601" s="92"/>
      <c r="CT601" s="92"/>
      <c r="CU601" s="92"/>
      <c r="CV601" s="92"/>
      <c r="CW601" s="92"/>
      <c r="CX601" s="85"/>
      <c r="CY601" s="85"/>
      <c r="CZ601" s="85"/>
      <c r="DA601" s="85"/>
      <c r="DB601" s="85"/>
      <c r="DC601" s="85"/>
      <c r="DD601" s="85"/>
      <c r="DE601" s="85"/>
      <c r="DF601" s="85"/>
      <c r="DG601" s="85"/>
      <c r="DH601" s="85"/>
      <c r="DI601" s="85"/>
      <c r="DJ601" s="85"/>
      <c r="DK601" s="85"/>
      <c r="DL601" s="85"/>
      <c r="DM601" s="85"/>
      <c r="DN601" s="85"/>
      <c r="DO601" s="85"/>
      <c r="DP601" s="85"/>
    </row>
    <row r="602">
      <c r="A602" s="91"/>
      <c r="B602" s="91"/>
      <c r="C602" s="91"/>
      <c r="D602" s="91"/>
      <c r="E602" s="78"/>
      <c r="F602" s="15"/>
      <c r="G602" s="15"/>
      <c r="H602" s="91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  <c r="BE602" s="15"/>
      <c r="BF602" s="15"/>
      <c r="BG602" s="15"/>
      <c r="BH602" s="15"/>
      <c r="BI602" s="15"/>
      <c r="BJ602" s="15"/>
      <c r="BK602" s="15"/>
      <c r="BL602" s="15"/>
      <c r="BM602" s="15"/>
      <c r="BN602" s="92"/>
      <c r="BO602" s="92"/>
      <c r="BP602" s="92"/>
      <c r="BQ602" s="92"/>
      <c r="BR602" s="92"/>
      <c r="BS602" s="92"/>
      <c r="BT602" s="92"/>
      <c r="BU602" s="92"/>
      <c r="BV602" s="92"/>
      <c r="BW602" s="92"/>
      <c r="BX602" s="92"/>
      <c r="BY602" s="92"/>
      <c r="BZ602" s="92"/>
      <c r="CA602" s="92"/>
      <c r="CB602" s="92"/>
      <c r="CC602" s="92"/>
      <c r="CD602" s="92"/>
      <c r="CE602" s="92"/>
      <c r="CF602" s="92"/>
      <c r="CG602" s="92"/>
      <c r="CH602" s="92"/>
      <c r="CI602" s="92"/>
      <c r="CJ602" s="92"/>
      <c r="CK602" s="92"/>
      <c r="CL602" s="92"/>
      <c r="CM602" s="92"/>
      <c r="CN602" s="92"/>
      <c r="CO602" s="92"/>
      <c r="CP602" s="92"/>
      <c r="CQ602" s="92"/>
      <c r="CR602" s="92"/>
      <c r="CS602" s="92"/>
      <c r="CT602" s="92"/>
      <c r="CU602" s="92"/>
      <c r="CV602" s="92"/>
      <c r="CW602" s="92"/>
      <c r="CX602" s="85"/>
      <c r="CY602" s="85"/>
      <c r="CZ602" s="85"/>
      <c r="DA602" s="85"/>
      <c r="DB602" s="85"/>
      <c r="DC602" s="85"/>
      <c r="DD602" s="85"/>
      <c r="DE602" s="85"/>
      <c r="DF602" s="85"/>
      <c r="DG602" s="85"/>
      <c r="DH602" s="85"/>
      <c r="DI602" s="85"/>
      <c r="DJ602" s="85"/>
      <c r="DK602" s="85"/>
      <c r="DL602" s="85"/>
      <c r="DM602" s="85"/>
      <c r="DN602" s="85"/>
      <c r="DO602" s="85"/>
      <c r="DP602" s="85"/>
    </row>
    <row r="603">
      <c r="A603" s="91"/>
      <c r="B603" s="91"/>
      <c r="C603" s="91"/>
      <c r="D603" s="91"/>
      <c r="E603" s="78"/>
      <c r="F603" s="15"/>
      <c r="G603" s="15"/>
      <c r="H603" s="91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92"/>
      <c r="BO603" s="92"/>
      <c r="BP603" s="92"/>
      <c r="BQ603" s="92"/>
      <c r="BR603" s="92"/>
      <c r="BS603" s="92"/>
      <c r="BT603" s="92"/>
      <c r="BU603" s="92"/>
      <c r="BV603" s="92"/>
      <c r="BW603" s="92"/>
      <c r="BX603" s="92"/>
      <c r="BY603" s="92"/>
      <c r="BZ603" s="92"/>
      <c r="CA603" s="92"/>
      <c r="CB603" s="92"/>
      <c r="CC603" s="92"/>
      <c r="CD603" s="92"/>
      <c r="CE603" s="92"/>
      <c r="CF603" s="92"/>
      <c r="CG603" s="92"/>
      <c r="CH603" s="92"/>
      <c r="CI603" s="92"/>
      <c r="CJ603" s="92"/>
      <c r="CK603" s="92"/>
      <c r="CL603" s="92"/>
      <c r="CM603" s="92"/>
      <c r="CN603" s="92"/>
      <c r="CO603" s="92"/>
      <c r="CP603" s="92"/>
      <c r="CQ603" s="92"/>
      <c r="CR603" s="92"/>
      <c r="CS603" s="92"/>
      <c r="CT603" s="92"/>
      <c r="CU603" s="92"/>
      <c r="CV603" s="92"/>
      <c r="CW603" s="92"/>
      <c r="CX603" s="85"/>
      <c r="CY603" s="85"/>
      <c r="CZ603" s="85"/>
      <c r="DA603" s="85"/>
      <c r="DB603" s="85"/>
      <c r="DC603" s="85"/>
      <c r="DD603" s="85"/>
      <c r="DE603" s="85"/>
      <c r="DF603" s="85"/>
      <c r="DG603" s="85"/>
      <c r="DH603" s="85"/>
      <c r="DI603" s="85"/>
      <c r="DJ603" s="85"/>
      <c r="DK603" s="85"/>
      <c r="DL603" s="85"/>
      <c r="DM603" s="85"/>
      <c r="DN603" s="85"/>
      <c r="DO603" s="85"/>
      <c r="DP603" s="85"/>
    </row>
    <row r="604">
      <c r="A604" s="91"/>
      <c r="B604" s="91"/>
      <c r="C604" s="91"/>
      <c r="D604" s="91"/>
      <c r="E604" s="78"/>
      <c r="F604" s="15"/>
      <c r="G604" s="15"/>
      <c r="H604" s="91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  <c r="BE604" s="15"/>
      <c r="BF604" s="15"/>
      <c r="BG604" s="15"/>
      <c r="BH604" s="15"/>
      <c r="BI604" s="15"/>
      <c r="BJ604" s="15"/>
      <c r="BK604" s="15"/>
      <c r="BL604" s="15"/>
      <c r="BM604" s="15"/>
      <c r="BN604" s="92"/>
      <c r="BO604" s="92"/>
      <c r="BP604" s="92"/>
      <c r="BQ604" s="92"/>
      <c r="BR604" s="92"/>
      <c r="BS604" s="92"/>
      <c r="BT604" s="92"/>
      <c r="BU604" s="92"/>
      <c r="BV604" s="92"/>
      <c r="BW604" s="92"/>
      <c r="BX604" s="92"/>
      <c r="BY604" s="92"/>
      <c r="BZ604" s="92"/>
      <c r="CA604" s="92"/>
      <c r="CB604" s="92"/>
      <c r="CC604" s="92"/>
      <c r="CD604" s="92"/>
      <c r="CE604" s="92"/>
      <c r="CF604" s="92"/>
      <c r="CG604" s="92"/>
      <c r="CH604" s="92"/>
      <c r="CI604" s="92"/>
      <c r="CJ604" s="92"/>
      <c r="CK604" s="92"/>
      <c r="CL604" s="92"/>
      <c r="CM604" s="92"/>
      <c r="CN604" s="92"/>
      <c r="CO604" s="92"/>
      <c r="CP604" s="92"/>
      <c r="CQ604" s="92"/>
      <c r="CR604" s="92"/>
      <c r="CS604" s="92"/>
      <c r="CT604" s="92"/>
      <c r="CU604" s="92"/>
      <c r="CV604" s="92"/>
      <c r="CW604" s="92"/>
      <c r="CX604" s="85"/>
      <c r="CY604" s="85"/>
      <c r="CZ604" s="85"/>
      <c r="DA604" s="85"/>
      <c r="DB604" s="85"/>
      <c r="DC604" s="85"/>
      <c r="DD604" s="85"/>
      <c r="DE604" s="85"/>
      <c r="DF604" s="85"/>
      <c r="DG604" s="85"/>
      <c r="DH604" s="85"/>
      <c r="DI604" s="85"/>
      <c r="DJ604" s="85"/>
      <c r="DK604" s="85"/>
      <c r="DL604" s="85"/>
      <c r="DM604" s="85"/>
      <c r="DN604" s="85"/>
      <c r="DO604" s="85"/>
      <c r="DP604" s="85"/>
    </row>
    <row r="605">
      <c r="A605" s="91"/>
      <c r="B605" s="91"/>
      <c r="C605" s="91"/>
      <c r="D605" s="91"/>
      <c r="E605" s="78"/>
      <c r="F605" s="15"/>
      <c r="G605" s="15"/>
      <c r="H605" s="91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  <c r="BH605" s="15"/>
      <c r="BI605" s="15"/>
      <c r="BJ605" s="15"/>
      <c r="BK605" s="15"/>
      <c r="BL605" s="15"/>
      <c r="BM605" s="15"/>
      <c r="BN605" s="92"/>
      <c r="BO605" s="92"/>
      <c r="BP605" s="92"/>
      <c r="BQ605" s="92"/>
      <c r="BR605" s="92"/>
      <c r="BS605" s="92"/>
      <c r="BT605" s="92"/>
      <c r="BU605" s="92"/>
      <c r="BV605" s="92"/>
      <c r="BW605" s="92"/>
      <c r="BX605" s="92"/>
      <c r="BY605" s="92"/>
      <c r="BZ605" s="92"/>
      <c r="CA605" s="92"/>
      <c r="CB605" s="92"/>
      <c r="CC605" s="92"/>
      <c r="CD605" s="92"/>
      <c r="CE605" s="92"/>
      <c r="CF605" s="92"/>
      <c r="CG605" s="92"/>
      <c r="CH605" s="92"/>
      <c r="CI605" s="92"/>
      <c r="CJ605" s="92"/>
      <c r="CK605" s="92"/>
      <c r="CL605" s="92"/>
      <c r="CM605" s="92"/>
      <c r="CN605" s="92"/>
      <c r="CO605" s="92"/>
      <c r="CP605" s="92"/>
      <c r="CQ605" s="92"/>
      <c r="CR605" s="92"/>
      <c r="CS605" s="92"/>
      <c r="CT605" s="92"/>
      <c r="CU605" s="92"/>
      <c r="CV605" s="92"/>
      <c r="CW605" s="92"/>
      <c r="CX605" s="85"/>
      <c r="CY605" s="85"/>
      <c r="CZ605" s="85"/>
      <c r="DA605" s="85"/>
      <c r="DB605" s="85"/>
      <c r="DC605" s="85"/>
      <c r="DD605" s="85"/>
      <c r="DE605" s="85"/>
      <c r="DF605" s="85"/>
      <c r="DG605" s="85"/>
      <c r="DH605" s="85"/>
      <c r="DI605" s="85"/>
      <c r="DJ605" s="85"/>
      <c r="DK605" s="85"/>
      <c r="DL605" s="85"/>
      <c r="DM605" s="85"/>
      <c r="DN605" s="85"/>
      <c r="DO605" s="85"/>
      <c r="DP605" s="85"/>
    </row>
    <row r="606">
      <c r="A606" s="91"/>
      <c r="B606" s="91"/>
      <c r="C606" s="91"/>
      <c r="D606" s="91"/>
      <c r="E606" s="78"/>
      <c r="F606" s="15"/>
      <c r="G606" s="15"/>
      <c r="H606" s="91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5"/>
      <c r="BF606" s="15"/>
      <c r="BG606" s="15"/>
      <c r="BH606" s="15"/>
      <c r="BI606" s="15"/>
      <c r="BJ606" s="15"/>
      <c r="BK606" s="15"/>
      <c r="BL606" s="15"/>
      <c r="BM606" s="15"/>
      <c r="BN606" s="92"/>
      <c r="BO606" s="92"/>
      <c r="BP606" s="92"/>
      <c r="BQ606" s="92"/>
      <c r="BR606" s="92"/>
      <c r="BS606" s="92"/>
      <c r="BT606" s="92"/>
      <c r="BU606" s="92"/>
      <c r="BV606" s="92"/>
      <c r="BW606" s="92"/>
      <c r="BX606" s="92"/>
      <c r="BY606" s="92"/>
      <c r="BZ606" s="92"/>
      <c r="CA606" s="92"/>
      <c r="CB606" s="92"/>
      <c r="CC606" s="92"/>
      <c r="CD606" s="92"/>
      <c r="CE606" s="92"/>
      <c r="CF606" s="92"/>
      <c r="CG606" s="92"/>
      <c r="CH606" s="92"/>
      <c r="CI606" s="92"/>
      <c r="CJ606" s="92"/>
      <c r="CK606" s="92"/>
      <c r="CL606" s="92"/>
      <c r="CM606" s="92"/>
      <c r="CN606" s="92"/>
      <c r="CO606" s="92"/>
      <c r="CP606" s="92"/>
      <c r="CQ606" s="92"/>
      <c r="CR606" s="92"/>
      <c r="CS606" s="92"/>
      <c r="CT606" s="92"/>
      <c r="CU606" s="92"/>
      <c r="CV606" s="92"/>
      <c r="CW606" s="92"/>
      <c r="CX606" s="85"/>
      <c r="CY606" s="85"/>
      <c r="CZ606" s="85"/>
      <c r="DA606" s="85"/>
      <c r="DB606" s="85"/>
      <c r="DC606" s="85"/>
      <c r="DD606" s="85"/>
      <c r="DE606" s="85"/>
      <c r="DF606" s="85"/>
      <c r="DG606" s="85"/>
      <c r="DH606" s="85"/>
      <c r="DI606" s="85"/>
      <c r="DJ606" s="85"/>
      <c r="DK606" s="85"/>
      <c r="DL606" s="85"/>
      <c r="DM606" s="85"/>
      <c r="DN606" s="85"/>
      <c r="DO606" s="85"/>
      <c r="DP606" s="85"/>
    </row>
    <row r="607">
      <c r="A607" s="91"/>
      <c r="B607" s="91"/>
      <c r="C607" s="91"/>
      <c r="D607" s="91"/>
      <c r="E607" s="78"/>
      <c r="F607" s="15"/>
      <c r="G607" s="15"/>
      <c r="H607" s="91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  <c r="BH607" s="15"/>
      <c r="BI607" s="15"/>
      <c r="BJ607" s="15"/>
      <c r="BK607" s="15"/>
      <c r="BL607" s="15"/>
      <c r="BM607" s="15"/>
      <c r="BN607" s="92"/>
      <c r="BO607" s="92"/>
      <c r="BP607" s="92"/>
      <c r="BQ607" s="92"/>
      <c r="BR607" s="92"/>
      <c r="BS607" s="92"/>
      <c r="BT607" s="92"/>
      <c r="BU607" s="92"/>
      <c r="BV607" s="92"/>
      <c r="BW607" s="92"/>
      <c r="BX607" s="92"/>
      <c r="BY607" s="92"/>
      <c r="BZ607" s="92"/>
      <c r="CA607" s="92"/>
      <c r="CB607" s="92"/>
      <c r="CC607" s="92"/>
      <c r="CD607" s="92"/>
      <c r="CE607" s="92"/>
      <c r="CF607" s="92"/>
      <c r="CG607" s="92"/>
      <c r="CH607" s="92"/>
      <c r="CI607" s="92"/>
      <c r="CJ607" s="92"/>
      <c r="CK607" s="92"/>
      <c r="CL607" s="92"/>
      <c r="CM607" s="92"/>
      <c r="CN607" s="92"/>
      <c r="CO607" s="92"/>
      <c r="CP607" s="92"/>
      <c r="CQ607" s="92"/>
      <c r="CR607" s="92"/>
      <c r="CS607" s="92"/>
      <c r="CT607" s="92"/>
      <c r="CU607" s="92"/>
      <c r="CV607" s="92"/>
      <c r="CW607" s="92"/>
      <c r="CX607" s="85"/>
      <c r="CY607" s="85"/>
      <c r="CZ607" s="85"/>
      <c r="DA607" s="85"/>
      <c r="DB607" s="85"/>
      <c r="DC607" s="85"/>
      <c r="DD607" s="85"/>
      <c r="DE607" s="85"/>
      <c r="DF607" s="85"/>
      <c r="DG607" s="85"/>
      <c r="DH607" s="85"/>
      <c r="DI607" s="85"/>
      <c r="DJ607" s="85"/>
      <c r="DK607" s="85"/>
      <c r="DL607" s="85"/>
      <c r="DM607" s="85"/>
      <c r="DN607" s="85"/>
      <c r="DO607" s="85"/>
      <c r="DP607" s="85"/>
    </row>
    <row r="608">
      <c r="A608" s="91"/>
      <c r="B608" s="91"/>
      <c r="C608" s="91"/>
      <c r="D608" s="91"/>
      <c r="E608" s="78"/>
      <c r="F608" s="15"/>
      <c r="G608" s="15"/>
      <c r="H608" s="91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  <c r="BE608" s="15"/>
      <c r="BF608" s="15"/>
      <c r="BG608" s="15"/>
      <c r="BH608" s="15"/>
      <c r="BI608" s="15"/>
      <c r="BJ608" s="15"/>
      <c r="BK608" s="15"/>
      <c r="BL608" s="15"/>
      <c r="BM608" s="15"/>
      <c r="BN608" s="92"/>
      <c r="BO608" s="92"/>
      <c r="BP608" s="92"/>
      <c r="BQ608" s="92"/>
      <c r="BR608" s="92"/>
      <c r="BS608" s="92"/>
      <c r="BT608" s="92"/>
      <c r="BU608" s="92"/>
      <c r="BV608" s="92"/>
      <c r="BW608" s="92"/>
      <c r="BX608" s="92"/>
      <c r="BY608" s="92"/>
      <c r="BZ608" s="92"/>
      <c r="CA608" s="92"/>
      <c r="CB608" s="92"/>
      <c r="CC608" s="92"/>
      <c r="CD608" s="92"/>
      <c r="CE608" s="92"/>
      <c r="CF608" s="92"/>
      <c r="CG608" s="92"/>
      <c r="CH608" s="92"/>
      <c r="CI608" s="92"/>
      <c r="CJ608" s="92"/>
      <c r="CK608" s="92"/>
      <c r="CL608" s="92"/>
      <c r="CM608" s="92"/>
      <c r="CN608" s="92"/>
      <c r="CO608" s="92"/>
      <c r="CP608" s="92"/>
      <c r="CQ608" s="92"/>
      <c r="CR608" s="92"/>
      <c r="CS608" s="92"/>
      <c r="CT608" s="92"/>
      <c r="CU608" s="92"/>
      <c r="CV608" s="92"/>
      <c r="CW608" s="92"/>
      <c r="CX608" s="85"/>
      <c r="CY608" s="85"/>
      <c r="CZ608" s="85"/>
      <c r="DA608" s="85"/>
      <c r="DB608" s="85"/>
      <c r="DC608" s="85"/>
      <c r="DD608" s="85"/>
      <c r="DE608" s="85"/>
      <c r="DF608" s="85"/>
      <c r="DG608" s="85"/>
      <c r="DH608" s="85"/>
      <c r="DI608" s="85"/>
      <c r="DJ608" s="85"/>
      <c r="DK608" s="85"/>
      <c r="DL608" s="85"/>
      <c r="DM608" s="85"/>
      <c r="DN608" s="85"/>
      <c r="DO608" s="85"/>
      <c r="DP608" s="85"/>
    </row>
    <row r="609">
      <c r="A609" s="91"/>
      <c r="B609" s="91"/>
      <c r="C609" s="91"/>
      <c r="D609" s="91"/>
      <c r="E609" s="78"/>
      <c r="F609" s="15"/>
      <c r="G609" s="15"/>
      <c r="H609" s="91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  <c r="BH609" s="15"/>
      <c r="BI609" s="15"/>
      <c r="BJ609" s="15"/>
      <c r="BK609" s="15"/>
      <c r="BL609" s="15"/>
      <c r="BM609" s="15"/>
      <c r="BN609" s="92"/>
      <c r="BO609" s="92"/>
      <c r="BP609" s="92"/>
      <c r="BQ609" s="92"/>
      <c r="BR609" s="92"/>
      <c r="BS609" s="92"/>
      <c r="BT609" s="92"/>
      <c r="BU609" s="92"/>
      <c r="BV609" s="92"/>
      <c r="BW609" s="92"/>
      <c r="BX609" s="92"/>
      <c r="BY609" s="92"/>
      <c r="BZ609" s="92"/>
      <c r="CA609" s="92"/>
      <c r="CB609" s="92"/>
      <c r="CC609" s="92"/>
      <c r="CD609" s="92"/>
      <c r="CE609" s="92"/>
      <c r="CF609" s="92"/>
      <c r="CG609" s="92"/>
      <c r="CH609" s="92"/>
      <c r="CI609" s="92"/>
      <c r="CJ609" s="92"/>
      <c r="CK609" s="92"/>
      <c r="CL609" s="92"/>
      <c r="CM609" s="92"/>
      <c r="CN609" s="92"/>
      <c r="CO609" s="92"/>
      <c r="CP609" s="92"/>
      <c r="CQ609" s="92"/>
      <c r="CR609" s="92"/>
      <c r="CS609" s="92"/>
      <c r="CT609" s="92"/>
      <c r="CU609" s="92"/>
      <c r="CV609" s="92"/>
      <c r="CW609" s="92"/>
      <c r="CX609" s="85"/>
      <c r="CY609" s="85"/>
      <c r="CZ609" s="85"/>
      <c r="DA609" s="85"/>
      <c r="DB609" s="85"/>
      <c r="DC609" s="85"/>
      <c r="DD609" s="85"/>
      <c r="DE609" s="85"/>
      <c r="DF609" s="85"/>
      <c r="DG609" s="85"/>
      <c r="DH609" s="85"/>
      <c r="DI609" s="85"/>
      <c r="DJ609" s="85"/>
      <c r="DK609" s="85"/>
      <c r="DL609" s="85"/>
      <c r="DM609" s="85"/>
      <c r="DN609" s="85"/>
      <c r="DO609" s="85"/>
      <c r="DP609" s="85"/>
    </row>
    <row r="610">
      <c r="A610" s="91"/>
      <c r="B610" s="91"/>
      <c r="C610" s="91"/>
      <c r="D610" s="91"/>
      <c r="E610" s="78"/>
      <c r="F610" s="15"/>
      <c r="G610" s="15"/>
      <c r="H610" s="91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  <c r="BG610" s="15"/>
      <c r="BH610" s="15"/>
      <c r="BI610" s="15"/>
      <c r="BJ610" s="15"/>
      <c r="BK610" s="15"/>
      <c r="BL610" s="15"/>
      <c r="BM610" s="15"/>
      <c r="BN610" s="92"/>
      <c r="BO610" s="92"/>
      <c r="BP610" s="92"/>
      <c r="BQ610" s="92"/>
      <c r="BR610" s="92"/>
      <c r="BS610" s="92"/>
      <c r="BT610" s="92"/>
      <c r="BU610" s="92"/>
      <c r="BV610" s="92"/>
      <c r="BW610" s="92"/>
      <c r="BX610" s="92"/>
      <c r="BY610" s="92"/>
      <c r="BZ610" s="92"/>
      <c r="CA610" s="92"/>
      <c r="CB610" s="92"/>
      <c r="CC610" s="92"/>
      <c r="CD610" s="92"/>
      <c r="CE610" s="92"/>
      <c r="CF610" s="92"/>
      <c r="CG610" s="92"/>
      <c r="CH610" s="92"/>
      <c r="CI610" s="92"/>
      <c r="CJ610" s="92"/>
      <c r="CK610" s="92"/>
      <c r="CL610" s="92"/>
      <c r="CM610" s="92"/>
      <c r="CN610" s="92"/>
      <c r="CO610" s="92"/>
      <c r="CP610" s="92"/>
      <c r="CQ610" s="92"/>
      <c r="CR610" s="92"/>
      <c r="CS610" s="92"/>
      <c r="CT610" s="92"/>
      <c r="CU610" s="92"/>
      <c r="CV610" s="92"/>
      <c r="CW610" s="92"/>
      <c r="CX610" s="85"/>
      <c r="CY610" s="85"/>
      <c r="CZ610" s="85"/>
      <c r="DA610" s="85"/>
      <c r="DB610" s="85"/>
      <c r="DC610" s="85"/>
      <c r="DD610" s="85"/>
      <c r="DE610" s="85"/>
      <c r="DF610" s="85"/>
      <c r="DG610" s="85"/>
      <c r="DH610" s="85"/>
      <c r="DI610" s="85"/>
      <c r="DJ610" s="85"/>
      <c r="DK610" s="85"/>
      <c r="DL610" s="85"/>
      <c r="DM610" s="85"/>
      <c r="DN610" s="85"/>
      <c r="DO610" s="85"/>
      <c r="DP610" s="85"/>
    </row>
    <row r="611">
      <c r="A611" s="91"/>
      <c r="B611" s="91"/>
      <c r="C611" s="91"/>
      <c r="D611" s="91"/>
      <c r="E611" s="78"/>
      <c r="F611" s="15"/>
      <c r="G611" s="15"/>
      <c r="H611" s="91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  <c r="BH611" s="15"/>
      <c r="BI611" s="15"/>
      <c r="BJ611" s="15"/>
      <c r="BK611" s="15"/>
      <c r="BL611" s="15"/>
      <c r="BM611" s="15"/>
      <c r="BN611" s="92"/>
      <c r="BO611" s="92"/>
      <c r="BP611" s="92"/>
      <c r="BQ611" s="92"/>
      <c r="BR611" s="92"/>
      <c r="BS611" s="92"/>
      <c r="BT611" s="92"/>
      <c r="BU611" s="92"/>
      <c r="BV611" s="92"/>
      <c r="BW611" s="92"/>
      <c r="BX611" s="92"/>
      <c r="BY611" s="92"/>
      <c r="BZ611" s="92"/>
      <c r="CA611" s="92"/>
      <c r="CB611" s="92"/>
      <c r="CC611" s="92"/>
      <c r="CD611" s="92"/>
      <c r="CE611" s="92"/>
      <c r="CF611" s="92"/>
      <c r="CG611" s="92"/>
      <c r="CH611" s="92"/>
      <c r="CI611" s="92"/>
      <c r="CJ611" s="92"/>
      <c r="CK611" s="92"/>
      <c r="CL611" s="92"/>
      <c r="CM611" s="92"/>
      <c r="CN611" s="92"/>
      <c r="CO611" s="92"/>
      <c r="CP611" s="92"/>
      <c r="CQ611" s="92"/>
      <c r="CR611" s="92"/>
      <c r="CS611" s="92"/>
      <c r="CT611" s="92"/>
      <c r="CU611" s="92"/>
      <c r="CV611" s="92"/>
      <c r="CW611" s="92"/>
      <c r="CX611" s="85"/>
      <c r="CY611" s="85"/>
      <c r="CZ611" s="85"/>
      <c r="DA611" s="85"/>
      <c r="DB611" s="85"/>
      <c r="DC611" s="85"/>
      <c r="DD611" s="85"/>
      <c r="DE611" s="85"/>
      <c r="DF611" s="85"/>
      <c r="DG611" s="85"/>
      <c r="DH611" s="85"/>
      <c r="DI611" s="85"/>
      <c r="DJ611" s="85"/>
      <c r="DK611" s="85"/>
      <c r="DL611" s="85"/>
      <c r="DM611" s="85"/>
      <c r="DN611" s="85"/>
      <c r="DO611" s="85"/>
      <c r="DP611" s="85"/>
    </row>
    <row r="612">
      <c r="A612" s="91"/>
      <c r="B612" s="91"/>
      <c r="C612" s="91"/>
      <c r="D612" s="91"/>
      <c r="E612" s="78"/>
      <c r="F612" s="15"/>
      <c r="G612" s="15"/>
      <c r="H612" s="91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/>
      <c r="BE612" s="15"/>
      <c r="BF612" s="15"/>
      <c r="BG612" s="15"/>
      <c r="BH612" s="15"/>
      <c r="BI612" s="15"/>
      <c r="BJ612" s="15"/>
      <c r="BK612" s="15"/>
      <c r="BL612" s="15"/>
      <c r="BM612" s="15"/>
      <c r="BN612" s="92"/>
      <c r="BO612" s="92"/>
      <c r="BP612" s="92"/>
      <c r="BQ612" s="92"/>
      <c r="BR612" s="92"/>
      <c r="BS612" s="92"/>
      <c r="BT612" s="92"/>
      <c r="BU612" s="92"/>
      <c r="BV612" s="92"/>
      <c r="BW612" s="92"/>
      <c r="BX612" s="92"/>
      <c r="BY612" s="92"/>
      <c r="BZ612" s="92"/>
      <c r="CA612" s="92"/>
      <c r="CB612" s="92"/>
      <c r="CC612" s="92"/>
      <c r="CD612" s="92"/>
      <c r="CE612" s="92"/>
      <c r="CF612" s="92"/>
      <c r="CG612" s="92"/>
      <c r="CH612" s="92"/>
      <c r="CI612" s="92"/>
      <c r="CJ612" s="92"/>
      <c r="CK612" s="92"/>
      <c r="CL612" s="92"/>
      <c r="CM612" s="92"/>
      <c r="CN612" s="92"/>
      <c r="CO612" s="92"/>
      <c r="CP612" s="92"/>
      <c r="CQ612" s="92"/>
      <c r="CR612" s="92"/>
      <c r="CS612" s="92"/>
      <c r="CT612" s="92"/>
      <c r="CU612" s="92"/>
      <c r="CV612" s="92"/>
      <c r="CW612" s="92"/>
      <c r="CX612" s="85"/>
      <c r="CY612" s="85"/>
      <c r="CZ612" s="85"/>
      <c r="DA612" s="85"/>
      <c r="DB612" s="85"/>
      <c r="DC612" s="85"/>
      <c r="DD612" s="85"/>
      <c r="DE612" s="85"/>
      <c r="DF612" s="85"/>
      <c r="DG612" s="85"/>
      <c r="DH612" s="85"/>
      <c r="DI612" s="85"/>
      <c r="DJ612" s="85"/>
      <c r="DK612" s="85"/>
      <c r="DL612" s="85"/>
      <c r="DM612" s="85"/>
      <c r="DN612" s="85"/>
      <c r="DO612" s="85"/>
      <c r="DP612" s="85"/>
    </row>
    <row r="613">
      <c r="A613" s="91"/>
      <c r="B613" s="91"/>
      <c r="C613" s="91"/>
      <c r="D613" s="91"/>
      <c r="E613" s="78"/>
      <c r="F613" s="15"/>
      <c r="G613" s="15"/>
      <c r="H613" s="91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  <c r="BH613" s="15"/>
      <c r="BI613" s="15"/>
      <c r="BJ613" s="15"/>
      <c r="BK613" s="15"/>
      <c r="BL613" s="15"/>
      <c r="BM613" s="15"/>
      <c r="BN613" s="92"/>
      <c r="BO613" s="92"/>
      <c r="BP613" s="92"/>
      <c r="BQ613" s="92"/>
      <c r="BR613" s="92"/>
      <c r="BS613" s="92"/>
      <c r="BT613" s="92"/>
      <c r="BU613" s="92"/>
      <c r="BV613" s="92"/>
      <c r="BW613" s="92"/>
      <c r="BX613" s="92"/>
      <c r="BY613" s="92"/>
      <c r="BZ613" s="92"/>
      <c r="CA613" s="92"/>
      <c r="CB613" s="92"/>
      <c r="CC613" s="92"/>
      <c r="CD613" s="92"/>
      <c r="CE613" s="92"/>
      <c r="CF613" s="92"/>
      <c r="CG613" s="92"/>
      <c r="CH613" s="92"/>
      <c r="CI613" s="92"/>
      <c r="CJ613" s="92"/>
      <c r="CK613" s="92"/>
      <c r="CL613" s="92"/>
      <c r="CM613" s="92"/>
      <c r="CN613" s="92"/>
      <c r="CO613" s="92"/>
      <c r="CP613" s="92"/>
      <c r="CQ613" s="92"/>
      <c r="CR613" s="92"/>
      <c r="CS613" s="92"/>
      <c r="CT613" s="92"/>
      <c r="CU613" s="92"/>
      <c r="CV613" s="92"/>
      <c r="CW613" s="92"/>
      <c r="CX613" s="85"/>
      <c r="CY613" s="85"/>
      <c r="CZ613" s="85"/>
      <c r="DA613" s="85"/>
      <c r="DB613" s="85"/>
      <c r="DC613" s="85"/>
      <c r="DD613" s="85"/>
      <c r="DE613" s="85"/>
      <c r="DF613" s="85"/>
      <c r="DG613" s="85"/>
      <c r="DH613" s="85"/>
      <c r="DI613" s="85"/>
      <c r="DJ613" s="85"/>
      <c r="DK613" s="85"/>
      <c r="DL613" s="85"/>
      <c r="DM613" s="85"/>
      <c r="DN613" s="85"/>
      <c r="DO613" s="85"/>
      <c r="DP613" s="85"/>
    </row>
    <row r="614">
      <c r="A614" s="91"/>
      <c r="B614" s="91"/>
      <c r="C614" s="91"/>
      <c r="D614" s="91"/>
      <c r="E614" s="78"/>
      <c r="F614" s="15"/>
      <c r="G614" s="15"/>
      <c r="H614" s="91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  <c r="BG614" s="15"/>
      <c r="BH614" s="15"/>
      <c r="BI614" s="15"/>
      <c r="BJ614" s="15"/>
      <c r="BK614" s="15"/>
      <c r="BL614" s="15"/>
      <c r="BM614" s="15"/>
      <c r="BN614" s="92"/>
      <c r="BO614" s="92"/>
      <c r="BP614" s="92"/>
      <c r="BQ614" s="92"/>
      <c r="BR614" s="92"/>
      <c r="BS614" s="92"/>
      <c r="BT614" s="92"/>
      <c r="BU614" s="92"/>
      <c r="BV614" s="92"/>
      <c r="BW614" s="92"/>
      <c r="BX614" s="92"/>
      <c r="BY614" s="92"/>
      <c r="BZ614" s="92"/>
      <c r="CA614" s="92"/>
      <c r="CB614" s="92"/>
      <c r="CC614" s="92"/>
      <c r="CD614" s="92"/>
      <c r="CE614" s="92"/>
      <c r="CF614" s="92"/>
      <c r="CG614" s="92"/>
      <c r="CH614" s="92"/>
      <c r="CI614" s="92"/>
      <c r="CJ614" s="92"/>
      <c r="CK614" s="92"/>
      <c r="CL614" s="92"/>
      <c r="CM614" s="92"/>
      <c r="CN614" s="92"/>
      <c r="CO614" s="92"/>
      <c r="CP614" s="92"/>
      <c r="CQ614" s="92"/>
      <c r="CR614" s="92"/>
      <c r="CS614" s="92"/>
      <c r="CT614" s="92"/>
      <c r="CU614" s="92"/>
      <c r="CV614" s="92"/>
      <c r="CW614" s="92"/>
      <c r="CX614" s="85"/>
      <c r="CY614" s="85"/>
      <c r="CZ614" s="85"/>
      <c r="DA614" s="85"/>
      <c r="DB614" s="85"/>
      <c r="DC614" s="85"/>
      <c r="DD614" s="85"/>
      <c r="DE614" s="85"/>
      <c r="DF614" s="85"/>
      <c r="DG614" s="85"/>
      <c r="DH614" s="85"/>
      <c r="DI614" s="85"/>
      <c r="DJ614" s="85"/>
      <c r="DK614" s="85"/>
      <c r="DL614" s="85"/>
      <c r="DM614" s="85"/>
      <c r="DN614" s="85"/>
      <c r="DO614" s="85"/>
      <c r="DP614" s="85"/>
    </row>
    <row r="615">
      <c r="A615" s="91"/>
      <c r="B615" s="91"/>
      <c r="C615" s="91"/>
      <c r="D615" s="91"/>
      <c r="E615" s="78"/>
      <c r="F615" s="15"/>
      <c r="G615" s="15"/>
      <c r="H615" s="91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  <c r="BH615" s="15"/>
      <c r="BI615" s="15"/>
      <c r="BJ615" s="15"/>
      <c r="BK615" s="15"/>
      <c r="BL615" s="15"/>
      <c r="BM615" s="15"/>
      <c r="BN615" s="92"/>
      <c r="BO615" s="92"/>
      <c r="BP615" s="92"/>
      <c r="BQ615" s="92"/>
      <c r="BR615" s="92"/>
      <c r="BS615" s="92"/>
      <c r="BT615" s="92"/>
      <c r="BU615" s="92"/>
      <c r="BV615" s="92"/>
      <c r="BW615" s="92"/>
      <c r="BX615" s="92"/>
      <c r="BY615" s="92"/>
      <c r="BZ615" s="92"/>
      <c r="CA615" s="92"/>
      <c r="CB615" s="92"/>
      <c r="CC615" s="92"/>
      <c r="CD615" s="92"/>
      <c r="CE615" s="92"/>
      <c r="CF615" s="92"/>
      <c r="CG615" s="92"/>
      <c r="CH615" s="92"/>
      <c r="CI615" s="92"/>
      <c r="CJ615" s="92"/>
      <c r="CK615" s="92"/>
      <c r="CL615" s="92"/>
      <c r="CM615" s="92"/>
      <c r="CN615" s="92"/>
      <c r="CO615" s="92"/>
      <c r="CP615" s="92"/>
      <c r="CQ615" s="92"/>
      <c r="CR615" s="92"/>
      <c r="CS615" s="92"/>
      <c r="CT615" s="92"/>
      <c r="CU615" s="92"/>
      <c r="CV615" s="92"/>
      <c r="CW615" s="92"/>
      <c r="CX615" s="85"/>
      <c r="CY615" s="85"/>
      <c r="CZ615" s="85"/>
      <c r="DA615" s="85"/>
      <c r="DB615" s="85"/>
      <c r="DC615" s="85"/>
      <c r="DD615" s="85"/>
      <c r="DE615" s="85"/>
      <c r="DF615" s="85"/>
      <c r="DG615" s="85"/>
      <c r="DH615" s="85"/>
      <c r="DI615" s="85"/>
      <c r="DJ615" s="85"/>
      <c r="DK615" s="85"/>
      <c r="DL615" s="85"/>
      <c r="DM615" s="85"/>
      <c r="DN615" s="85"/>
      <c r="DO615" s="85"/>
      <c r="DP615" s="85"/>
    </row>
    <row r="616">
      <c r="A616" s="91"/>
      <c r="B616" s="91"/>
      <c r="C616" s="91"/>
      <c r="D616" s="91"/>
      <c r="E616" s="78"/>
      <c r="F616" s="15"/>
      <c r="G616" s="15"/>
      <c r="H616" s="91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  <c r="BG616" s="15"/>
      <c r="BH616" s="15"/>
      <c r="BI616" s="15"/>
      <c r="BJ616" s="15"/>
      <c r="BK616" s="15"/>
      <c r="BL616" s="15"/>
      <c r="BM616" s="15"/>
      <c r="BN616" s="92"/>
      <c r="BO616" s="92"/>
      <c r="BP616" s="92"/>
      <c r="BQ616" s="92"/>
      <c r="BR616" s="92"/>
      <c r="BS616" s="92"/>
      <c r="BT616" s="92"/>
      <c r="BU616" s="92"/>
      <c r="BV616" s="92"/>
      <c r="BW616" s="92"/>
      <c r="BX616" s="92"/>
      <c r="BY616" s="92"/>
      <c r="BZ616" s="92"/>
      <c r="CA616" s="92"/>
      <c r="CB616" s="92"/>
      <c r="CC616" s="92"/>
      <c r="CD616" s="92"/>
      <c r="CE616" s="92"/>
      <c r="CF616" s="92"/>
      <c r="CG616" s="92"/>
      <c r="CH616" s="92"/>
      <c r="CI616" s="92"/>
      <c r="CJ616" s="92"/>
      <c r="CK616" s="92"/>
      <c r="CL616" s="92"/>
      <c r="CM616" s="92"/>
      <c r="CN616" s="92"/>
      <c r="CO616" s="92"/>
      <c r="CP616" s="92"/>
      <c r="CQ616" s="92"/>
      <c r="CR616" s="92"/>
      <c r="CS616" s="92"/>
      <c r="CT616" s="92"/>
      <c r="CU616" s="92"/>
      <c r="CV616" s="92"/>
      <c r="CW616" s="92"/>
      <c r="CX616" s="85"/>
      <c r="CY616" s="85"/>
      <c r="CZ616" s="85"/>
      <c r="DA616" s="85"/>
      <c r="DB616" s="85"/>
      <c r="DC616" s="85"/>
      <c r="DD616" s="85"/>
      <c r="DE616" s="85"/>
      <c r="DF616" s="85"/>
      <c r="DG616" s="85"/>
      <c r="DH616" s="85"/>
      <c r="DI616" s="85"/>
      <c r="DJ616" s="85"/>
      <c r="DK616" s="85"/>
      <c r="DL616" s="85"/>
      <c r="DM616" s="85"/>
      <c r="DN616" s="85"/>
      <c r="DO616" s="85"/>
      <c r="DP616" s="85"/>
    </row>
    <row r="617">
      <c r="A617" s="91"/>
      <c r="B617" s="91"/>
      <c r="C617" s="91"/>
      <c r="D617" s="91"/>
      <c r="E617" s="78"/>
      <c r="F617" s="15"/>
      <c r="G617" s="15"/>
      <c r="H617" s="91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  <c r="BH617" s="15"/>
      <c r="BI617" s="15"/>
      <c r="BJ617" s="15"/>
      <c r="BK617" s="15"/>
      <c r="BL617" s="15"/>
      <c r="BM617" s="15"/>
      <c r="BN617" s="92"/>
      <c r="BO617" s="92"/>
      <c r="BP617" s="92"/>
      <c r="BQ617" s="92"/>
      <c r="BR617" s="92"/>
      <c r="BS617" s="92"/>
      <c r="BT617" s="92"/>
      <c r="BU617" s="92"/>
      <c r="BV617" s="92"/>
      <c r="BW617" s="92"/>
      <c r="BX617" s="92"/>
      <c r="BY617" s="92"/>
      <c r="BZ617" s="92"/>
      <c r="CA617" s="92"/>
      <c r="CB617" s="92"/>
      <c r="CC617" s="92"/>
      <c r="CD617" s="92"/>
      <c r="CE617" s="92"/>
      <c r="CF617" s="92"/>
      <c r="CG617" s="92"/>
      <c r="CH617" s="92"/>
      <c r="CI617" s="92"/>
      <c r="CJ617" s="92"/>
      <c r="CK617" s="92"/>
      <c r="CL617" s="92"/>
      <c r="CM617" s="92"/>
      <c r="CN617" s="92"/>
      <c r="CO617" s="92"/>
      <c r="CP617" s="92"/>
      <c r="CQ617" s="92"/>
      <c r="CR617" s="92"/>
      <c r="CS617" s="92"/>
      <c r="CT617" s="92"/>
      <c r="CU617" s="92"/>
      <c r="CV617" s="92"/>
      <c r="CW617" s="92"/>
      <c r="CX617" s="85"/>
      <c r="CY617" s="85"/>
      <c r="CZ617" s="85"/>
      <c r="DA617" s="85"/>
      <c r="DB617" s="85"/>
      <c r="DC617" s="85"/>
      <c r="DD617" s="85"/>
      <c r="DE617" s="85"/>
      <c r="DF617" s="85"/>
      <c r="DG617" s="85"/>
      <c r="DH617" s="85"/>
      <c r="DI617" s="85"/>
      <c r="DJ617" s="85"/>
      <c r="DK617" s="85"/>
      <c r="DL617" s="85"/>
      <c r="DM617" s="85"/>
      <c r="DN617" s="85"/>
      <c r="DO617" s="85"/>
      <c r="DP617" s="85"/>
    </row>
    <row r="618">
      <c r="A618" s="91"/>
      <c r="B618" s="91"/>
      <c r="C618" s="91"/>
      <c r="D618" s="91"/>
      <c r="E618" s="78"/>
      <c r="F618" s="15"/>
      <c r="G618" s="15"/>
      <c r="H618" s="91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  <c r="BG618" s="15"/>
      <c r="BH618" s="15"/>
      <c r="BI618" s="15"/>
      <c r="BJ618" s="15"/>
      <c r="BK618" s="15"/>
      <c r="BL618" s="15"/>
      <c r="BM618" s="15"/>
      <c r="BN618" s="92"/>
      <c r="BO618" s="92"/>
      <c r="BP618" s="92"/>
      <c r="BQ618" s="92"/>
      <c r="BR618" s="92"/>
      <c r="BS618" s="92"/>
      <c r="BT618" s="92"/>
      <c r="BU618" s="92"/>
      <c r="BV618" s="92"/>
      <c r="BW618" s="92"/>
      <c r="BX618" s="92"/>
      <c r="BY618" s="92"/>
      <c r="BZ618" s="92"/>
      <c r="CA618" s="92"/>
      <c r="CB618" s="92"/>
      <c r="CC618" s="92"/>
      <c r="CD618" s="92"/>
      <c r="CE618" s="92"/>
      <c r="CF618" s="92"/>
      <c r="CG618" s="92"/>
      <c r="CH618" s="92"/>
      <c r="CI618" s="92"/>
      <c r="CJ618" s="92"/>
      <c r="CK618" s="92"/>
      <c r="CL618" s="92"/>
      <c r="CM618" s="92"/>
      <c r="CN618" s="92"/>
      <c r="CO618" s="92"/>
      <c r="CP618" s="92"/>
      <c r="CQ618" s="92"/>
      <c r="CR618" s="92"/>
      <c r="CS618" s="92"/>
      <c r="CT618" s="92"/>
      <c r="CU618" s="92"/>
      <c r="CV618" s="92"/>
      <c r="CW618" s="92"/>
      <c r="CX618" s="85"/>
      <c r="CY618" s="85"/>
      <c r="CZ618" s="85"/>
      <c r="DA618" s="85"/>
      <c r="DB618" s="85"/>
      <c r="DC618" s="85"/>
      <c r="DD618" s="85"/>
      <c r="DE618" s="85"/>
      <c r="DF618" s="85"/>
      <c r="DG618" s="85"/>
      <c r="DH618" s="85"/>
      <c r="DI618" s="85"/>
      <c r="DJ618" s="85"/>
      <c r="DK618" s="85"/>
      <c r="DL618" s="85"/>
      <c r="DM618" s="85"/>
      <c r="DN618" s="85"/>
      <c r="DO618" s="85"/>
      <c r="DP618" s="85"/>
    </row>
    <row r="619">
      <c r="A619" s="91"/>
      <c r="B619" s="91"/>
      <c r="C619" s="91"/>
      <c r="D619" s="91"/>
      <c r="E619" s="78"/>
      <c r="F619" s="15"/>
      <c r="G619" s="15"/>
      <c r="H619" s="91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5"/>
      <c r="BF619" s="15"/>
      <c r="BG619" s="15"/>
      <c r="BH619" s="15"/>
      <c r="BI619" s="15"/>
      <c r="BJ619" s="15"/>
      <c r="BK619" s="15"/>
      <c r="BL619" s="15"/>
      <c r="BM619" s="15"/>
      <c r="BN619" s="92"/>
      <c r="BO619" s="92"/>
      <c r="BP619" s="92"/>
      <c r="BQ619" s="92"/>
      <c r="BR619" s="92"/>
      <c r="BS619" s="92"/>
      <c r="BT619" s="92"/>
      <c r="BU619" s="92"/>
      <c r="BV619" s="92"/>
      <c r="BW619" s="92"/>
      <c r="BX619" s="92"/>
      <c r="BY619" s="92"/>
      <c r="BZ619" s="92"/>
      <c r="CA619" s="92"/>
      <c r="CB619" s="92"/>
      <c r="CC619" s="92"/>
      <c r="CD619" s="92"/>
      <c r="CE619" s="92"/>
      <c r="CF619" s="92"/>
      <c r="CG619" s="92"/>
      <c r="CH619" s="92"/>
      <c r="CI619" s="92"/>
      <c r="CJ619" s="92"/>
      <c r="CK619" s="92"/>
      <c r="CL619" s="92"/>
      <c r="CM619" s="92"/>
      <c r="CN619" s="92"/>
      <c r="CO619" s="92"/>
      <c r="CP619" s="92"/>
      <c r="CQ619" s="92"/>
      <c r="CR619" s="92"/>
      <c r="CS619" s="92"/>
      <c r="CT619" s="92"/>
      <c r="CU619" s="92"/>
      <c r="CV619" s="92"/>
      <c r="CW619" s="92"/>
      <c r="CX619" s="85"/>
      <c r="CY619" s="85"/>
      <c r="CZ619" s="85"/>
      <c r="DA619" s="85"/>
      <c r="DB619" s="85"/>
      <c r="DC619" s="85"/>
      <c r="DD619" s="85"/>
      <c r="DE619" s="85"/>
      <c r="DF619" s="85"/>
      <c r="DG619" s="85"/>
      <c r="DH619" s="85"/>
      <c r="DI619" s="85"/>
      <c r="DJ619" s="85"/>
      <c r="DK619" s="85"/>
      <c r="DL619" s="85"/>
      <c r="DM619" s="85"/>
      <c r="DN619" s="85"/>
      <c r="DO619" s="85"/>
      <c r="DP619" s="85"/>
    </row>
    <row r="620">
      <c r="A620" s="91"/>
      <c r="B620" s="91"/>
      <c r="C620" s="91"/>
      <c r="D620" s="91"/>
      <c r="E620" s="78"/>
      <c r="F620" s="15"/>
      <c r="G620" s="15"/>
      <c r="H620" s="91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  <c r="BE620" s="15"/>
      <c r="BF620" s="15"/>
      <c r="BG620" s="15"/>
      <c r="BH620" s="15"/>
      <c r="BI620" s="15"/>
      <c r="BJ620" s="15"/>
      <c r="BK620" s="15"/>
      <c r="BL620" s="15"/>
      <c r="BM620" s="15"/>
      <c r="BN620" s="92"/>
      <c r="BO620" s="92"/>
      <c r="BP620" s="92"/>
      <c r="BQ620" s="92"/>
      <c r="BR620" s="92"/>
      <c r="BS620" s="92"/>
      <c r="BT620" s="92"/>
      <c r="BU620" s="92"/>
      <c r="BV620" s="92"/>
      <c r="BW620" s="92"/>
      <c r="BX620" s="92"/>
      <c r="BY620" s="92"/>
      <c r="BZ620" s="92"/>
      <c r="CA620" s="92"/>
      <c r="CB620" s="92"/>
      <c r="CC620" s="92"/>
      <c r="CD620" s="92"/>
      <c r="CE620" s="92"/>
      <c r="CF620" s="92"/>
      <c r="CG620" s="92"/>
      <c r="CH620" s="92"/>
      <c r="CI620" s="92"/>
      <c r="CJ620" s="92"/>
      <c r="CK620" s="92"/>
      <c r="CL620" s="92"/>
      <c r="CM620" s="92"/>
      <c r="CN620" s="92"/>
      <c r="CO620" s="92"/>
      <c r="CP620" s="92"/>
      <c r="CQ620" s="92"/>
      <c r="CR620" s="92"/>
      <c r="CS620" s="92"/>
      <c r="CT620" s="92"/>
      <c r="CU620" s="92"/>
      <c r="CV620" s="92"/>
      <c r="CW620" s="92"/>
      <c r="CX620" s="85"/>
      <c r="CY620" s="85"/>
      <c r="CZ620" s="85"/>
      <c r="DA620" s="85"/>
      <c r="DB620" s="85"/>
      <c r="DC620" s="85"/>
      <c r="DD620" s="85"/>
      <c r="DE620" s="85"/>
      <c r="DF620" s="85"/>
      <c r="DG620" s="85"/>
      <c r="DH620" s="85"/>
      <c r="DI620" s="85"/>
      <c r="DJ620" s="85"/>
      <c r="DK620" s="85"/>
      <c r="DL620" s="85"/>
      <c r="DM620" s="85"/>
      <c r="DN620" s="85"/>
      <c r="DO620" s="85"/>
      <c r="DP620" s="85"/>
    </row>
    <row r="621">
      <c r="A621" s="91"/>
      <c r="B621" s="91"/>
      <c r="C621" s="91"/>
      <c r="D621" s="91"/>
      <c r="E621" s="78"/>
      <c r="F621" s="15"/>
      <c r="G621" s="15"/>
      <c r="H621" s="91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  <c r="BH621" s="15"/>
      <c r="BI621" s="15"/>
      <c r="BJ621" s="15"/>
      <c r="BK621" s="15"/>
      <c r="BL621" s="15"/>
      <c r="BM621" s="15"/>
      <c r="BN621" s="92"/>
      <c r="BO621" s="92"/>
      <c r="BP621" s="92"/>
      <c r="BQ621" s="92"/>
      <c r="BR621" s="92"/>
      <c r="BS621" s="92"/>
      <c r="BT621" s="92"/>
      <c r="BU621" s="92"/>
      <c r="BV621" s="92"/>
      <c r="BW621" s="92"/>
      <c r="BX621" s="92"/>
      <c r="BY621" s="92"/>
      <c r="BZ621" s="92"/>
      <c r="CA621" s="92"/>
      <c r="CB621" s="92"/>
      <c r="CC621" s="92"/>
      <c r="CD621" s="92"/>
      <c r="CE621" s="92"/>
      <c r="CF621" s="92"/>
      <c r="CG621" s="92"/>
      <c r="CH621" s="92"/>
      <c r="CI621" s="92"/>
      <c r="CJ621" s="92"/>
      <c r="CK621" s="92"/>
      <c r="CL621" s="92"/>
      <c r="CM621" s="92"/>
      <c r="CN621" s="92"/>
      <c r="CO621" s="92"/>
      <c r="CP621" s="92"/>
      <c r="CQ621" s="92"/>
      <c r="CR621" s="92"/>
      <c r="CS621" s="92"/>
      <c r="CT621" s="92"/>
      <c r="CU621" s="92"/>
      <c r="CV621" s="92"/>
      <c r="CW621" s="92"/>
      <c r="CX621" s="85"/>
      <c r="CY621" s="85"/>
      <c r="CZ621" s="85"/>
      <c r="DA621" s="85"/>
      <c r="DB621" s="85"/>
      <c r="DC621" s="85"/>
      <c r="DD621" s="85"/>
      <c r="DE621" s="85"/>
      <c r="DF621" s="85"/>
      <c r="DG621" s="85"/>
      <c r="DH621" s="85"/>
      <c r="DI621" s="85"/>
      <c r="DJ621" s="85"/>
      <c r="DK621" s="85"/>
      <c r="DL621" s="85"/>
      <c r="DM621" s="85"/>
      <c r="DN621" s="85"/>
      <c r="DO621" s="85"/>
      <c r="DP621" s="85"/>
    </row>
    <row r="622">
      <c r="A622" s="91"/>
      <c r="B622" s="91"/>
      <c r="C622" s="91"/>
      <c r="D622" s="91"/>
      <c r="E622" s="78"/>
      <c r="F622" s="15"/>
      <c r="G622" s="15"/>
      <c r="H622" s="91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  <c r="BE622" s="15"/>
      <c r="BF622" s="15"/>
      <c r="BG622" s="15"/>
      <c r="BH622" s="15"/>
      <c r="BI622" s="15"/>
      <c r="BJ622" s="15"/>
      <c r="BK622" s="15"/>
      <c r="BL622" s="15"/>
      <c r="BM622" s="15"/>
      <c r="BN622" s="92"/>
      <c r="BO622" s="92"/>
      <c r="BP622" s="92"/>
      <c r="BQ622" s="92"/>
      <c r="BR622" s="92"/>
      <c r="BS622" s="92"/>
      <c r="BT622" s="92"/>
      <c r="BU622" s="92"/>
      <c r="BV622" s="92"/>
      <c r="BW622" s="92"/>
      <c r="BX622" s="92"/>
      <c r="BY622" s="92"/>
      <c r="BZ622" s="92"/>
      <c r="CA622" s="92"/>
      <c r="CB622" s="92"/>
      <c r="CC622" s="92"/>
      <c r="CD622" s="92"/>
      <c r="CE622" s="92"/>
      <c r="CF622" s="92"/>
      <c r="CG622" s="92"/>
      <c r="CH622" s="92"/>
      <c r="CI622" s="92"/>
      <c r="CJ622" s="92"/>
      <c r="CK622" s="92"/>
      <c r="CL622" s="92"/>
      <c r="CM622" s="92"/>
      <c r="CN622" s="92"/>
      <c r="CO622" s="92"/>
      <c r="CP622" s="92"/>
      <c r="CQ622" s="92"/>
      <c r="CR622" s="92"/>
      <c r="CS622" s="92"/>
      <c r="CT622" s="92"/>
      <c r="CU622" s="92"/>
      <c r="CV622" s="92"/>
      <c r="CW622" s="92"/>
      <c r="CX622" s="85"/>
      <c r="CY622" s="85"/>
      <c r="CZ622" s="85"/>
      <c r="DA622" s="85"/>
      <c r="DB622" s="85"/>
      <c r="DC622" s="85"/>
      <c r="DD622" s="85"/>
      <c r="DE622" s="85"/>
      <c r="DF622" s="85"/>
      <c r="DG622" s="85"/>
      <c r="DH622" s="85"/>
      <c r="DI622" s="85"/>
      <c r="DJ622" s="85"/>
      <c r="DK622" s="85"/>
      <c r="DL622" s="85"/>
      <c r="DM622" s="85"/>
      <c r="DN622" s="85"/>
      <c r="DO622" s="85"/>
      <c r="DP622" s="85"/>
    </row>
    <row r="623">
      <c r="A623" s="91"/>
      <c r="B623" s="91"/>
      <c r="C623" s="91"/>
      <c r="D623" s="91"/>
      <c r="E623" s="78"/>
      <c r="F623" s="15"/>
      <c r="G623" s="15"/>
      <c r="H623" s="91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  <c r="BH623" s="15"/>
      <c r="BI623" s="15"/>
      <c r="BJ623" s="15"/>
      <c r="BK623" s="15"/>
      <c r="BL623" s="15"/>
      <c r="BM623" s="15"/>
      <c r="BN623" s="92"/>
      <c r="BO623" s="92"/>
      <c r="BP623" s="92"/>
      <c r="BQ623" s="92"/>
      <c r="BR623" s="92"/>
      <c r="BS623" s="92"/>
      <c r="BT623" s="92"/>
      <c r="BU623" s="92"/>
      <c r="BV623" s="92"/>
      <c r="BW623" s="92"/>
      <c r="BX623" s="92"/>
      <c r="BY623" s="92"/>
      <c r="BZ623" s="92"/>
      <c r="CA623" s="92"/>
      <c r="CB623" s="92"/>
      <c r="CC623" s="92"/>
      <c r="CD623" s="92"/>
      <c r="CE623" s="92"/>
      <c r="CF623" s="92"/>
      <c r="CG623" s="92"/>
      <c r="CH623" s="92"/>
      <c r="CI623" s="92"/>
      <c r="CJ623" s="92"/>
      <c r="CK623" s="92"/>
      <c r="CL623" s="92"/>
      <c r="CM623" s="92"/>
      <c r="CN623" s="92"/>
      <c r="CO623" s="92"/>
      <c r="CP623" s="92"/>
      <c r="CQ623" s="92"/>
      <c r="CR623" s="92"/>
      <c r="CS623" s="92"/>
      <c r="CT623" s="92"/>
      <c r="CU623" s="92"/>
      <c r="CV623" s="92"/>
      <c r="CW623" s="92"/>
      <c r="CX623" s="85"/>
      <c r="CY623" s="85"/>
      <c r="CZ623" s="85"/>
      <c r="DA623" s="85"/>
      <c r="DB623" s="85"/>
      <c r="DC623" s="85"/>
      <c r="DD623" s="85"/>
      <c r="DE623" s="85"/>
      <c r="DF623" s="85"/>
      <c r="DG623" s="85"/>
      <c r="DH623" s="85"/>
      <c r="DI623" s="85"/>
      <c r="DJ623" s="85"/>
      <c r="DK623" s="85"/>
      <c r="DL623" s="85"/>
      <c r="DM623" s="85"/>
      <c r="DN623" s="85"/>
      <c r="DO623" s="85"/>
      <c r="DP623" s="85"/>
    </row>
    <row r="624">
      <c r="A624" s="91"/>
      <c r="B624" s="91"/>
      <c r="C624" s="91"/>
      <c r="D624" s="91"/>
      <c r="E624" s="78"/>
      <c r="F624" s="15"/>
      <c r="G624" s="15"/>
      <c r="H624" s="91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  <c r="BE624" s="15"/>
      <c r="BF624" s="15"/>
      <c r="BG624" s="15"/>
      <c r="BH624" s="15"/>
      <c r="BI624" s="15"/>
      <c r="BJ624" s="15"/>
      <c r="BK624" s="15"/>
      <c r="BL624" s="15"/>
      <c r="BM624" s="15"/>
      <c r="BN624" s="92"/>
      <c r="BO624" s="92"/>
      <c r="BP624" s="92"/>
      <c r="BQ624" s="92"/>
      <c r="BR624" s="92"/>
      <c r="BS624" s="92"/>
      <c r="BT624" s="92"/>
      <c r="BU624" s="92"/>
      <c r="BV624" s="92"/>
      <c r="BW624" s="92"/>
      <c r="BX624" s="92"/>
      <c r="BY624" s="92"/>
      <c r="BZ624" s="92"/>
      <c r="CA624" s="92"/>
      <c r="CB624" s="92"/>
      <c r="CC624" s="92"/>
      <c r="CD624" s="92"/>
      <c r="CE624" s="92"/>
      <c r="CF624" s="92"/>
      <c r="CG624" s="92"/>
      <c r="CH624" s="92"/>
      <c r="CI624" s="92"/>
      <c r="CJ624" s="92"/>
      <c r="CK624" s="92"/>
      <c r="CL624" s="92"/>
      <c r="CM624" s="92"/>
      <c r="CN624" s="92"/>
      <c r="CO624" s="92"/>
      <c r="CP624" s="92"/>
      <c r="CQ624" s="92"/>
      <c r="CR624" s="92"/>
      <c r="CS624" s="92"/>
      <c r="CT624" s="92"/>
      <c r="CU624" s="92"/>
      <c r="CV624" s="92"/>
      <c r="CW624" s="92"/>
      <c r="CX624" s="85"/>
      <c r="CY624" s="85"/>
      <c r="CZ624" s="85"/>
      <c r="DA624" s="85"/>
      <c r="DB624" s="85"/>
      <c r="DC624" s="85"/>
      <c r="DD624" s="85"/>
      <c r="DE624" s="85"/>
      <c r="DF624" s="85"/>
      <c r="DG624" s="85"/>
      <c r="DH624" s="85"/>
      <c r="DI624" s="85"/>
      <c r="DJ624" s="85"/>
      <c r="DK624" s="85"/>
      <c r="DL624" s="85"/>
      <c r="DM624" s="85"/>
      <c r="DN624" s="85"/>
      <c r="DO624" s="85"/>
      <c r="DP624" s="85"/>
    </row>
    <row r="625">
      <c r="A625" s="91"/>
      <c r="B625" s="91"/>
      <c r="C625" s="91"/>
      <c r="D625" s="91"/>
      <c r="E625" s="78"/>
      <c r="F625" s="15"/>
      <c r="G625" s="15"/>
      <c r="H625" s="91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  <c r="BH625" s="15"/>
      <c r="BI625" s="15"/>
      <c r="BJ625" s="15"/>
      <c r="BK625" s="15"/>
      <c r="BL625" s="15"/>
      <c r="BM625" s="15"/>
      <c r="BN625" s="92"/>
      <c r="BO625" s="92"/>
      <c r="BP625" s="92"/>
      <c r="BQ625" s="92"/>
      <c r="BR625" s="92"/>
      <c r="BS625" s="92"/>
      <c r="BT625" s="92"/>
      <c r="BU625" s="92"/>
      <c r="BV625" s="92"/>
      <c r="BW625" s="92"/>
      <c r="BX625" s="92"/>
      <c r="BY625" s="92"/>
      <c r="BZ625" s="92"/>
      <c r="CA625" s="92"/>
      <c r="CB625" s="92"/>
      <c r="CC625" s="92"/>
      <c r="CD625" s="92"/>
      <c r="CE625" s="92"/>
      <c r="CF625" s="92"/>
      <c r="CG625" s="92"/>
      <c r="CH625" s="92"/>
      <c r="CI625" s="92"/>
      <c r="CJ625" s="92"/>
      <c r="CK625" s="92"/>
      <c r="CL625" s="92"/>
      <c r="CM625" s="92"/>
      <c r="CN625" s="92"/>
      <c r="CO625" s="92"/>
      <c r="CP625" s="92"/>
      <c r="CQ625" s="92"/>
      <c r="CR625" s="92"/>
      <c r="CS625" s="92"/>
      <c r="CT625" s="92"/>
      <c r="CU625" s="92"/>
      <c r="CV625" s="92"/>
      <c r="CW625" s="92"/>
      <c r="CX625" s="85"/>
      <c r="CY625" s="85"/>
      <c r="CZ625" s="85"/>
      <c r="DA625" s="85"/>
      <c r="DB625" s="85"/>
      <c r="DC625" s="85"/>
      <c r="DD625" s="85"/>
      <c r="DE625" s="85"/>
      <c r="DF625" s="85"/>
      <c r="DG625" s="85"/>
      <c r="DH625" s="85"/>
      <c r="DI625" s="85"/>
      <c r="DJ625" s="85"/>
      <c r="DK625" s="85"/>
      <c r="DL625" s="85"/>
      <c r="DM625" s="85"/>
      <c r="DN625" s="85"/>
      <c r="DO625" s="85"/>
      <c r="DP625" s="85"/>
    </row>
    <row r="626">
      <c r="A626" s="91"/>
      <c r="B626" s="91"/>
      <c r="C626" s="91"/>
      <c r="D626" s="91"/>
      <c r="E626" s="78"/>
      <c r="F626" s="15"/>
      <c r="G626" s="15"/>
      <c r="H626" s="91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  <c r="BG626" s="15"/>
      <c r="BH626" s="15"/>
      <c r="BI626" s="15"/>
      <c r="BJ626" s="15"/>
      <c r="BK626" s="15"/>
      <c r="BL626" s="15"/>
      <c r="BM626" s="15"/>
      <c r="BN626" s="92"/>
      <c r="BO626" s="92"/>
      <c r="BP626" s="92"/>
      <c r="BQ626" s="92"/>
      <c r="BR626" s="92"/>
      <c r="BS626" s="92"/>
      <c r="BT626" s="92"/>
      <c r="BU626" s="92"/>
      <c r="BV626" s="92"/>
      <c r="BW626" s="92"/>
      <c r="BX626" s="92"/>
      <c r="BY626" s="92"/>
      <c r="BZ626" s="92"/>
      <c r="CA626" s="92"/>
      <c r="CB626" s="92"/>
      <c r="CC626" s="92"/>
      <c r="CD626" s="92"/>
      <c r="CE626" s="92"/>
      <c r="CF626" s="92"/>
      <c r="CG626" s="92"/>
      <c r="CH626" s="92"/>
      <c r="CI626" s="92"/>
      <c r="CJ626" s="92"/>
      <c r="CK626" s="92"/>
      <c r="CL626" s="92"/>
      <c r="CM626" s="92"/>
      <c r="CN626" s="92"/>
      <c r="CO626" s="92"/>
      <c r="CP626" s="92"/>
      <c r="CQ626" s="92"/>
      <c r="CR626" s="92"/>
      <c r="CS626" s="92"/>
      <c r="CT626" s="92"/>
      <c r="CU626" s="92"/>
      <c r="CV626" s="92"/>
      <c r="CW626" s="92"/>
      <c r="CX626" s="85"/>
      <c r="CY626" s="85"/>
      <c r="CZ626" s="85"/>
      <c r="DA626" s="85"/>
      <c r="DB626" s="85"/>
      <c r="DC626" s="85"/>
      <c r="DD626" s="85"/>
      <c r="DE626" s="85"/>
      <c r="DF626" s="85"/>
      <c r="DG626" s="85"/>
      <c r="DH626" s="85"/>
      <c r="DI626" s="85"/>
      <c r="DJ626" s="85"/>
      <c r="DK626" s="85"/>
      <c r="DL626" s="85"/>
      <c r="DM626" s="85"/>
      <c r="DN626" s="85"/>
      <c r="DO626" s="85"/>
      <c r="DP626" s="85"/>
    </row>
    <row r="627">
      <c r="A627" s="91"/>
      <c r="B627" s="91"/>
      <c r="C627" s="91"/>
      <c r="D627" s="91"/>
      <c r="E627" s="78"/>
      <c r="F627" s="15"/>
      <c r="G627" s="15"/>
      <c r="H627" s="91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  <c r="BH627" s="15"/>
      <c r="BI627" s="15"/>
      <c r="BJ627" s="15"/>
      <c r="BK627" s="15"/>
      <c r="BL627" s="15"/>
      <c r="BM627" s="15"/>
      <c r="BN627" s="92"/>
      <c r="BO627" s="92"/>
      <c r="BP627" s="92"/>
      <c r="BQ627" s="92"/>
      <c r="BR627" s="92"/>
      <c r="BS627" s="92"/>
      <c r="BT627" s="92"/>
      <c r="BU627" s="92"/>
      <c r="BV627" s="92"/>
      <c r="BW627" s="92"/>
      <c r="BX627" s="92"/>
      <c r="BY627" s="92"/>
      <c r="BZ627" s="92"/>
      <c r="CA627" s="92"/>
      <c r="CB627" s="92"/>
      <c r="CC627" s="92"/>
      <c r="CD627" s="92"/>
      <c r="CE627" s="92"/>
      <c r="CF627" s="92"/>
      <c r="CG627" s="92"/>
      <c r="CH627" s="92"/>
      <c r="CI627" s="92"/>
      <c r="CJ627" s="92"/>
      <c r="CK627" s="92"/>
      <c r="CL627" s="92"/>
      <c r="CM627" s="92"/>
      <c r="CN627" s="92"/>
      <c r="CO627" s="92"/>
      <c r="CP627" s="92"/>
      <c r="CQ627" s="92"/>
      <c r="CR627" s="92"/>
      <c r="CS627" s="92"/>
      <c r="CT627" s="92"/>
      <c r="CU627" s="92"/>
      <c r="CV627" s="92"/>
      <c r="CW627" s="92"/>
      <c r="CX627" s="85"/>
      <c r="CY627" s="85"/>
      <c r="CZ627" s="85"/>
      <c r="DA627" s="85"/>
      <c r="DB627" s="85"/>
      <c r="DC627" s="85"/>
      <c r="DD627" s="85"/>
      <c r="DE627" s="85"/>
      <c r="DF627" s="85"/>
      <c r="DG627" s="85"/>
      <c r="DH627" s="85"/>
      <c r="DI627" s="85"/>
      <c r="DJ627" s="85"/>
      <c r="DK627" s="85"/>
      <c r="DL627" s="85"/>
      <c r="DM627" s="85"/>
      <c r="DN627" s="85"/>
      <c r="DO627" s="85"/>
      <c r="DP627" s="85"/>
    </row>
    <row r="628">
      <c r="A628" s="91"/>
      <c r="B628" s="91"/>
      <c r="C628" s="91"/>
      <c r="D628" s="91"/>
      <c r="E628" s="78"/>
      <c r="F628" s="15"/>
      <c r="G628" s="15"/>
      <c r="H628" s="91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  <c r="BE628" s="15"/>
      <c r="BF628" s="15"/>
      <c r="BG628" s="15"/>
      <c r="BH628" s="15"/>
      <c r="BI628" s="15"/>
      <c r="BJ628" s="15"/>
      <c r="BK628" s="15"/>
      <c r="BL628" s="15"/>
      <c r="BM628" s="15"/>
      <c r="BN628" s="92"/>
      <c r="BO628" s="92"/>
      <c r="BP628" s="92"/>
      <c r="BQ628" s="92"/>
      <c r="BR628" s="92"/>
      <c r="BS628" s="92"/>
      <c r="BT628" s="92"/>
      <c r="BU628" s="92"/>
      <c r="BV628" s="92"/>
      <c r="BW628" s="92"/>
      <c r="BX628" s="92"/>
      <c r="BY628" s="92"/>
      <c r="BZ628" s="92"/>
      <c r="CA628" s="92"/>
      <c r="CB628" s="92"/>
      <c r="CC628" s="92"/>
      <c r="CD628" s="92"/>
      <c r="CE628" s="92"/>
      <c r="CF628" s="92"/>
      <c r="CG628" s="92"/>
      <c r="CH628" s="92"/>
      <c r="CI628" s="92"/>
      <c r="CJ628" s="92"/>
      <c r="CK628" s="92"/>
      <c r="CL628" s="92"/>
      <c r="CM628" s="92"/>
      <c r="CN628" s="92"/>
      <c r="CO628" s="92"/>
      <c r="CP628" s="92"/>
      <c r="CQ628" s="92"/>
      <c r="CR628" s="92"/>
      <c r="CS628" s="92"/>
      <c r="CT628" s="92"/>
      <c r="CU628" s="92"/>
      <c r="CV628" s="92"/>
      <c r="CW628" s="92"/>
      <c r="CX628" s="85"/>
      <c r="CY628" s="85"/>
      <c r="CZ628" s="85"/>
      <c r="DA628" s="85"/>
      <c r="DB628" s="85"/>
      <c r="DC628" s="85"/>
      <c r="DD628" s="85"/>
      <c r="DE628" s="85"/>
      <c r="DF628" s="85"/>
      <c r="DG628" s="85"/>
      <c r="DH628" s="85"/>
      <c r="DI628" s="85"/>
      <c r="DJ628" s="85"/>
      <c r="DK628" s="85"/>
      <c r="DL628" s="85"/>
      <c r="DM628" s="85"/>
      <c r="DN628" s="85"/>
      <c r="DO628" s="85"/>
      <c r="DP628" s="85"/>
    </row>
    <row r="629">
      <c r="A629" s="91"/>
      <c r="B629" s="91"/>
      <c r="C629" s="91"/>
      <c r="D629" s="91"/>
      <c r="E629" s="78"/>
      <c r="F629" s="15"/>
      <c r="G629" s="15"/>
      <c r="H629" s="91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  <c r="BH629" s="15"/>
      <c r="BI629" s="15"/>
      <c r="BJ629" s="15"/>
      <c r="BK629" s="15"/>
      <c r="BL629" s="15"/>
      <c r="BM629" s="15"/>
      <c r="BN629" s="92"/>
      <c r="BO629" s="92"/>
      <c r="BP629" s="92"/>
      <c r="BQ629" s="92"/>
      <c r="BR629" s="92"/>
      <c r="BS629" s="92"/>
      <c r="BT629" s="92"/>
      <c r="BU629" s="92"/>
      <c r="BV629" s="92"/>
      <c r="BW629" s="92"/>
      <c r="BX629" s="92"/>
      <c r="BY629" s="92"/>
      <c r="BZ629" s="92"/>
      <c r="CA629" s="92"/>
      <c r="CB629" s="92"/>
      <c r="CC629" s="92"/>
      <c r="CD629" s="92"/>
      <c r="CE629" s="92"/>
      <c r="CF629" s="92"/>
      <c r="CG629" s="92"/>
      <c r="CH629" s="92"/>
      <c r="CI629" s="92"/>
      <c r="CJ629" s="92"/>
      <c r="CK629" s="92"/>
      <c r="CL629" s="92"/>
      <c r="CM629" s="92"/>
      <c r="CN629" s="92"/>
      <c r="CO629" s="92"/>
      <c r="CP629" s="92"/>
      <c r="CQ629" s="92"/>
      <c r="CR629" s="92"/>
      <c r="CS629" s="92"/>
      <c r="CT629" s="92"/>
      <c r="CU629" s="92"/>
      <c r="CV629" s="92"/>
      <c r="CW629" s="92"/>
      <c r="CX629" s="85"/>
      <c r="CY629" s="85"/>
      <c r="CZ629" s="85"/>
      <c r="DA629" s="85"/>
      <c r="DB629" s="85"/>
      <c r="DC629" s="85"/>
      <c r="DD629" s="85"/>
      <c r="DE629" s="85"/>
      <c r="DF629" s="85"/>
      <c r="DG629" s="85"/>
      <c r="DH629" s="85"/>
      <c r="DI629" s="85"/>
      <c r="DJ629" s="85"/>
      <c r="DK629" s="85"/>
      <c r="DL629" s="85"/>
      <c r="DM629" s="85"/>
      <c r="DN629" s="85"/>
      <c r="DO629" s="85"/>
      <c r="DP629" s="85"/>
    </row>
    <row r="630">
      <c r="A630" s="91"/>
      <c r="B630" s="91"/>
      <c r="C630" s="91"/>
      <c r="D630" s="91"/>
      <c r="E630" s="78"/>
      <c r="F630" s="15"/>
      <c r="G630" s="15"/>
      <c r="H630" s="91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  <c r="BG630" s="15"/>
      <c r="BH630" s="15"/>
      <c r="BI630" s="15"/>
      <c r="BJ630" s="15"/>
      <c r="BK630" s="15"/>
      <c r="BL630" s="15"/>
      <c r="BM630" s="15"/>
      <c r="BN630" s="92"/>
      <c r="BO630" s="92"/>
      <c r="BP630" s="92"/>
      <c r="BQ630" s="92"/>
      <c r="BR630" s="92"/>
      <c r="BS630" s="92"/>
      <c r="BT630" s="92"/>
      <c r="BU630" s="92"/>
      <c r="BV630" s="92"/>
      <c r="BW630" s="92"/>
      <c r="BX630" s="92"/>
      <c r="BY630" s="92"/>
      <c r="BZ630" s="92"/>
      <c r="CA630" s="92"/>
      <c r="CB630" s="92"/>
      <c r="CC630" s="92"/>
      <c r="CD630" s="92"/>
      <c r="CE630" s="92"/>
      <c r="CF630" s="92"/>
      <c r="CG630" s="92"/>
      <c r="CH630" s="92"/>
      <c r="CI630" s="92"/>
      <c r="CJ630" s="92"/>
      <c r="CK630" s="92"/>
      <c r="CL630" s="92"/>
      <c r="CM630" s="92"/>
      <c r="CN630" s="92"/>
      <c r="CO630" s="92"/>
      <c r="CP630" s="92"/>
      <c r="CQ630" s="92"/>
      <c r="CR630" s="92"/>
      <c r="CS630" s="92"/>
      <c r="CT630" s="92"/>
      <c r="CU630" s="92"/>
      <c r="CV630" s="92"/>
      <c r="CW630" s="92"/>
      <c r="CX630" s="85"/>
      <c r="CY630" s="85"/>
      <c r="CZ630" s="85"/>
      <c r="DA630" s="85"/>
      <c r="DB630" s="85"/>
      <c r="DC630" s="85"/>
      <c r="DD630" s="85"/>
      <c r="DE630" s="85"/>
      <c r="DF630" s="85"/>
      <c r="DG630" s="85"/>
      <c r="DH630" s="85"/>
      <c r="DI630" s="85"/>
      <c r="DJ630" s="85"/>
      <c r="DK630" s="85"/>
      <c r="DL630" s="85"/>
      <c r="DM630" s="85"/>
      <c r="DN630" s="85"/>
      <c r="DO630" s="85"/>
      <c r="DP630" s="85"/>
    </row>
    <row r="631">
      <c r="A631" s="91"/>
      <c r="B631" s="91"/>
      <c r="C631" s="91"/>
      <c r="D631" s="91"/>
      <c r="E631" s="78"/>
      <c r="F631" s="15"/>
      <c r="G631" s="15"/>
      <c r="H631" s="91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  <c r="BH631" s="15"/>
      <c r="BI631" s="15"/>
      <c r="BJ631" s="15"/>
      <c r="BK631" s="15"/>
      <c r="BL631" s="15"/>
      <c r="BM631" s="15"/>
      <c r="BN631" s="92"/>
      <c r="BO631" s="92"/>
      <c r="BP631" s="92"/>
      <c r="BQ631" s="92"/>
      <c r="BR631" s="92"/>
      <c r="BS631" s="92"/>
      <c r="BT631" s="92"/>
      <c r="BU631" s="92"/>
      <c r="BV631" s="92"/>
      <c r="BW631" s="92"/>
      <c r="BX631" s="92"/>
      <c r="BY631" s="92"/>
      <c r="BZ631" s="92"/>
      <c r="CA631" s="92"/>
      <c r="CB631" s="92"/>
      <c r="CC631" s="92"/>
      <c r="CD631" s="92"/>
      <c r="CE631" s="92"/>
      <c r="CF631" s="92"/>
      <c r="CG631" s="92"/>
      <c r="CH631" s="92"/>
      <c r="CI631" s="92"/>
      <c r="CJ631" s="92"/>
      <c r="CK631" s="92"/>
      <c r="CL631" s="92"/>
      <c r="CM631" s="92"/>
      <c r="CN631" s="92"/>
      <c r="CO631" s="92"/>
      <c r="CP631" s="92"/>
      <c r="CQ631" s="92"/>
      <c r="CR631" s="92"/>
      <c r="CS631" s="92"/>
      <c r="CT631" s="92"/>
      <c r="CU631" s="92"/>
      <c r="CV631" s="92"/>
      <c r="CW631" s="92"/>
      <c r="CX631" s="85"/>
      <c r="CY631" s="85"/>
      <c r="CZ631" s="85"/>
      <c r="DA631" s="85"/>
      <c r="DB631" s="85"/>
      <c r="DC631" s="85"/>
      <c r="DD631" s="85"/>
      <c r="DE631" s="85"/>
      <c r="DF631" s="85"/>
      <c r="DG631" s="85"/>
      <c r="DH631" s="85"/>
      <c r="DI631" s="85"/>
      <c r="DJ631" s="85"/>
      <c r="DK631" s="85"/>
      <c r="DL631" s="85"/>
      <c r="DM631" s="85"/>
      <c r="DN631" s="85"/>
      <c r="DO631" s="85"/>
      <c r="DP631" s="85"/>
    </row>
    <row r="632">
      <c r="A632" s="91"/>
      <c r="B632" s="91"/>
      <c r="C632" s="91"/>
      <c r="D632" s="91"/>
      <c r="E632" s="78"/>
      <c r="F632" s="15"/>
      <c r="G632" s="15"/>
      <c r="H632" s="91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5"/>
      <c r="BE632" s="15"/>
      <c r="BF632" s="15"/>
      <c r="BG632" s="15"/>
      <c r="BH632" s="15"/>
      <c r="BI632" s="15"/>
      <c r="BJ632" s="15"/>
      <c r="BK632" s="15"/>
      <c r="BL632" s="15"/>
      <c r="BM632" s="15"/>
      <c r="BN632" s="92"/>
      <c r="BO632" s="92"/>
      <c r="BP632" s="92"/>
      <c r="BQ632" s="92"/>
      <c r="BR632" s="92"/>
      <c r="BS632" s="92"/>
      <c r="BT632" s="92"/>
      <c r="BU632" s="92"/>
      <c r="BV632" s="92"/>
      <c r="BW632" s="92"/>
      <c r="BX632" s="92"/>
      <c r="BY632" s="92"/>
      <c r="BZ632" s="92"/>
      <c r="CA632" s="92"/>
      <c r="CB632" s="92"/>
      <c r="CC632" s="92"/>
      <c r="CD632" s="92"/>
      <c r="CE632" s="92"/>
      <c r="CF632" s="92"/>
      <c r="CG632" s="92"/>
      <c r="CH632" s="92"/>
      <c r="CI632" s="92"/>
      <c r="CJ632" s="92"/>
      <c r="CK632" s="92"/>
      <c r="CL632" s="92"/>
      <c r="CM632" s="92"/>
      <c r="CN632" s="92"/>
      <c r="CO632" s="92"/>
      <c r="CP632" s="92"/>
      <c r="CQ632" s="92"/>
      <c r="CR632" s="92"/>
      <c r="CS632" s="92"/>
      <c r="CT632" s="92"/>
      <c r="CU632" s="92"/>
      <c r="CV632" s="92"/>
      <c r="CW632" s="92"/>
      <c r="CX632" s="85"/>
      <c r="CY632" s="85"/>
      <c r="CZ632" s="85"/>
      <c r="DA632" s="85"/>
      <c r="DB632" s="85"/>
      <c r="DC632" s="85"/>
      <c r="DD632" s="85"/>
      <c r="DE632" s="85"/>
      <c r="DF632" s="85"/>
      <c r="DG632" s="85"/>
      <c r="DH632" s="85"/>
      <c r="DI632" s="85"/>
      <c r="DJ632" s="85"/>
      <c r="DK632" s="85"/>
      <c r="DL632" s="85"/>
      <c r="DM632" s="85"/>
      <c r="DN632" s="85"/>
      <c r="DO632" s="85"/>
      <c r="DP632" s="85"/>
    </row>
    <row r="633">
      <c r="A633" s="91"/>
      <c r="B633" s="91"/>
      <c r="C633" s="91"/>
      <c r="D633" s="91"/>
      <c r="E633" s="78"/>
      <c r="F633" s="15"/>
      <c r="G633" s="15"/>
      <c r="H633" s="91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  <c r="BH633" s="15"/>
      <c r="BI633" s="15"/>
      <c r="BJ633" s="15"/>
      <c r="BK633" s="15"/>
      <c r="BL633" s="15"/>
      <c r="BM633" s="15"/>
      <c r="BN633" s="92"/>
      <c r="BO633" s="92"/>
      <c r="BP633" s="92"/>
      <c r="BQ633" s="92"/>
      <c r="BR633" s="92"/>
      <c r="BS633" s="92"/>
      <c r="BT633" s="92"/>
      <c r="BU633" s="92"/>
      <c r="BV633" s="92"/>
      <c r="BW633" s="92"/>
      <c r="BX633" s="92"/>
      <c r="BY633" s="92"/>
      <c r="BZ633" s="92"/>
      <c r="CA633" s="92"/>
      <c r="CB633" s="92"/>
      <c r="CC633" s="92"/>
      <c r="CD633" s="92"/>
      <c r="CE633" s="92"/>
      <c r="CF633" s="92"/>
      <c r="CG633" s="92"/>
      <c r="CH633" s="92"/>
      <c r="CI633" s="92"/>
      <c r="CJ633" s="92"/>
      <c r="CK633" s="92"/>
      <c r="CL633" s="92"/>
      <c r="CM633" s="92"/>
      <c r="CN633" s="92"/>
      <c r="CO633" s="92"/>
      <c r="CP633" s="92"/>
      <c r="CQ633" s="92"/>
      <c r="CR633" s="92"/>
      <c r="CS633" s="92"/>
      <c r="CT633" s="92"/>
      <c r="CU633" s="92"/>
      <c r="CV633" s="92"/>
      <c r="CW633" s="92"/>
      <c r="CX633" s="85"/>
      <c r="CY633" s="85"/>
      <c r="CZ633" s="85"/>
      <c r="DA633" s="85"/>
      <c r="DB633" s="85"/>
      <c r="DC633" s="85"/>
      <c r="DD633" s="85"/>
      <c r="DE633" s="85"/>
      <c r="DF633" s="85"/>
      <c r="DG633" s="85"/>
      <c r="DH633" s="85"/>
      <c r="DI633" s="85"/>
      <c r="DJ633" s="85"/>
      <c r="DK633" s="85"/>
      <c r="DL633" s="85"/>
      <c r="DM633" s="85"/>
      <c r="DN633" s="85"/>
      <c r="DO633" s="85"/>
      <c r="DP633" s="85"/>
    </row>
    <row r="634">
      <c r="A634" s="91"/>
      <c r="B634" s="91"/>
      <c r="C634" s="91"/>
      <c r="D634" s="91"/>
      <c r="E634" s="78"/>
      <c r="F634" s="15"/>
      <c r="G634" s="15"/>
      <c r="H634" s="91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  <c r="BG634" s="15"/>
      <c r="BH634" s="15"/>
      <c r="BI634" s="15"/>
      <c r="BJ634" s="15"/>
      <c r="BK634" s="15"/>
      <c r="BL634" s="15"/>
      <c r="BM634" s="15"/>
      <c r="BN634" s="92"/>
      <c r="BO634" s="92"/>
      <c r="BP634" s="92"/>
      <c r="BQ634" s="92"/>
      <c r="BR634" s="92"/>
      <c r="BS634" s="92"/>
      <c r="BT634" s="92"/>
      <c r="BU634" s="92"/>
      <c r="BV634" s="92"/>
      <c r="BW634" s="92"/>
      <c r="BX634" s="92"/>
      <c r="BY634" s="92"/>
      <c r="BZ634" s="92"/>
      <c r="CA634" s="92"/>
      <c r="CB634" s="92"/>
      <c r="CC634" s="92"/>
      <c r="CD634" s="92"/>
      <c r="CE634" s="92"/>
      <c r="CF634" s="92"/>
      <c r="CG634" s="92"/>
      <c r="CH634" s="92"/>
      <c r="CI634" s="92"/>
      <c r="CJ634" s="92"/>
      <c r="CK634" s="92"/>
      <c r="CL634" s="92"/>
      <c r="CM634" s="92"/>
      <c r="CN634" s="92"/>
      <c r="CO634" s="92"/>
      <c r="CP634" s="92"/>
      <c r="CQ634" s="92"/>
      <c r="CR634" s="92"/>
      <c r="CS634" s="92"/>
      <c r="CT634" s="92"/>
      <c r="CU634" s="92"/>
      <c r="CV634" s="92"/>
      <c r="CW634" s="92"/>
      <c r="CX634" s="85"/>
      <c r="CY634" s="85"/>
      <c r="CZ634" s="85"/>
      <c r="DA634" s="85"/>
      <c r="DB634" s="85"/>
      <c r="DC634" s="85"/>
      <c r="DD634" s="85"/>
      <c r="DE634" s="85"/>
      <c r="DF634" s="85"/>
      <c r="DG634" s="85"/>
      <c r="DH634" s="85"/>
      <c r="DI634" s="85"/>
      <c r="DJ634" s="85"/>
      <c r="DK634" s="85"/>
      <c r="DL634" s="85"/>
      <c r="DM634" s="85"/>
      <c r="DN634" s="85"/>
      <c r="DO634" s="85"/>
      <c r="DP634" s="85"/>
    </row>
    <row r="635">
      <c r="A635" s="91"/>
      <c r="B635" s="91"/>
      <c r="C635" s="91"/>
      <c r="D635" s="91"/>
      <c r="E635" s="78"/>
      <c r="F635" s="15"/>
      <c r="G635" s="15"/>
      <c r="H635" s="91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  <c r="BH635" s="15"/>
      <c r="BI635" s="15"/>
      <c r="BJ635" s="15"/>
      <c r="BK635" s="15"/>
      <c r="BL635" s="15"/>
      <c r="BM635" s="15"/>
      <c r="BN635" s="92"/>
      <c r="BO635" s="92"/>
      <c r="BP635" s="92"/>
      <c r="BQ635" s="92"/>
      <c r="BR635" s="92"/>
      <c r="BS635" s="92"/>
      <c r="BT635" s="92"/>
      <c r="BU635" s="92"/>
      <c r="BV635" s="92"/>
      <c r="BW635" s="92"/>
      <c r="BX635" s="92"/>
      <c r="BY635" s="92"/>
      <c r="BZ635" s="92"/>
      <c r="CA635" s="92"/>
      <c r="CB635" s="92"/>
      <c r="CC635" s="92"/>
      <c r="CD635" s="92"/>
      <c r="CE635" s="92"/>
      <c r="CF635" s="92"/>
      <c r="CG635" s="92"/>
      <c r="CH635" s="92"/>
      <c r="CI635" s="92"/>
      <c r="CJ635" s="92"/>
      <c r="CK635" s="92"/>
      <c r="CL635" s="92"/>
      <c r="CM635" s="92"/>
      <c r="CN635" s="92"/>
      <c r="CO635" s="92"/>
      <c r="CP635" s="92"/>
      <c r="CQ635" s="92"/>
      <c r="CR635" s="92"/>
      <c r="CS635" s="92"/>
      <c r="CT635" s="92"/>
      <c r="CU635" s="92"/>
      <c r="CV635" s="92"/>
      <c r="CW635" s="92"/>
      <c r="CX635" s="85"/>
      <c r="CY635" s="85"/>
      <c r="CZ635" s="85"/>
      <c r="DA635" s="85"/>
      <c r="DB635" s="85"/>
      <c r="DC635" s="85"/>
      <c r="DD635" s="85"/>
      <c r="DE635" s="85"/>
      <c r="DF635" s="85"/>
      <c r="DG635" s="85"/>
      <c r="DH635" s="85"/>
      <c r="DI635" s="85"/>
      <c r="DJ635" s="85"/>
      <c r="DK635" s="85"/>
      <c r="DL635" s="85"/>
      <c r="DM635" s="85"/>
      <c r="DN635" s="85"/>
      <c r="DO635" s="85"/>
      <c r="DP635" s="85"/>
    </row>
    <row r="636">
      <c r="A636" s="91"/>
      <c r="B636" s="91"/>
      <c r="C636" s="91"/>
      <c r="D636" s="91"/>
      <c r="E636" s="78"/>
      <c r="F636" s="15"/>
      <c r="G636" s="15"/>
      <c r="H636" s="91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5"/>
      <c r="BE636" s="15"/>
      <c r="BF636" s="15"/>
      <c r="BG636" s="15"/>
      <c r="BH636" s="15"/>
      <c r="BI636" s="15"/>
      <c r="BJ636" s="15"/>
      <c r="BK636" s="15"/>
      <c r="BL636" s="15"/>
      <c r="BM636" s="15"/>
      <c r="BN636" s="92"/>
      <c r="BO636" s="92"/>
      <c r="BP636" s="92"/>
      <c r="BQ636" s="92"/>
      <c r="BR636" s="92"/>
      <c r="BS636" s="92"/>
      <c r="BT636" s="92"/>
      <c r="BU636" s="92"/>
      <c r="BV636" s="92"/>
      <c r="BW636" s="92"/>
      <c r="BX636" s="92"/>
      <c r="BY636" s="92"/>
      <c r="BZ636" s="92"/>
      <c r="CA636" s="92"/>
      <c r="CB636" s="92"/>
      <c r="CC636" s="92"/>
      <c r="CD636" s="92"/>
      <c r="CE636" s="92"/>
      <c r="CF636" s="92"/>
      <c r="CG636" s="92"/>
      <c r="CH636" s="92"/>
      <c r="CI636" s="92"/>
      <c r="CJ636" s="92"/>
      <c r="CK636" s="92"/>
      <c r="CL636" s="92"/>
      <c r="CM636" s="92"/>
      <c r="CN636" s="92"/>
      <c r="CO636" s="92"/>
      <c r="CP636" s="92"/>
      <c r="CQ636" s="92"/>
      <c r="CR636" s="92"/>
      <c r="CS636" s="92"/>
      <c r="CT636" s="92"/>
      <c r="CU636" s="92"/>
      <c r="CV636" s="92"/>
      <c r="CW636" s="92"/>
      <c r="CX636" s="85"/>
      <c r="CY636" s="85"/>
      <c r="CZ636" s="85"/>
      <c r="DA636" s="85"/>
      <c r="DB636" s="85"/>
      <c r="DC636" s="85"/>
      <c r="DD636" s="85"/>
      <c r="DE636" s="85"/>
      <c r="DF636" s="85"/>
      <c r="DG636" s="85"/>
      <c r="DH636" s="85"/>
      <c r="DI636" s="85"/>
      <c r="DJ636" s="85"/>
      <c r="DK636" s="85"/>
      <c r="DL636" s="85"/>
      <c r="DM636" s="85"/>
      <c r="DN636" s="85"/>
      <c r="DO636" s="85"/>
      <c r="DP636" s="85"/>
    </row>
    <row r="637">
      <c r="A637" s="91"/>
      <c r="B637" s="91"/>
      <c r="C637" s="91"/>
      <c r="D637" s="91"/>
      <c r="E637" s="78"/>
      <c r="F637" s="15"/>
      <c r="G637" s="15"/>
      <c r="H637" s="91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  <c r="BH637" s="15"/>
      <c r="BI637" s="15"/>
      <c r="BJ637" s="15"/>
      <c r="BK637" s="15"/>
      <c r="BL637" s="15"/>
      <c r="BM637" s="15"/>
      <c r="BN637" s="92"/>
      <c r="BO637" s="92"/>
      <c r="BP637" s="92"/>
      <c r="BQ637" s="92"/>
      <c r="BR637" s="92"/>
      <c r="BS637" s="92"/>
      <c r="BT637" s="92"/>
      <c r="BU637" s="92"/>
      <c r="BV637" s="92"/>
      <c r="BW637" s="92"/>
      <c r="BX637" s="92"/>
      <c r="BY637" s="92"/>
      <c r="BZ637" s="92"/>
      <c r="CA637" s="92"/>
      <c r="CB637" s="92"/>
      <c r="CC637" s="92"/>
      <c r="CD637" s="92"/>
      <c r="CE637" s="92"/>
      <c r="CF637" s="92"/>
      <c r="CG637" s="92"/>
      <c r="CH637" s="92"/>
      <c r="CI637" s="92"/>
      <c r="CJ637" s="92"/>
      <c r="CK637" s="92"/>
      <c r="CL637" s="92"/>
      <c r="CM637" s="92"/>
      <c r="CN637" s="92"/>
      <c r="CO637" s="92"/>
      <c r="CP637" s="92"/>
      <c r="CQ637" s="92"/>
      <c r="CR637" s="92"/>
      <c r="CS637" s="92"/>
      <c r="CT637" s="92"/>
      <c r="CU637" s="92"/>
      <c r="CV637" s="92"/>
      <c r="CW637" s="92"/>
      <c r="CX637" s="85"/>
      <c r="CY637" s="85"/>
      <c r="CZ637" s="85"/>
      <c r="DA637" s="85"/>
      <c r="DB637" s="85"/>
      <c r="DC637" s="85"/>
      <c r="DD637" s="85"/>
      <c r="DE637" s="85"/>
      <c r="DF637" s="85"/>
      <c r="DG637" s="85"/>
      <c r="DH637" s="85"/>
      <c r="DI637" s="85"/>
      <c r="DJ637" s="85"/>
      <c r="DK637" s="85"/>
      <c r="DL637" s="85"/>
      <c r="DM637" s="85"/>
      <c r="DN637" s="85"/>
      <c r="DO637" s="85"/>
      <c r="DP637" s="85"/>
    </row>
    <row r="638">
      <c r="A638" s="91"/>
      <c r="B638" s="91"/>
      <c r="C638" s="91"/>
      <c r="D638" s="91"/>
      <c r="E638" s="78"/>
      <c r="F638" s="15"/>
      <c r="G638" s="15"/>
      <c r="H638" s="91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  <c r="BG638" s="15"/>
      <c r="BH638" s="15"/>
      <c r="BI638" s="15"/>
      <c r="BJ638" s="15"/>
      <c r="BK638" s="15"/>
      <c r="BL638" s="15"/>
      <c r="BM638" s="15"/>
      <c r="BN638" s="92"/>
      <c r="BO638" s="92"/>
      <c r="BP638" s="92"/>
      <c r="BQ638" s="92"/>
      <c r="BR638" s="92"/>
      <c r="BS638" s="92"/>
      <c r="BT638" s="92"/>
      <c r="BU638" s="92"/>
      <c r="BV638" s="92"/>
      <c r="BW638" s="92"/>
      <c r="BX638" s="92"/>
      <c r="BY638" s="92"/>
      <c r="BZ638" s="92"/>
      <c r="CA638" s="92"/>
      <c r="CB638" s="92"/>
      <c r="CC638" s="92"/>
      <c r="CD638" s="92"/>
      <c r="CE638" s="92"/>
      <c r="CF638" s="92"/>
      <c r="CG638" s="92"/>
      <c r="CH638" s="92"/>
      <c r="CI638" s="92"/>
      <c r="CJ638" s="92"/>
      <c r="CK638" s="92"/>
      <c r="CL638" s="92"/>
      <c r="CM638" s="92"/>
      <c r="CN638" s="92"/>
      <c r="CO638" s="92"/>
      <c r="CP638" s="92"/>
      <c r="CQ638" s="92"/>
      <c r="CR638" s="92"/>
      <c r="CS638" s="92"/>
      <c r="CT638" s="92"/>
      <c r="CU638" s="92"/>
      <c r="CV638" s="92"/>
      <c r="CW638" s="92"/>
      <c r="CX638" s="85"/>
      <c r="CY638" s="85"/>
      <c r="CZ638" s="85"/>
      <c r="DA638" s="85"/>
      <c r="DB638" s="85"/>
      <c r="DC638" s="85"/>
      <c r="DD638" s="85"/>
      <c r="DE638" s="85"/>
      <c r="DF638" s="85"/>
      <c r="DG638" s="85"/>
      <c r="DH638" s="85"/>
      <c r="DI638" s="85"/>
      <c r="DJ638" s="85"/>
      <c r="DK638" s="85"/>
      <c r="DL638" s="85"/>
      <c r="DM638" s="85"/>
      <c r="DN638" s="85"/>
      <c r="DO638" s="85"/>
      <c r="DP638" s="85"/>
    </row>
    <row r="639">
      <c r="A639" s="91"/>
      <c r="B639" s="91"/>
      <c r="C639" s="91"/>
      <c r="D639" s="91"/>
      <c r="E639" s="78"/>
      <c r="F639" s="15"/>
      <c r="G639" s="15"/>
      <c r="H639" s="91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  <c r="BH639" s="15"/>
      <c r="BI639" s="15"/>
      <c r="BJ639" s="15"/>
      <c r="BK639" s="15"/>
      <c r="BL639" s="15"/>
      <c r="BM639" s="15"/>
      <c r="BN639" s="92"/>
      <c r="BO639" s="92"/>
      <c r="BP639" s="92"/>
      <c r="BQ639" s="92"/>
      <c r="BR639" s="92"/>
      <c r="BS639" s="92"/>
      <c r="BT639" s="92"/>
      <c r="BU639" s="92"/>
      <c r="BV639" s="92"/>
      <c r="BW639" s="92"/>
      <c r="BX639" s="92"/>
      <c r="BY639" s="92"/>
      <c r="BZ639" s="92"/>
      <c r="CA639" s="92"/>
      <c r="CB639" s="92"/>
      <c r="CC639" s="92"/>
      <c r="CD639" s="92"/>
      <c r="CE639" s="92"/>
      <c r="CF639" s="92"/>
      <c r="CG639" s="92"/>
      <c r="CH639" s="92"/>
      <c r="CI639" s="92"/>
      <c r="CJ639" s="92"/>
      <c r="CK639" s="92"/>
      <c r="CL639" s="92"/>
      <c r="CM639" s="92"/>
      <c r="CN639" s="92"/>
      <c r="CO639" s="92"/>
      <c r="CP639" s="92"/>
      <c r="CQ639" s="92"/>
      <c r="CR639" s="92"/>
      <c r="CS639" s="92"/>
      <c r="CT639" s="92"/>
      <c r="CU639" s="92"/>
      <c r="CV639" s="92"/>
      <c r="CW639" s="92"/>
      <c r="CX639" s="85"/>
      <c r="CY639" s="85"/>
      <c r="CZ639" s="85"/>
      <c r="DA639" s="85"/>
      <c r="DB639" s="85"/>
      <c r="DC639" s="85"/>
      <c r="DD639" s="85"/>
      <c r="DE639" s="85"/>
      <c r="DF639" s="85"/>
      <c r="DG639" s="85"/>
      <c r="DH639" s="85"/>
      <c r="DI639" s="85"/>
      <c r="DJ639" s="85"/>
      <c r="DK639" s="85"/>
      <c r="DL639" s="85"/>
      <c r="DM639" s="85"/>
      <c r="DN639" s="85"/>
      <c r="DO639" s="85"/>
      <c r="DP639" s="85"/>
    </row>
    <row r="640">
      <c r="A640" s="91"/>
      <c r="B640" s="91"/>
      <c r="C640" s="91"/>
      <c r="D640" s="91"/>
      <c r="E640" s="78"/>
      <c r="F640" s="15"/>
      <c r="G640" s="15"/>
      <c r="H640" s="91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  <c r="BE640" s="15"/>
      <c r="BF640" s="15"/>
      <c r="BG640" s="15"/>
      <c r="BH640" s="15"/>
      <c r="BI640" s="15"/>
      <c r="BJ640" s="15"/>
      <c r="BK640" s="15"/>
      <c r="BL640" s="15"/>
      <c r="BM640" s="15"/>
      <c r="BN640" s="92"/>
      <c r="BO640" s="92"/>
      <c r="BP640" s="92"/>
      <c r="BQ640" s="92"/>
      <c r="BR640" s="92"/>
      <c r="BS640" s="92"/>
      <c r="BT640" s="92"/>
      <c r="BU640" s="92"/>
      <c r="BV640" s="92"/>
      <c r="BW640" s="92"/>
      <c r="BX640" s="92"/>
      <c r="BY640" s="92"/>
      <c r="BZ640" s="92"/>
      <c r="CA640" s="92"/>
      <c r="CB640" s="92"/>
      <c r="CC640" s="92"/>
      <c r="CD640" s="92"/>
      <c r="CE640" s="92"/>
      <c r="CF640" s="92"/>
      <c r="CG640" s="92"/>
      <c r="CH640" s="92"/>
      <c r="CI640" s="92"/>
      <c r="CJ640" s="92"/>
      <c r="CK640" s="92"/>
      <c r="CL640" s="92"/>
      <c r="CM640" s="92"/>
      <c r="CN640" s="92"/>
      <c r="CO640" s="92"/>
      <c r="CP640" s="92"/>
      <c r="CQ640" s="92"/>
      <c r="CR640" s="92"/>
      <c r="CS640" s="92"/>
      <c r="CT640" s="92"/>
      <c r="CU640" s="92"/>
      <c r="CV640" s="92"/>
      <c r="CW640" s="92"/>
      <c r="CX640" s="85"/>
      <c r="CY640" s="85"/>
      <c r="CZ640" s="85"/>
      <c r="DA640" s="85"/>
      <c r="DB640" s="85"/>
      <c r="DC640" s="85"/>
      <c r="DD640" s="85"/>
      <c r="DE640" s="85"/>
      <c r="DF640" s="85"/>
      <c r="DG640" s="85"/>
      <c r="DH640" s="85"/>
      <c r="DI640" s="85"/>
      <c r="DJ640" s="85"/>
      <c r="DK640" s="85"/>
      <c r="DL640" s="85"/>
      <c r="DM640" s="85"/>
      <c r="DN640" s="85"/>
      <c r="DO640" s="85"/>
      <c r="DP640" s="85"/>
    </row>
    <row r="641">
      <c r="A641" s="91"/>
      <c r="B641" s="91"/>
      <c r="C641" s="91"/>
      <c r="D641" s="91"/>
      <c r="E641" s="78"/>
      <c r="F641" s="15"/>
      <c r="G641" s="15"/>
      <c r="H641" s="91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  <c r="BH641" s="15"/>
      <c r="BI641" s="15"/>
      <c r="BJ641" s="15"/>
      <c r="BK641" s="15"/>
      <c r="BL641" s="15"/>
      <c r="BM641" s="15"/>
      <c r="BN641" s="92"/>
      <c r="BO641" s="92"/>
      <c r="BP641" s="92"/>
      <c r="BQ641" s="92"/>
      <c r="BR641" s="92"/>
      <c r="BS641" s="92"/>
      <c r="BT641" s="92"/>
      <c r="BU641" s="92"/>
      <c r="BV641" s="92"/>
      <c r="BW641" s="92"/>
      <c r="BX641" s="92"/>
      <c r="BY641" s="92"/>
      <c r="BZ641" s="92"/>
      <c r="CA641" s="92"/>
      <c r="CB641" s="92"/>
      <c r="CC641" s="92"/>
      <c r="CD641" s="92"/>
      <c r="CE641" s="92"/>
      <c r="CF641" s="92"/>
      <c r="CG641" s="92"/>
      <c r="CH641" s="92"/>
      <c r="CI641" s="92"/>
      <c r="CJ641" s="92"/>
      <c r="CK641" s="92"/>
      <c r="CL641" s="92"/>
      <c r="CM641" s="92"/>
      <c r="CN641" s="92"/>
      <c r="CO641" s="92"/>
      <c r="CP641" s="92"/>
      <c r="CQ641" s="92"/>
      <c r="CR641" s="92"/>
      <c r="CS641" s="92"/>
      <c r="CT641" s="92"/>
      <c r="CU641" s="92"/>
      <c r="CV641" s="92"/>
      <c r="CW641" s="92"/>
      <c r="CX641" s="85"/>
      <c r="CY641" s="85"/>
      <c r="CZ641" s="85"/>
      <c r="DA641" s="85"/>
      <c r="DB641" s="85"/>
      <c r="DC641" s="85"/>
      <c r="DD641" s="85"/>
      <c r="DE641" s="85"/>
      <c r="DF641" s="85"/>
      <c r="DG641" s="85"/>
      <c r="DH641" s="85"/>
      <c r="DI641" s="85"/>
      <c r="DJ641" s="85"/>
      <c r="DK641" s="85"/>
      <c r="DL641" s="85"/>
      <c r="DM641" s="85"/>
      <c r="DN641" s="85"/>
      <c r="DO641" s="85"/>
      <c r="DP641" s="85"/>
    </row>
    <row r="642">
      <c r="A642" s="91"/>
      <c r="B642" s="91"/>
      <c r="C642" s="91"/>
      <c r="D642" s="91"/>
      <c r="E642" s="78"/>
      <c r="F642" s="15"/>
      <c r="G642" s="15"/>
      <c r="H642" s="91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5"/>
      <c r="BE642" s="15"/>
      <c r="BF642" s="15"/>
      <c r="BG642" s="15"/>
      <c r="BH642" s="15"/>
      <c r="BI642" s="15"/>
      <c r="BJ642" s="15"/>
      <c r="BK642" s="15"/>
      <c r="BL642" s="15"/>
      <c r="BM642" s="15"/>
      <c r="BN642" s="92"/>
      <c r="BO642" s="92"/>
      <c r="BP642" s="92"/>
      <c r="BQ642" s="92"/>
      <c r="BR642" s="92"/>
      <c r="BS642" s="92"/>
      <c r="BT642" s="92"/>
      <c r="BU642" s="92"/>
      <c r="BV642" s="92"/>
      <c r="BW642" s="92"/>
      <c r="BX642" s="92"/>
      <c r="BY642" s="92"/>
      <c r="BZ642" s="92"/>
      <c r="CA642" s="92"/>
      <c r="CB642" s="92"/>
      <c r="CC642" s="92"/>
      <c r="CD642" s="92"/>
      <c r="CE642" s="92"/>
      <c r="CF642" s="92"/>
      <c r="CG642" s="92"/>
      <c r="CH642" s="92"/>
      <c r="CI642" s="92"/>
      <c r="CJ642" s="92"/>
      <c r="CK642" s="92"/>
      <c r="CL642" s="92"/>
      <c r="CM642" s="92"/>
      <c r="CN642" s="92"/>
      <c r="CO642" s="92"/>
      <c r="CP642" s="92"/>
      <c r="CQ642" s="92"/>
      <c r="CR642" s="92"/>
      <c r="CS642" s="92"/>
      <c r="CT642" s="92"/>
      <c r="CU642" s="92"/>
      <c r="CV642" s="92"/>
      <c r="CW642" s="92"/>
      <c r="CX642" s="85"/>
      <c r="CY642" s="85"/>
      <c r="CZ642" s="85"/>
      <c r="DA642" s="85"/>
      <c r="DB642" s="85"/>
      <c r="DC642" s="85"/>
      <c r="DD642" s="85"/>
      <c r="DE642" s="85"/>
      <c r="DF642" s="85"/>
      <c r="DG642" s="85"/>
      <c r="DH642" s="85"/>
      <c r="DI642" s="85"/>
      <c r="DJ642" s="85"/>
      <c r="DK642" s="85"/>
      <c r="DL642" s="85"/>
      <c r="DM642" s="85"/>
      <c r="DN642" s="85"/>
      <c r="DO642" s="85"/>
      <c r="DP642" s="85"/>
    </row>
    <row r="643">
      <c r="A643" s="91"/>
      <c r="B643" s="91"/>
      <c r="C643" s="91"/>
      <c r="D643" s="91"/>
      <c r="E643" s="78"/>
      <c r="F643" s="15"/>
      <c r="G643" s="15"/>
      <c r="H643" s="91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  <c r="BH643" s="15"/>
      <c r="BI643" s="15"/>
      <c r="BJ643" s="15"/>
      <c r="BK643" s="15"/>
      <c r="BL643" s="15"/>
      <c r="BM643" s="15"/>
      <c r="BN643" s="92"/>
      <c r="BO643" s="92"/>
      <c r="BP643" s="92"/>
      <c r="BQ643" s="92"/>
      <c r="BR643" s="92"/>
      <c r="BS643" s="92"/>
      <c r="BT643" s="92"/>
      <c r="BU643" s="92"/>
      <c r="BV643" s="92"/>
      <c r="BW643" s="92"/>
      <c r="BX643" s="92"/>
      <c r="BY643" s="92"/>
      <c r="BZ643" s="92"/>
      <c r="CA643" s="92"/>
      <c r="CB643" s="92"/>
      <c r="CC643" s="92"/>
      <c r="CD643" s="92"/>
      <c r="CE643" s="92"/>
      <c r="CF643" s="92"/>
      <c r="CG643" s="92"/>
      <c r="CH643" s="92"/>
      <c r="CI643" s="92"/>
      <c r="CJ643" s="92"/>
      <c r="CK643" s="92"/>
      <c r="CL643" s="92"/>
      <c r="CM643" s="92"/>
      <c r="CN643" s="92"/>
      <c r="CO643" s="92"/>
      <c r="CP643" s="92"/>
      <c r="CQ643" s="92"/>
      <c r="CR643" s="92"/>
      <c r="CS643" s="92"/>
      <c r="CT643" s="92"/>
      <c r="CU643" s="92"/>
      <c r="CV643" s="92"/>
      <c r="CW643" s="92"/>
      <c r="CX643" s="85"/>
      <c r="CY643" s="85"/>
      <c r="CZ643" s="85"/>
      <c r="DA643" s="85"/>
      <c r="DB643" s="85"/>
      <c r="DC643" s="85"/>
      <c r="DD643" s="85"/>
      <c r="DE643" s="85"/>
      <c r="DF643" s="85"/>
      <c r="DG643" s="85"/>
      <c r="DH643" s="85"/>
      <c r="DI643" s="85"/>
      <c r="DJ643" s="85"/>
      <c r="DK643" s="85"/>
      <c r="DL643" s="85"/>
      <c r="DM643" s="85"/>
      <c r="DN643" s="85"/>
      <c r="DO643" s="85"/>
      <c r="DP643" s="85"/>
    </row>
    <row r="644">
      <c r="A644" s="91"/>
      <c r="B644" s="91"/>
      <c r="C644" s="91"/>
      <c r="D644" s="91"/>
      <c r="E644" s="78"/>
      <c r="F644" s="15"/>
      <c r="G644" s="15"/>
      <c r="H644" s="91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  <c r="BE644" s="15"/>
      <c r="BF644" s="15"/>
      <c r="BG644" s="15"/>
      <c r="BH644" s="15"/>
      <c r="BI644" s="15"/>
      <c r="BJ644" s="15"/>
      <c r="BK644" s="15"/>
      <c r="BL644" s="15"/>
      <c r="BM644" s="15"/>
      <c r="BN644" s="92"/>
      <c r="BO644" s="92"/>
      <c r="BP644" s="92"/>
      <c r="BQ644" s="92"/>
      <c r="BR644" s="92"/>
      <c r="BS644" s="92"/>
      <c r="BT644" s="92"/>
      <c r="BU644" s="92"/>
      <c r="BV644" s="92"/>
      <c r="BW644" s="92"/>
      <c r="BX644" s="92"/>
      <c r="BY644" s="92"/>
      <c r="BZ644" s="92"/>
      <c r="CA644" s="92"/>
      <c r="CB644" s="92"/>
      <c r="CC644" s="92"/>
      <c r="CD644" s="92"/>
      <c r="CE644" s="92"/>
      <c r="CF644" s="92"/>
      <c r="CG644" s="92"/>
      <c r="CH644" s="92"/>
      <c r="CI644" s="92"/>
      <c r="CJ644" s="92"/>
      <c r="CK644" s="92"/>
      <c r="CL644" s="92"/>
      <c r="CM644" s="92"/>
      <c r="CN644" s="92"/>
      <c r="CO644" s="92"/>
      <c r="CP644" s="92"/>
      <c r="CQ644" s="92"/>
      <c r="CR644" s="92"/>
      <c r="CS644" s="92"/>
      <c r="CT644" s="92"/>
      <c r="CU644" s="92"/>
      <c r="CV644" s="92"/>
      <c r="CW644" s="92"/>
      <c r="CX644" s="85"/>
      <c r="CY644" s="85"/>
      <c r="CZ644" s="85"/>
      <c r="DA644" s="85"/>
      <c r="DB644" s="85"/>
      <c r="DC644" s="85"/>
      <c r="DD644" s="85"/>
      <c r="DE644" s="85"/>
      <c r="DF644" s="85"/>
      <c r="DG644" s="85"/>
      <c r="DH644" s="85"/>
      <c r="DI644" s="85"/>
      <c r="DJ644" s="85"/>
      <c r="DK644" s="85"/>
      <c r="DL644" s="85"/>
      <c r="DM644" s="85"/>
      <c r="DN644" s="85"/>
      <c r="DO644" s="85"/>
      <c r="DP644" s="85"/>
    </row>
    <row r="645">
      <c r="A645" s="91"/>
      <c r="B645" s="91"/>
      <c r="C645" s="91"/>
      <c r="D645" s="91"/>
      <c r="E645" s="78"/>
      <c r="F645" s="15"/>
      <c r="G645" s="15"/>
      <c r="H645" s="91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  <c r="BH645" s="15"/>
      <c r="BI645" s="15"/>
      <c r="BJ645" s="15"/>
      <c r="BK645" s="15"/>
      <c r="BL645" s="15"/>
      <c r="BM645" s="15"/>
      <c r="BN645" s="92"/>
      <c r="BO645" s="92"/>
      <c r="BP645" s="92"/>
      <c r="BQ645" s="92"/>
      <c r="BR645" s="92"/>
      <c r="BS645" s="92"/>
      <c r="BT645" s="92"/>
      <c r="BU645" s="92"/>
      <c r="BV645" s="92"/>
      <c r="BW645" s="92"/>
      <c r="BX645" s="92"/>
      <c r="BY645" s="92"/>
      <c r="BZ645" s="92"/>
      <c r="CA645" s="92"/>
      <c r="CB645" s="92"/>
      <c r="CC645" s="92"/>
      <c r="CD645" s="92"/>
      <c r="CE645" s="92"/>
      <c r="CF645" s="92"/>
      <c r="CG645" s="92"/>
      <c r="CH645" s="92"/>
      <c r="CI645" s="92"/>
      <c r="CJ645" s="92"/>
      <c r="CK645" s="92"/>
      <c r="CL645" s="92"/>
      <c r="CM645" s="92"/>
      <c r="CN645" s="92"/>
      <c r="CO645" s="92"/>
      <c r="CP645" s="92"/>
      <c r="CQ645" s="92"/>
      <c r="CR645" s="92"/>
      <c r="CS645" s="92"/>
      <c r="CT645" s="92"/>
      <c r="CU645" s="92"/>
      <c r="CV645" s="92"/>
      <c r="CW645" s="92"/>
      <c r="CX645" s="85"/>
      <c r="CY645" s="85"/>
      <c r="CZ645" s="85"/>
      <c r="DA645" s="85"/>
      <c r="DB645" s="85"/>
      <c r="DC645" s="85"/>
      <c r="DD645" s="85"/>
      <c r="DE645" s="85"/>
      <c r="DF645" s="85"/>
      <c r="DG645" s="85"/>
      <c r="DH645" s="85"/>
      <c r="DI645" s="85"/>
      <c r="DJ645" s="85"/>
      <c r="DK645" s="85"/>
      <c r="DL645" s="85"/>
      <c r="DM645" s="85"/>
      <c r="DN645" s="85"/>
      <c r="DO645" s="85"/>
      <c r="DP645" s="85"/>
    </row>
    <row r="646">
      <c r="A646" s="91"/>
      <c r="B646" s="91"/>
      <c r="C646" s="91"/>
      <c r="D646" s="91"/>
      <c r="E646" s="78"/>
      <c r="F646" s="15"/>
      <c r="G646" s="15"/>
      <c r="H646" s="91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5"/>
      <c r="BE646" s="15"/>
      <c r="BF646" s="15"/>
      <c r="BG646" s="15"/>
      <c r="BH646" s="15"/>
      <c r="BI646" s="15"/>
      <c r="BJ646" s="15"/>
      <c r="BK646" s="15"/>
      <c r="BL646" s="15"/>
      <c r="BM646" s="15"/>
      <c r="BN646" s="92"/>
      <c r="BO646" s="92"/>
      <c r="BP646" s="92"/>
      <c r="BQ646" s="92"/>
      <c r="BR646" s="92"/>
      <c r="BS646" s="92"/>
      <c r="BT646" s="92"/>
      <c r="BU646" s="92"/>
      <c r="BV646" s="92"/>
      <c r="BW646" s="92"/>
      <c r="BX646" s="92"/>
      <c r="BY646" s="92"/>
      <c r="BZ646" s="92"/>
      <c r="CA646" s="92"/>
      <c r="CB646" s="92"/>
      <c r="CC646" s="92"/>
      <c r="CD646" s="92"/>
      <c r="CE646" s="92"/>
      <c r="CF646" s="92"/>
      <c r="CG646" s="92"/>
      <c r="CH646" s="92"/>
      <c r="CI646" s="92"/>
      <c r="CJ646" s="92"/>
      <c r="CK646" s="92"/>
      <c r="CL646" s="92"/>
      <c r="CM646" s="92"/>
      <c r="CN646" s="92"/>
      <c r="CO646" s="92"/>
      <c r="CP646" s="92"/>
      <c r="CQ646" s="92"/>
      <c r="CR646" s="92"/>
      <c r="CS646" s="92"/>
      <c r="CT646" s="92"/>
      <c r="CU646" s="92"/>
      <c r="CV646" s="92"/>
      <c r="CW646" s="92"/>
      <c r="CX646" s="85"/>
      <c r="CY646" s="85"/>
      <c r="CZ646" s="85"/>
      <c r="DA646" s="85"/>
      <c r="DB646" s="85"/>
      <c r="DC646" s="85"/>
      <c r="DD646" s="85"/>
      <c r="DE646" s="85"/>
      <c r="DF646" s="85"/>
      <c r="DG646" s="85"/>
      <c r="DH646" s="85"/>
      <c r="DI646" s="85"/>
      <c r="DJ646" s="85"/>
      <c r="DK646" s="85"/>
      <c r="DL646" s="85"/>
      <c r="DM646" s="85"/>
      <c r="DN646" s="85"/>
      <c r="DO646" s="85"/>
      <c r="DP646" s="85"/>
    </row>
    <row r="647">
      <c r="A647" s="91"/>
      <c r="B647" s="91"/>
      <c r="C647" s="91"/>
      <c r="D647" s="91"/>
      <c r="E647" s="78"/>
      <c r="F647" s="15"/>
      <c r="G647" s="15"/>
      <c r="H647" s="91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  <c r="BG647" s="15"/>
      <c r="BH647" s="15"/>
      <c r="BI647" s="15"/>
      <c r="BJ647" s="15"/>
      <c r="BK647" s="15"/>
      <c r="BL647" s="15"/>
      <c r="BM647" s="15"/>
      <c r="BN647" s="92"/>
      <c r="BO647" s="92"/>
      <c r="BP647" s="92"/>
      <c r="BQ647" s="92"/>
      <c r="BR647" s="92"/>
      <c r="BS647" s="92"/>
      <c r="BT647" s="92"/>
      <c r="BU647" s="92"/>
      <c r="BV647" s="92"/>
      <c r="BW647" s="92"/>
      <c r="BX647" s="92"/>
      <c r="BY647" s="92"/>
      <c r="BZ647" s="92"/>
      <c r="CA647" s="92"/>
      <c r="CB647" s="92"/>
      <c r="CC647" s="92"/>
      <c r="CD647" s="92"/>
      <c r="CE647" s="92"/>
      <c r="CF647" s="92"/>
      <c r="CG647" s="92"/>
      <c r="CH647" s="92"/>
      <c r="CI647" s="92"/>
      <c r="CJ647" s="92"/>
      <c r="CK647" s="92"/>
      <c r="CL647" s="92"/>
      <c r="CM647" s="92"/>
      <c r="CN647" s="92"/>
      <c r="CO647" s="92"/>
      <c r="CP647" s="92"/>
      <c r="CQ647" s="92"/>
      <c r="CR647" s="92"/>
      <c r="CS647" s="92"/>
      <c r="CT647" s="92"/>
      <c r="CU647" s="92"/>
      <c r="CV647" s="92"/>
      <c r="CW647" s="92"/>
      <c r="CX647" s="85"/>
      <c r="CY647" s="85"/>
      <c r="CZ647" s="85"/>
      <c r="DA647" s="85"/>
      <c r="DB647" s="85"/>
      <c r="DC647" s="85"/>
      <c r="DD647" s="85"/>
      <c r="DE647" s="85"/>
      <c r="DF647" s="85"/>
      <c r="DG647" s="85"/>
      <c r="DH647" s="85"/>
      <c r="DI647" s="85"/>
      <c r="DJ647" s="85"/>
      <c r="DK647" s="85"/>
      <c r="DL647" s="85"/>
      <c r="DM647" s="85"/>
      <c r="DN647" s="85"/>
      <c r="DO647" s="85"/>
      <c r="DP647" s="85"/>
    </row>
    <row r="648">
      <c r="A648" s="91"/>
      <c r="B648" s="91"/>
      <c r="C648" s="91"/>
      <c r="D648" s="91"/>
      <c r="E648" s="78"/>
      <c r="F648" s="15"/>
      <c r="G648" s="15"/>
      <c r="H648" s="91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  <c r="BE648" s="15"/>
      <c r="BF648" s="15"/>
      <c r="BG648" s="15"/>
      <c r="BH648" s="15"/>
      <c r="BI648" s="15"/>
      <c r="BJ648" s="15"/>
      <c r="BK648" s="15"/>
      <c r="BL648" s="15"/>
      <c r="BM648" s="15"/>
      <c r="BN648" s="92"/>
      <c r="BO648" s="92"/>
      <c r="BP648" s="92"/>
      <c r="BQ648" s="92"/>
      <c r="BR648" s="92"/>
      <c r="BS648" s="92"/>
      <c r="BT648" s="92"/>
      <c r="BU648" s="92"/>
      <c r="BV648" s="92"/>
      <c r="BW648" s="92"/>
      <c r="BX648" s="92"/>
      <c r="BY648" s="92"/>
      <c r="BZ648" s="92"/>
      <c r="CA648" s="92"/>
      <c r="CB648" s="92"/>
      <c r="CC648" s="92"/>
      <c r="CD648" s="92"/>
      <c r="CE648" s="92"/>
      <c r="CF648" s="92"/>
      <c r="CG648" s="92"/>
      <c r="CH648" s="92"/>
      <c r="CI648" s="92"/>
      <c r="CJ648" s="92"/>
      <c r="CK648" s="92"/>
      <c r="CL648" s="92"/>
      <c r="CM648" s="92"/>
      <c r="CN648" s="92"/>
      <c r="CO648" s="92"/>
      <c r="CP648" s="92"/>
      <c r="CQ648" s="92"/>
      <c r="CR648" s="92"/>
      <c r="CS648" s="92"/>
      <c r="CT648" s="92"/>
      <c r="CU648" s="92"/>
      <c r="CV648" s="92"/>
      <c r="CW648" s="92"/>
      <c r="CX648" s="85"/>
      <c r="CY648" s="85"/>
      <c r="CZ648" s="85"/>
      <c r="DA648" s="85"/>
      <c r="DB648" s="85"/>
      <c r="DC648" s="85"/>
      <c r="DD648" s="85"/>
      <c r="DE648" s="85"/>
      <c r="DF648" s="85"/>
      <c r="DG648" s="85"/>
      <c r="DH648" s="85"/>
      <c r="DI648" s="85"/>
      <c r="DJ648" s="85"/>
      <c r="DK648" s="85"/>
      <c r="DL648" s="85"/>
      <c r="DM648" s="85"/>
      <c r="DN648" s="85"/>
      <c r="DO648" s="85"/>
      <c r="DP648" s="85"/>
    </row>
    <row r="649">
      <c r="A649" s="91"/>
      <c r="B649" s="91"/>
      <c r="C649" s="91"/>
      <c r="D649" s="91"/>
      <c r="E649" s="78"/>
      <c r="F649" s="15"/>
      <c r="G649" s="15"/>
      <c r="H649" s="91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  <c r="BH649" s="15"/>
      <c r="BI649" s="15"/>
      <c r="BJ649" s="15"/>
      <c r="BK649" s="15"/>
      <c r="BL649" s="15"/>
      <c r="BM649" s="15"/>
      <c r="BN649" s="92"/>
      <c r="BO649" s="92"/>
      <c r="BP649" s="92"/>
      <c r="BQ649" s="92"/>
      <c r="BR649" s="92"/>
      <c r="BS649" s="92"/>
      <c r="BT649" s="92"/>
      <c r="BU649" s="92"/>
      <c r="BV649" s="92"/>
      <c r="BW649" s="92"/>
      <c r="BX649" s="92"/>
      <c r="BY649" s="92"/>
      <c r="BZ649" s="92"/>
      <c r="CA649" s="92"/>
      <c r="CB649" s="92"/>
      <c r="CC649" s="92"/>
      <c r="CD649" s="92"/>
      <c r="CE649" s="92"/>
      <c r="CF649" s="92"/>
      <c r="CG649" s="92"/>
      <c r="CH649" s="92"/>
      <c r="CI649" s="92"/>
      <c r="CJ649" s="92"/>
      <c r="CK649" s="92"/>
      <c r="CL649" s="92"/>
      <c r="CM649" s="92"/>
      <c r="CN649" s="92"/>
      <c r="CO649" s="92"/>
      <c r="CP649" s="92"/>
      <c r="CQ649" s="92"/>
      <c r="CR649" s="92"/>
      <c r="CS649" s="92"/>
      <c r="CT649" s="92"/>
      <c r="CU649" s="92"/>
      <c r="CV649" s="92"/>
      <c r="CW649" s="92"/>
      <c r="CX649" s="85"/>
      <c r="CY649" s="85"/>
      <c r="CZ649" s="85"/>
      <c r="DA649" s="85"/>
      <c r="DB649" s="85"/>
      <c r="DC649" s="85"/>
      <c r="DD649" s="85"/>
      <c r="DE649" s="85"/>
      <c r="DF649" s="85"/>
      <c r="DG649" s="85"/>
      <c r="DH649" s="85"/>
      <c r="DI649" s="85"/>
      <c r="DJ649" s="85"/>
      <c r="DK649" s="85"/>
      <c r="DL649" s="85"/>
      <c r="DM649" s="85"/>
      <c r="DN649" s="85"/>
      <c r="DO649" s="85"/>
      <c r="DP649" s="85"/>
    </row>
    <row r="650">
      <c r="A650" s="91"/>
      <c r="B650" s="91"/>
      <c r="C650" s="91"/>
      <c r="D650" s="91"/>
      <c r="E650" s="78"/>
      <c r="F650" s="15"/>
      <c r="G650" s="15"/>
      <c r="H650" s="91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5"/>
      <c r="BE650" s="15"/>
      <c r="BF650" s="15"/>
      <c r="BG650" s="15"/>
      <c r="BH650" s="15"/>
      <c r="BI650" s="15"/>
      <c r="BJ650" s="15"/>
      <c r="BK650" s="15"/>
      <c r="BL650" s="15"/>
      <c r="BM650" s="15"/>
      <c r="BN650" s="92"/>
      <c r="BO650" s="92"/>
      <c r="BP650" s="92"/>
      <c r="BQ650" s="92"/>
      <c r="BR650" s="92"/>
      <c r="BS650" s="92"/>
      <c r="BT650" s="92"/>
      <c r="BU650" s="92"/>
      <c r="BV650" s="92"/>
      <c r="BW650" s="92"/>
      <c r="BX650" s="92"/>
      <c r="BY650" s="92"/>
      <c r="BZ650" s="92"/>
      <c r="CA650" s="92"/>
      <c r="CB650" s="92"/>
      <c r="CC650" s="92"/>
      <c r="CD650" s="92"/>
      <c r="CE650" s="92"/>
      <c r="CF650" s="92"/>
      <c r="CG650" s="92"/>
      <c r="CH650" s="92"/>
      <c r="CI650" s="92"/>
      <c r="CJ650" s="92"/>
      <c r="CK650" s="92"/>
      <c r="CL650" s="92"/>
      <c r="CM650" s="92"/>
      <c r="CN650" s="92"/>
      <c r="CO650" s="92"/>
      <c r="CP650" s="92"/>
      <c r="CQ650" s="92"/>
      <c r="CR650" s="92"/>
      <c r="CS650" s="92"/>
      <c r="CT650" s="92"/>
      <c r="CU650" s="92"/>
      <c r="CV650" s="92"/>
      <c r="CW650" s="92"/>
      <c r="CX650" s="85"/>
      <c r="CY650" s="85"/>
      <c r="CZ650" s="85"/>
      <c r="DA650" s="85"/>
      <c r="DB650" s="85"/>
      <c r="DC650" s="85"/>
      <c r="DD650" s="85"/>
      <c r="DE650" s="85"/>
      <c r="DF650" s="85"/>
      <c r="DG650" s="85"/>
      <c r="DH650" s="85"/>
      <c r="DI650" s="85"/>
      <c r="DJ650" s="85"/>
      <c r="DK650" s="85"/>
      <c r="DL650" s="85"/>
      <c r="DM650" s="85"/>
      <c r="DN650" s="85"/>
      <c r="DO650" s="85"/>
      <c r="DP650" s="85"/>
    </row>
    <row r="651">
      <c r="A651" s="91"/>
      <c r="B651" s="91"/>
      <c r="C651" s="91"/>
      <c r="D651" s="91"/>
      <c r="E651" s="78"/>
      <c r="F651" s="15"/>
      <c r="G651" s="15"/>
      <c r="H651" s="91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  <c r="BH651" s="15"/>
      <c r="BI651" s="15"/>
      <c r="BJ651" s="15"/>
      <c r="BK651" s="15"/>
      <c r="BL651" s="15"/>
      <c r="BM651" s="15"/>
      <c r="BN651" s="92"/>
      <c r="BO651" s="92"/>
      <c r="BP651" s="92"/>
      <c r="BQ651" s="92"/>
      <c r="BR651" s="92"/>
      <c r="BS651" s="92"/>
      <c r="BT651" s="92"/>
      <c r="BU651" s="92"/>
      <c r="BV651" s="92"/>
      <c r="BW651" s="92"/>
      <c r="BX651" s="92"/>
      <c r="BY651" s="92"/>
      <c r="BZ651" s="92"/>
      <c r="CA651" s="92"/>
      <c r="CB651" s="92"/>
      <c r="CC651" s="92"/>
      <c r="CD651" s="92"/>
      <c r="CE651" s="92"/>
      <c r="CF651" s="92"/>
      <c r="CG651" s="92"/>
      <c r="CH651" s="92"/>
      <c r="CI651" s="92"/>
      <c r="CJ651" s="92"/>
      <c r="CK651" s="92"/>
      <c r="CL651" s="92"/>
      <c r="CM651" s="92"/>
      <c r="CN651" s="92"/>
      <c r="CO651" s="92"/>
      <c r="CP651" s="92"/>
      <c r="CQ651" s="92"/>
      <c r="CR651" s="92"/>
      <c r="CS651" s="92"/>
      <c r="CT651" s="92"/>
      <c r="CU651" s="92"/>
      <c r="CV651" s="92"/>
      <c r="CW651" s="92"/>
      <c r="CX651" s="85"/>
      <c r="CY651" s="85"/>
      <c r="CZ651" s="85"/>
      <c r="DA651" s="85"/>
      <c r="DB651" s="85"/>
      <c r="DC651" s="85"/>
      <c r="DD651" s="85"/>
      <c r="DE651" s="85"/>
      <c r="DF651" s="85"/>
      <c r="DG651" s="85"/>
      <c r="DH651" s="85"/>
      <c r="DI651" s="85"/>
      <c r="DJ651" s="85"/>
      <c r="DK651" s="85"/>
      <c r="DL651" s="85"/>
      <c r="DM651" s="85"/>
      <c r="DN651" s="85"/>
      <c r="DO651" s="85"/>
      <c r="DP651" s="85"/>
    </row>
    <row r="652">
      <c r="A652" s="91"/>
      <c r="B652" s="91"/>
      <c r="C652" s="91"/>
      <c r="D652" s="91"/>
      <c r="E652" s="78"/>
      <c r="F652" s="15"/>
      <c r="G652" s="15"/>
      <c r="H652" s="91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5"/>
      <c r="BE652" s="15"/>
      <c r="BF652" s="15"/>
      <c r="BG652" s="15"/>
      <c r="BH652" s="15"/>
      <c r="BI652" s="15"/>
      <c r="BJ652" s="15"/>
      <c r="BK652" s="15"/>
      <c r="BL652" s="15"/>
      <c r="BM652" s="15"/>
      <c r="BN652" s="92"/>
      <c r="BO652" s="92"/>
      <c r="BP652" s="92"/>
      <c r="BQ652" s="92"/>
      <c r="BR652" s="92"/>
      <c r="BS652" s="92"/>
      <c r="BT652" s="92"/>
      <c r="BU652" s="92"/>
      <c r="BV652" s="92"/>
      <c r="BW652" s="92"/>
      <c r="BX652" s="92"/>
      <c r="BY652" s="92"/>
      <c r="BZ652" s="92"/>
      <c r="CA652" s="92"/>
      <c r="CB652" s="92"/>
      <c r="CC652" s="92"/>
      <c r="CD652" s="92"/>
      <c r="CE652" s="92"/>
      <c r="CF652" s="92"/>
      <c r="CG652" s="92"/>
      <c r="CH652" s="92"/>
      <c r="CI652" s="92"/>
      <c r="CJ652" s="92"/>
      <c r="CK652" s="92"/>
      <c r="CL652" s="92"/>
      <c r="CM652" s="92"/>
      <c r="CN652" s="92"/>
      <c r="CO652" s="92"/>
      <c r="CP652" s="92"/>
      <c r="CQ652" s="92"/>
      <c r="CR652" s="92"/>
      <c r="CS652" s="92"/>
      <c r="CT652" s="92"/>
      <c r="CU652" s="92"/>
      <c r="CV652" s="92"/>
      <c r="CW652" s="92"/>
      <c r="CX652" s="85"/>
      <c r="CY652" s="85"/>
      <c r="CZ652" s="85"/>
      <c r="DA652" s="85"/>
      <c r="DB652" s="85"/>
      <c r="DC652" s="85"/>
      <c r="DD652" s="85"/>
      <c r="DE652" s="85"/>
      <c r="DF652" s="85"/>
      <c r="DG652" s="85"/>
      <c r="DH652" s="85"/>
      <c r="DI652" s="85"/>
      <c r="DJ652" s="85"/>
      <c r="DK652" s="85"/>
      <c r="DL652" s="85"/>
      <c r="DM652" s="85"/>
      <c r="DN652" s="85"/>
      <c r="DO652" s="85"/>
      <c r="DP652" s="85"/>
    </row>
    <row r="653">
      <c r="A653" s="91"/>
      <c r="B653" s="91"/>
      <c r="C653" s="91"/>
      <c r="D653" s="91"/>
      <c r="E653" s="78"/>
      <c r="F653" s="15"/>
      <c r="G653" s="15"/>
      <c r="H653" s="91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  <c r="BH653" s="15"/>
      <c r="BI653" s="15"/>
      <c r="BJ653" s="15"/>
      <c r="BK653" s="15"/>
      <c r="BL653" s="15"/>
      <c r="BM653" s="15"/>
      <c r="BN653" s="92"/>
      <c r="BO653" s="92"/>
      <c r="BP653" s="92"/>
      <c r="BQ653" s="92"/>
      <c r="BR653" s="92"/>
      <c r="BS653" s="92"/>
      <c r="BT653" s="92"/>
      <c r="BU653" s="92"/>
      <c r="BV653" s="92"/>
      <c r="BW653" s="92"/>
      <c r="BX653" s="92"/>
      <c r="BY653" s="92"/>
      <c r="BZ653" s="92"/>
      <c r="CA653" s="92"/>
      <c r="CB653" s="92"/>
      <c r="CC653" s="92"/>
      <c r="CD653" s="92"/>
      <c r="CE653" s="92"/>
      <c r="CF653" s="92"/>
      <c r="CG653" s="92"/>
      <c r="CH653" s="92"/>
      <c r="CI653" s="92"/>
      <c r="CJ653" s="92"/>
      <c r="CK653" s="92"/>
      <c r="CL653" s="92"/>
      <c r="CM653" s="92"/>
      <c r="CN653" s="92"/>
      <c r="CO653" s="92"/>
      <c r="CP653" s="92"/>
      <c r="CQ653" s="92"/>
      <c r="CR653" s="92"/>
      <c r="CS653" s="92"/>
      <c r="CT653" s="92"/>
      <c r="CU653" s="92"/>
      <c r="CV653" s="92"/>
      <c r="CW653" s="92"/>
      <c r="CX653" s="85"/>
      <c r="CY653" s="85"/>
      <c r="CZ653" s="85"/>
      <c r="DA653" s="85"/>
      <c r="DB653" s="85"/>
      <c r="DC653" s="85"/>
      <c r="DD653" s="85"/>
      <c r="DE653" s="85"/>
      <c r="DF653" s="85"/>
      <c r="DG653" s="85"/>
      <c r="DH653" s="85"/>
      <c r="DI653" s="85"/>
      <c r="DJ653" s="85"/>
      <c r="DK653" s="85"/>
      <c r="DL653" s="85"/>
      <c r="DM653" s="85"/>
      <c r="DN653" s="85"/>
      <c r="DO653" s="85"/>
      <c r="DP653" s="85"/>
    </row>
    <row r="654">
      <c r="A654" s="91"/>
      <c r="B654" s="91"/>
      <c r="C654" s="91"/>
      <c r="D654" s="91"/>
      <c r="E654" s="78"/>
      <c r="F654" s="15"/>
      <c r="G654" s="15"/>
      <c r="H654" s="91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  <c r="BE654" s="15"/>
      <c r="BF654" s="15"/>
      <c r="BG654" s="15"/>
      <c r="BH654" s="15"/>
      <c r="BI654" s="15"/>
      <c r="BJ654" s="15"/>
      <c r="BK654" s="15"/>
      <c r="BL654" s="15"/>
      <c r="BM654" s="15"/>
      <c r="BN654" s="92"/>
      <c r="BO654" s="92"/>
      <c r="BP654" s="92"/>
      <c r="BQ654" s="92"/>
      <c r="BR654" s="92"/>
      <c r="BS654" s="92"/>
      <c r="BT654" s="92"/>
      <c r="BU654" s="92"/>
      <c r="BV654" s="92"/>
      <c r="BW654" s="92"/>
      <c r="BX654" s="92"/>
      <c r="BY654" s="92"/>
      <c r="BZ654" s="92"/>
      <c r="CA654" s="92"/>
      <c r="CB654" s="92"/>
      <c r="CC654" s="92"/>
      <c r="CD654" s="92"/>
      <c r="CE654" s="92"/>
      <c r="CF654" s="92"/>
      <c r="CG654" s="92"/>
      <c r="CH654" s="92"/>
      <c r="CI654" s="92"/>
      <c r="CJ654" s="92"/>
      <c r="CK654" s="92"/>
      <c r="CL654" s="92"/>
      <c r="CM654" s="92"/>
      <c r="CN654" s="92"/>
      <c r="CO654" s="92"/>
      <c r="CP654" s="92"/>
      <c r="CQ654" s="92"/>
      <c r="CR654" s="92"/>
      <c r="CS654" s="92"/>
      <c r="CT654" s="92"/>
      <c r="CU654" s="92"/>
      <c r="CV654" s="92"/>
      <c r="CW654" s="92"/>
      <c r="CX654" s="85"/>
      <c r="CY654" s="85"/>
      <c r="CZ654" s="85"/>
      <c r="DA654" s="85"/>
      <c r="DB654" s="85"/>
      <c r="DC654" s="85"/>
      <c r="DD654" s="85"/>
      <c r="DE654" s="85"/>
      <c r="DF654" s="85"/>
      <c r="DG654" s="85"/>
      <c r="DH654" s="85"/>
      <c r="DI654" s="85"/>
      <c r="DJ654" s="85"/>
      <c r="DK654" s="85"/>
      <c r="DL654" s="85"/>
      <c r="DM654" s="85"/>
      <c r="DN654" s="85"/>
      <c r="DO654" s="85"/>
      <c r="DP654" s="85"/>
    </row>
    <row r="655">
      <c r="A655" s="91"/>
      <c r="B655" s="91"/>
      <c r="C655" s="91"/>
      <c r="D655" s="91"/>
      <c r="E655" s="78"/>
      <c r="F655" s="15"/>
      <c r="G655" s="15"/>
      <c r="H655" s="91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  <c r="BH655" s="15"/>
      <c r="BI655" s="15"/>
      <c r="BJ655" s="15"/>
      <c r="BK655" s="15"/>
      <c r="BL655" s="15"/>
      <c r="BM655" s="15"/>
      <c r="BN655" s="92"/>
      <c r="BO655" s="92"/>
      <c r="BP655" s="92"/>
      <c r="BQ655" s="92"/>
      <c r="BR655" s="92"/>
      <c r="BS655" s="92"/>
      <c r="BT655" s="92"/>
      <c r="BU655" s="92"/>
      <c r="BV655" s="92"/>
      <c r="BW655" s="92"/>
      <c r="BX655" s="92"/>
      <c r="BY655" s="92"/>
      <c r="BZ655" s="92"/>
      <c r="CA655" s="92"/>
      <c r="CB655" s="92"/>
      <c r="CC655" s="92"/>
      <c r="CD655" s="92"/>
      <c r="CE655" s="92"/>
      <c r="CF655" s="92"/>
      <c r="CG655" s="92"/>
      <c r="CH655" s="92"/>
      <c r="CI655" s="92"/>
      <c r="CJ655" s="92"/>
      <c r="CK655" s="92"/>
      <c r="CL655" s="92"/>
      <c r="CM655" s="92"/>
      <c r="CN655" s="92"/>
      <c r="CO655" s="92"/>
      <c r="CP655" s="92"/>
      <c r="CQ655" s="92"/>
      <c r="CR655" s="92"/>
      <c r="CS655" s="92"/>
      <c r="CT655" s="92"/>
      <c r="CU655" s="92"/>
      <c r="CV655" s="92"/>
      <c r="CW655" s="92"/>
      <c r="CX655" s="85"/>
      <c r="CY655" s="85"/>
      <c r="CZ655" s="85"/>
      <c r="DA655" s="85"/>
      <c r="DB655" s="85"/>
      <c r="DC655" s="85"/>
      <c r="DD655" s="85"/>
      <c r="DE655" s="85"/>
      <c r="DF655" s="85"/>
      <c r="DG655" s="85"/>
      <c r="DH655" s="85"/>
      <c r="DI655" s="85"/>
      <c r="DJ655" s="85"/>
      <c r="DK655" s="85"/>
      <c r="DL655" s="85"/>
      <c r="DM655" s="85"/>
      <c r="DN655" s="85"/>
      <c r="DO655" s="85"/>
      <c r="DP655" s="85"/>
    </row>
    <row r="656">
      <c r="A656" s="91"/>
      <c r="B656" s="91"/>
      <c r="C656" s="91"/>
      <c r="D656" s="91"/>
      <c r="E656" s="78"/>
      <c r="F656" s="15"/>
      <c r="G656" s="15"/>
      <c r="H656" s="91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5"/>
      <c r="BE656" s="15"/>
      <c r="BF656" s="15"/>
      <c r="BG656" s="15"/>
      <c r="BH656" s="15"/>
      <c r="BI656" s="15"/>
      <c r="BJ656" s="15"/>
      <c r="BK656" s="15"/>
      <c r="BL656" s="15"/>
      <c r="BM656" s="15"/>
      <c r="BN656" s="92"/>
      <c r="BO656" s="92"/>
      <c r="BP656" s="92"/>
      <c r="BQ656" s="92"/>
      <c r="BR656" s="92"/>
      <c r="BS656" s="92"/>
      <c r="BT656" s="92"/>
      <c r="BU656" s="92"/>
      <c r="BV656" s="92"/>
      <c r="BW656" s="92"/>
      <c r="BX656" s="92"/>
      <c r="BY656" s="92"/>
      <c r="BZ656" s="92"/>
      <c r="CA656" s="92"/>
      <c r="CB656" s="92"/>
      <c r="CC656" s="92"/>
      <c r="CD656" s="92"/>
      <c r="CE656" s="92"/>
      <c r="CF656" s="92"/>
      <c r="CG656" s="92"/>
      <c r="CH656" s="92"/>
      <c r="CI656" s="92"/>
      <c r="CJ656" s="92"/>
      <c r="CK656" s="92"/>
      <c r="CL656" s="92"/>
      <c r="CM656" s="92"/>
      <c r="CN656" s="92"/>
      <c r="CO656" s="92"/>
      <c r="CP656" s="92"/>
      <c r="CQ656" s="92"/>
      <c r="CR656" s="92"/>
      <c r="CS656" s="92"/>
      <c r="CT656" s="92"/>
      <c r="CU656" s="92"/>
      <c r="CV656" s="92"/>
      <c r="CW656" s="92"/>
      <c r="CX656" s="85"/>
      <c r="CY656" s="85"/>
      <c r="CZ656" s="85"/>
      <c r="DA656" s="85"/>
      <c r="DB656" s="85"/>
      <c r="DC656" s="85"/>
      <c r="DD656" s="85"/>
      <c r="DE656" s="85"/>
      <c r="DF656" s="85"/>
      <c r="DG656" s="85"/>
      <c r="DH656" s="85"/>
      <c r="DI656" s="85"/>
      <c r="DJ656" s="85"/>
      <c r="DK656" s="85"/>
      <c r="DL656" s="85"/>
      <c r="DM656" s="85"/>
      <c r="DN656" s="85"/>
      <c r="DO656" s="85"/>
      <c r="DP656" s="85"/>
    </row>
    <row r="657">
      <c r="A657" s="91"/>
      <c r="B657" s="91"/>
      <c r="C657" s="91"/>
      <c r="D657" s="91"/>
      <c r="E657" s="78"/>
      <c r="F657" s="15"/>
      <c r="G657" s="15"/>
      <c r="H657" s="91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  <c r="BG657" s="15"/>
      <c r="BH657" s="15"/>
      <c r="BI657" s="15"/>
      <c r="BJ657" s="15"/>
      <c r="BK657" s="15"/>
      <c r="BL657" s="15"/>
      <c r="BM657" s="15"/>
      <c r="BN657" s="92"/>
      <c r="BO657" s="92"/>
      <c r="BP657" s="92"/>
      <c r="BQ657" s="92"/>
      <c r="BR657" s="92"/>
      <c r="BS657" s="92"/>
      <c r="BT657" s="92"/>
      <c r="BU657" s="92"/>
      <c r="BV657" s="92"/>
      <c r="BW657" s="92"/>
      <c r="BX657" s="92"/>
      <c r="BY657" s="92"/>
      <c r="BZ657" s="92"/>
      <c r="CA657" s="92"/>
      <c r="CB657" s="92"/>
      <c r="CC657" s="92"/>
      <c r="CD657" s="92"/>
      <c r="CE657" s="92"/>
      <c r="CF657" s="92"/>
      <c r="CG657" s="92"/>
      <c r="CH657" s="92"/>
      <c r="CI657" s="92"/>
      <c r="CJ657" s="92"/>
      <c r="CK657" s="92"/>
      <c r="CL657" s="92"/>
      <c r="CM657" s="92"/>
      <c r="CN657" s="92"/>
      <c r="CO657" s="92"/>
      <c r="CP657" s="92"/>
      <c r="CQ657" s="92"/>
      <c r="CR657" s="92"/>
      <c r="CS657" s="92"/>
      <c r="CT657" s="92"/>
      <c r="CU657" s="92"/>
      <c r="CV657" s="92"/>
      <c r="CW657" s="92"/>
      <c r="CX657" s="85"/>
      <c r="CY657" s="85"/>
      <c r="CZ657" s="85"/>
      <c r="DA657" s="85"/>
      <c r="DB657" s="85"/>
      <c r="DC657" s="85"/>
      <c r="DD657" s="85"/>
      <c r="DE657" s="85"/>
      <c r="DF657" s="85"/>
      <c r="DG657" s="85"/>
      <c r="DH657" s="85"/>
      <c r="DI657" s="85"/>
      <c r="DJ657" s="85"/>
      <c r="DK657" s="85"/>
      <c r="DL657" s="85"/>
      <c r="DM657" s="85"/>
      <c r="DN657" s="85"/>
      <c r="DO657" s="85"/>
      <c r="DP657" s="85"/>
    </row>
    <row r="658">
      <c r="A658" s="91"/>
      <c r="B658" s="91"/>
      <c r="C658" s="91"/>
      <c r="D658" s="91"/>
      <c r="E658" s="78"/>
      <c r="F658" s="15"/>
      <c r="G658" s="15"/>
      <c r="H658" s="91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15"/>
      <c r="BE658" s="15"/>
      <c r="BF658" s="15"/>
      <c r="BG658" s="15"/>
      <c r="BH658" s="15"/>
      <c r="BI658" s="15"/>
      <c r="BJ658" s="15"/>
      <c r="BK658" s="15"/>
      <c r="BL658" s="15"/>
      <c r="BM658" s="15"/>
      <c r="BN658" s="92"/>
      <c r="BO658" s="92"/>
      <c r="BP658" s="92"/>
      <c r="BQ658" s="92"/>
      <c r="BR658" s="92"/>
      <c r="BS658" s="92"/>
      <c r="BT658" s="92"/>
      <c r="BU658" s="92"/>
      <c r="BV658" s="92"/>
      <c r="BW658" s="92"/>
      <c r="BX658" s="92"/>
      <c r="BY658" s="92"/>
      <c r="BZ658" s="92"/>
      <c r="CA658" s="92"/>
      <c r="CB658" s="92"/>
      <c r="CC658" s="92"/>
      <c r="CD658" s="92"/>
      <c r="CE658" s="92"/>
      <c r="CF658" s="92"/>
      <c r="CG658" s="92"/>
      <c r="CH658" s="92"/>
      <c r="CI658" s="92"/>
      <c r="CJ658" s="92"/>
      <c r="CK658" s="92"/>
      <c r="CL658" s="92"/>
      <c r="CM658" s="92"/>
      <c r="CN658" s="92"/>
      <c r="CO658" s="92"/>
      <c r="CP658" s="92"/>
      <c r="CQ658" s="92"/>
      <c r="CR658" s="92"/>
      <c r="CS658" s="92"/>
      <c r="CT658" s="92"/>
      <c r="CU658" s="92"/>
      <c r="CV658" s="92"/>
      <c r="CW658" s="92"/>
      <c r="CX658" s="85"/>
      <c r="CY658" s="85"/>
      <c r="CZ658" s="85"/>
      <c r="DA658" s="85"/>
      <c r="DB658" s="85"/>
      <c r="DC658" s="85"/>
      <c r="DD658" s="85"/>
      <c r="DE658" s="85"/>
      <c r="DF658" s="85"/>
      <c r="DG658" s="85"/>
      <c r="DH658" s="85"/>
      <c r="DI658" s="85"/>
      <c r="DJ658" s="85"/>
      <c r="DK658" s="85"/>
      <c r="DL658" s="85"/>
      <c r="DM658" s="85"/>
      <c r="DN658" s="85"/>
      <c r="DO658" s="85"/>
      <c r="DP658" s="85"/>
    </row>
    <row r="659">
      <c r="A659" s="91"/>
      <c r="B659" s="91"/>
      <c r="C659" s="91"/>
      <c r="D659" s="91"/>
      <c r="E659" s="78"/>
      <c r="F659" s="15"/>
      <c r="G659" s="15"/>
      <c r="H659" s="91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  <c r="BH659" s="15"/>
      <c r="BI659" s="15"/>
      <c r="BJ659" s="15"/>
      <c r="BK659" s="15"/>
      <c r="BL659" s="15"/>
      <c r="BM659" s="15"/>
      <c r="BN659" s="92"/>
      <c r="BO659" s="92"/>
      <c r="BP659" s="92"/>
      <c r="BQ659" s="92"/>
      <c r="BR659" s="92"/>
      <c r="BS659" s="92"/>
      <c r="BT659" s="92"/>
      <c r="BU659" s="92"/>
      <c r="BV659" s="92"/>
      <c r="BW659" s="92"/>
      <c r="BX659" s="92"/>
      <c r="BY659" s="92"/>
      <c r="BZ659" s="92"/>
      <c r="CA659" s="92"/>
      <c r="CB659" s="92"/>
      <c r="CC659" s="92"/>
      <c r="CD659" s="92"/>
      <c r="CE659" s="92"/>
      <c r="CF659" s="92"/>
      <c r="CG659" s="92"/>
      <c r="CH659" s="92"/>
      <c r="CI659" s="92"/>
      <c r="CJ659" s="92"/>
      <c r="CK659" s="92"/>
      <c r="CL659" s="92"/>
      <c r="CM659" s="92"/>
      <c r="CN659" s="92"/>
      <c r="CO659" s="92"/>
      <c r="CP659" s="92"/>
      <c r="CQ659" s="92"/>
      <c r="CR659" s="92"/>
      <c r="CS659" s="92"/>
      <c r="CT659" s="92"/>
      <c r="CU659" s="92"/>
      <c r="CV659" s="92"/>
      <c r="CW659" s="92"/>
      <c r="CX659" s="85"/>
      <c r="CY659" s="85"/>
      <c r="CZ659" s="85"/>
      <c r="DA659" s="85"/>
      <c r="DB659" s="85"/>
      <c r="DC659" s="85"/>
      <c r="DD659" s="85"/>
      <c r="DE659" s="85"/>
      <c r="DF659" s="85"/>
      <c r="DG659" s="85"/>
      <c r="DH659" s="85"/>
      <c r="DI659" s="85"/>
      <c r="DJ659" s="85"/>
      <c r="DK659" s="85"/>
      <c r="DL659" s="85"/>
      <c r="DM659" s="85"/>
      <c r="DN659" s="85"/>
      <c r="DO659" s="85"/>
      <c r="DP659" s="85"/>
    </row>
    <row r="660">
      <c r="A660" s="91"/>
      <c r="B660" s="91"/>
      <c r="C660" s="91"/>
      <c r="D660" s="91"/>
      <c r="E660" s="78"/>
      <c r="F660" s="15"/>
      <c r="G660" s="15"/>
      <c r="H660" s="91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5"/>
      <c r="BE660" s="15"/>
      <c r="BF660" s="15"/>
      <c r="BG660" s="15"/>
      <c r="BH660" s="15"/>
      <c r="BI660" s="15"/>
      <c r="BJ660" s="15"/>
      <c r="BK660" s="15"/>
      <c r="BL660" s="15"/>
      <c r="BM660" s="15"/>
      <c r="BN660" s="92"/>
      <c r="BO660" s="92"/>
      <c r="BP660" s="92"/>
      <c r="BQ660" s="92"/>
      <c r="BR660" s="92"/>
      <c r="BS660" s="92"/>
      <c r="BT660" s="92"/>
      <c r="BU660" s="92"/>
      <c r="BV660" s="92"/>
      <c r="BW660" s="92"/>
      <c r="BX660" s="92"/>
      <c r="BY660" s="92"/>
      <c r="BZ660" s="92"/>
      <c r="CA660" s="92"/>
      <c r="CB660" s="92"/>
      <c r="CC660" s="92"/>
      <c r="CD660" s="92"/>
      <c r="CE660" s="92"/>
      <c r="CF660" s="92"/>
      <c r="CG660" s="92"/>
      <c r="CH660" s="92"/>
      <c r="CI660" s="92"/>
      <c r="CJ660" s="92"/>
      <c r="CK660" s="92"/>
      <c r="CL660" s="92"/>
      <c r="CM660" s="92"/>
      <c r="CN660" s="92"/>
      <c r="CO660" s="92"/>
      <c r="CP660" s="92"/>
      <c r="CQ660" s="92"/>
      <c r="CR660" s="92"/>
      <c r="CS660" s="92"/>
      <c r="CT660" s="92"/>
      <c r="CU660" s="92"/>
      <c r="CV660" s="92"/>
      <c r="CW660" s="92"/>
      <c r="CX660" s="85"/>
      <c r="CY660" s="85"/>
      <c r="CZ660" s="85"/>
      <c r="DA660" s="85"/>
      <c r="DB660" s="85"/>
      <c r="DC660" s="85"/>
      <c r="DD660" s="85"/>
      <c r="DE660" s="85"/>
      <c r="DF660" s="85"/>
      <c r="DG660" s="85"/>
      <c r="DH660" s="85"/>
      <c r="DI660" s="85"/>
      <c r="DJ660" s="85"/>
      <c r="DK660" s="85"/>
      <c r="DL660" s="85"/>
      <c r="DM660" s="85"/>
      <c r="DN660" s="85"/>
      <c r="DO660" s="85"/>
      <c r="DP660" s="85"/>
    </row>
    <row r="661">
      <c r="A661" s="91"/>
      <c r="B661" s="91"/>
      <c r="C661" s="91"/>
      <c r="D661" s="91"/>
      <c r="E661" s="78"/>
      <c r="F661" s="15"/>
      <c r="G661" s="15"/>
      <c r="H661" s="91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  <c r="BH661" s="15"/>
      <c r="BI661" s="15"/>
      <c r="BJ661" s="15"/>
      <c r="BK661" s="15"/>
      <c r="BL661" s="15"/>
      <c r="BM661" s="15"/>
      <c r="BN661" s="92"/>
      <c r="BO661" s="92"/>
      <c r="BP661" s="92"/>
      <c r="BQ661" s="92"/>
      <c r="BR661" s="92"/>
      <c r="BS661" s="92"/>
      <c r="BT661" s="92"/>
      <c r="BU661" s="92"/>
      <c r="BV661" s="92"/>
      <c r="BW661" s="92"/>
      <c r="BX661" s="92"/>
      <c r="BY661" s="92"/>
      <c r="BZ661" s="92"/>
      <c r="CA661" s="92"/>
      <c r="CB661" s="92"/>
      <c r="CC661" s="92"/>
      <c r="CD661" s="92"/>
      <c r="CE661" s="92"/>
      <c r="CF661" s="92"/>
      <c r="CG661" s="92"/>
      <c r="CH661" s="92"/>
      <c r="CI661" s="92"/>
      <c r="CJ661" s="92"/>
      <c r="CK661" s="92"/>
      <c r="CL661" s="92"/>
      <c r="CM661" s="92"/>
      <c r="CN661" s="92"/>
      <c r="CO661" s="92"/>
      <c r="CP661" s="92"/>
      <c r="CQ661" s="92"/>
      <c r="CR661" s="92"/>
      <c r="CS661" s="92"/>
      <c r="CT661" s="92"/>
      <c r="CU661" s="92"/>
      <c r="CV661" s="92"/>
      <c r="CW661" s="92"/>
      <c r="CX661" s="85"/>
      <c r="CY661" s="85"/>
      <c r="CZ661" s="85"/>
      <c r="DA661" s="85"/>
      <c r="DB661" s="85"/>
      <c r="DC661" s="85"/>
      <c r="DD661" s="85"/>
      <c r="DE661" s="85"/>
      <c r="DF661" s="85"/>
      <c r="DG661" s="85"/>
      <c r="DH661" s="85"/>
      <c r="DI661" s="85"/>
      <c r="DJ661" s="85"/>
      <c r="DK661" s="85"/>
      <c r="DL661" s="85"/>
      <c r="DM661" s="85"/>
      <c r="DN661" s="85"/>
      <c r="DO661" s="85"/>
      <c r="DP661" s="85"/>
    </row>
    <row r="662">
      <c r="A662" s="91"/>
      <c r="B662" s="91"/>
      <c r="C662" s="91"/>
      <c r="D662" s="91"/>
      <c r="E662" s="78"/>
      <c r="F662" s="15"/>
      <c r="G662" s="15"/>
      <c r="H662" s="91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  <c r="BE662" s="15"/>
      <c r="BF662" s="15"/>
      <c r="BG662" s="15"/>
      <c r="BH662" s="15"/>
      <c r="BI662" s="15"/>
      <c r="BJ662" s="15"/>
      <c r="BK662" s="15"/>
      <c r="BL662" s="15"/>
      <c r="BM662" s="15"/>
      <c r="BN662" s="92"/>
      <c r="BO662" s="92"/>
      <c r="BP662" s="92"/>
      <c r="BQ662" s="92"/>
      <c r="BR662" s="92"/>
      <c r="BS662" s="92"/>
      <c r="BT662" s="92"/>
      <c r="BU662" s="92"/>
      <c r="BV662" s="92"/>
      <c r="BW662" s="92"/>
      <c r="BX662" s="92"/>
      <c r="BY662" s="92"/>
      <c r="BZ662" s="92"/>
      <c r="CA662" s="92"/>
      <c r="CB662" s="92"/>
      <c r="CC662" s="92"/>
      <c r="CD662" s="92"/>
      <c r="CE662" s="92"/>
      <c r="CF662" s="92"/>
      <c r="CG662" s="92"/>
      <c r="CH662" s="92"/>
      <c r="CI662" s="92"/>
      <c r="CJ662" s="92"/>
      <c r="CK662" s="92"/>
      <c r="CL662" s="92"/>
      <c r="CM662" s="92"/>
      <c r="CN662" s="92"/>
      <c r="CO662" s="92"/>
      <c r="CP662" s="92"/>
      <c r="CQ662" s="92"/>
      <c r="CR662" s="92"/>
      <c r="CS662" s="92"/>
      <c r="CT662" s="92"/>
      <c r="CU662" s="92"/>
      <c r="CV662" s="92"/>
      <c r="CW662" s="92"/>
      <c r="CX662" s="85"/>
      <c r="CY662" s="85"/>
      <c r="CZ662" s="85"/>
      <c r="DA662" s="85"/>
      <c r="DB662" s="85"/>
      <c r="DC662" s="85"/>
      <c r="DD662" s="85"/>
      <c r="DE662" s="85"/>
      <c r="DF662" s="85"/>
      <c r="DG662" s="85"/>
      <c r="DH662" s="85"/>
      <c r="DI662" s="85"/>
      <c r="DJ662" s="85"/>
      <c r="DK662" s="85"/>
      <c r="DL662" s="85"/>
      <c r="DM662" s="85"/>
      <c r="DN662" s="85"/>
      <c r="DO662" s="85"/>
      <c r="DP662" s="85"/>
    </row>
    <row r="663">
      <c r="A663" s="91"/>
      <c r="B663" s="91"/>
      <c r="C663" s="91"/>
      <c r="D663" s="91"/>
      <c r="E663" s="78"/>
      <c r="F663" s="15"/>
      <c r="G663" s="15"/>
      <c r="H663" s="91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  <c r="BE663" s="15"/>
      <c r="BF663" s="15"/>
      <c r="BG663" s="15"/>
      <c r="BH663" s="15"/>
      <c r="BI663" s="15"/>
      <c r="BJ663" s="15"/>
      <c r="BK663" s="15"/>
      <c r="BL663" s="15"/>
      <c r="BM663" s="15"/>
      <c r="BN663" s="92"/>
      <c r="BO663" s="92"/>
      <c r="BP663" s="92"/>
      <c r="BQ663" s="92"/>
      <c r="BR663" s="92"/>
      <c r="BS663" s="92"/>
      <c r="BT663" s="92"/>
      <c r="BU663" s="92"/>
      <c r="BV663" s="92"/>
      <c r="BW663" s="92"/>
      <c r="BX663" s="92"/>
      <c r="BY663" s="92"/>
      <c r="BZ663" s="92"/>
      <c r="CA663" s="92"/>
      <c r="CB663" s="92"/>
      <c r="CC663" s="92"/>
      <c r="CD663" s="92"/>
      <c r="CE663" s="92"/>
      <c r="CF663" s="92"/>
      <c r="CG663" s="92"/>
      <c r="CH663" s="92"/>
      <c r="CI663" s="92"/>
      <c r="CJ663" s="92"/>
      <c r="CK663" s="92"/>
      <c r="CL663" s="92"/>
      <c r="CM663" s="92"/>
      <c r="CN663" s="92"/>
      <c r="CO663" s="92"/>
      <c r="CP663" s="92"/>
      <c r="CQ663" s="92"/>
      <c r="CR663" s="92"/>
      <c r="CS663" s="92"/>
      <c r="CT663" s="92"/>
      <c r="CU663" s="92"/>
      <c r="CV663" s="92"/>
      <c r="CW663" s="92"/>
      <c r="CX663" s="85"/>
      <c r="CY663" s="85"/>
      <c r="CZ663" s="85"/>
      <c r="DA663" s="85"/>
      <c r="DB663" s="85"/>
      <c r="DC663" s="85"/>
      <c r="DD663" s="85"/>
      <c r="DE663" s="85"/>
      <c r="DF663" s="85"/>
      <c r="DG663" s="85"/>
      <c r="DH663" s="85"/>
      <c r="DI663" s="85"/>
      <c r="DJ663" s="85"/>
      <c r="DK663" s="85"/>
      <c r="DL663" s="85"/>
      <c r="DM663" s="85"/>
      <c r="DN663" s="85"/>
      <c r="DO663" s="85"/>
      <c r="DP663" s="85"/>
    </row>
    <row r="664">
      <c r="A664" s="91"/>
      <c r="B664" s="91"/>
      <c r="C664" s="91"/>
      <c r="D664" s="91"/>
      <c r="E664" s="78"/>
      <c r="F664" s="15"/>
      <c r="G664" s="15"/>
      <c r="H664" s="91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5"/>
      <c r="BE664" s="15"/>
      <c r="BF664" s="15"/>
      <c r="BG664" s="15"/>
      <c r="BH664" s="15"/>
      <c r="BI664" s="15"/>
      <c r="BJ664" s="15"/>
      <c r="BK664" s="15"/>
      <c r="BL664" s="15"/>
      <c r="BM664" s="15"/>
      <c r="BN664" s="92"/>
      <c r="BO664" s="92"/>
      <c r="BP664" s="92"/>
      <c r="BQ664" s="92"/>
      <c r="BR664" s="92"/>
      <c r="BS664" s="92"/>
      <c r="BT664" s="92"/>
      <c r="BU664" s="92"/>
      <c r="BV664" s="92"/>
      <c r="BW664" s="92"/>
      <c r="BX664" s="92"/>
      <c r="BY664" s="92"/>
      <c r="BZ664" s="92"/>
      <c r="CA664" s="92"/>
      <c r="CB664" s="92"/>
      <c r="CC664" s="92"/>
      <c r="CD664" s="92"/>
      <c r="CE664" s="92"/>
      <c r="CF664" s="92"/>
      <c r="CG664" s="92"/>
      <c r="CH664" s="92"/>
      <c r="CI664" s="92"/>
      <c r="CJ664" s="92"/>
      <c r="CK664" s="92"/>
      <c r="CL664" s="92"/>
      <c r="CM664" s="92"/>
      <c r="CN664" s="92"/>
      <c r="CO664" s="92"/>
      <c r="CP664" s="92"/>
      <c r="CQ664" s="92"/>
      <c r="CR664" s="92"/>
      <c r="CS664" s="92"/>
      <c r="CT664" s="92"/>
      <c r="CU664" s="92"/>
      <c r="CV664" s="92"/>
      <c r="CW664" s="92"/>
      <c r="CX664" s="85"/>
      <c r="CY664" s="85"/>
      <c r="CZ664" s="85"/>
      <c r="DA664" s="85"/>
      <c r="DB664" s="85"/>
      <c r="DC664" s="85"/>
      <c r="DD664" s="85"/>
      <c r="DE664" s="85"/>
      <c r="DF664" s="85"/>
      <c r="DG664" s="85"/>
      <c r="DH664" s="85"/>
      <c r="DI664" s="85"/>
      <c r="DJ664" s="85"/>
      <c r="DK664" s="85"/>
      <c r="DL664" s="85"/>
      <c r="DM664" s="85"/>
      <c r="DN664" s="85"/>
      <c r="DO664" s="85"/>
      <c r="DP664" s="85"/>
    </row>
    <row r="665">
      <c r="A665" s="91"/>
      <c r="B665" s="91"/>
      <c r="C665" s="91"/>
      <c r="D665" s="91"/>
      <c r="E665" s="78"/>
      <c r="F665" s="15"/>
      <c r="G665" s="15"/>
      <c r="H665" s="91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  <c r="BH665" s="15"/>
      <c r="BI665" s="15"/>
      <c r="BJ665" s="15"/>
      <c r="BK665" s="15"/>
      <c r="BL665" s="15"/>
      <c r="BM665" s="15"/>
      <c r="BN665" s="92"/>
      <c r="BO665" s="92"/>
      <c r="BP665" s="92"/>
      <c r="BQ665" s="92"/>
      <c r="BR665" s="92"/>
      <c r="BS665" s="92"/>
      <c r="BT665" s="92"/>
      <c r="BU665" s="92"/>
      <c r="BV665" s="92"/>
      <c r="BW665" s="92"/>
      <c r="BX665" s="92"/>
      <c r="BY665" s="92"/>
      <c r="BZ665" s="92"/>
      <c r="CA665" s="92"/>
      <c r="CB665" s="92"/>
      <c r="CC665" s="92"/>
      <c r="CD665" s="92"/>
      <c r="CE665" s="92"/>
      <c r="CF665" s="92"/>
      <c r="CG665" s="92"/>
      <c r="CH665" s="92"/>
      <c r="CI665" s="92"/>
      <c r="CJ665" s="92"/>
      <c r="CK665" s="92"/>
      <c r="CL665" s="92"/>
      <c r="CM665" s="92"/>
      <c r="CN665" s="92"/>
      <c r="CO665" s="92"/>
      <c r="CP665" s="92"/>
      <c r="CQ665" s="92"/>
      <c r="CR665" s="92"/>
      <c r="CS665" s="92"/>
      <c r="CT665" s="92"/>
      <c r="CU665" s="92"/>
      <c r="CV665" s="92"/>
      <c r="CW665" s="92"/>
      <c r="CX665" s="85"/>
      <c r="CY665" s="85"/>
      <c r="CZ665" s="85"/>
      <c r="DA665" s="85"/>
      <c r="DB665" s="85"/>
      <c r="DC665" s="85"/>
      <c r="DD665" s="85"/>
      <c r="DE665" s="85"/>
      <c r="DF665" s="85"/>
      <c r="DG665" s="85"/>
      <c r="DH665" s="85"/>
      <c r="DI665" s="85"/>
      <c r="DJ665" s="85"/>
      <c r="DK665" s="85"/>
      <c r="DL665" s="85"/>
      <c r="DM665" s="85"/>
      <c r="DN665" s="85"/>
      <c r="DO665" s="85"/>
      <c r="DP665" s="85"/>
    </row>
    <row r="666">
      <c r="A666" s="91"/>
      <c r="B666" s="91"/>
      <c r="C666" s="91"/>
      <c r="D666" s="91"/>
      <c r="E666" s="78"/>
      <c r="F666" s="15"/>
      <c r="G666" s="15"/>
      <c r="H666" s="91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5"/>
      <c r="BE666" s="15"/>
      <c r="BF666" s="15"/>
      <c r="BG666" s="15"/>
      <c r="BH666" s="15"/>
      <c r="BI666" s="15"/>
      <c r="BJ666" s="15"/>
      <c r="BK666" s="15"/>
      <c r="BL666" s="15"/>
      <c r="BM666" s="15"/>
      <c r="BN666" s="92"/>
      <c r="BO666" s="92"/>
      <c r="BP666" s="92"/>
      <c r="BQ666" s="92"/>
      <c r="BR666" s="92"/>
      <c r="BS666" s="92"/>
      <c r="BT666" s="92"/>
      <c r="BU666" s="92"/>
      <c r="BV666" s="92"/>
      <c r="BW666" s="92"/>
      <c r="BX666" s="92"/>
      <c r="BY666" s="92"/>
      <c r="BZ666" s="92"/>
      <c r="CA666" s="92"/>
      <c r="CB666" s="92"/>
      <c r="CC666" s="92"/>
      <c r="CD666" s="92"/>
      <c r="CE666" s="92"/>
      <c r="CF666" s="92"/>
      <c r="CG666" s="92"/>
      <c r="CH666" s="92"/>
      <c r="CI666" s="92"/>
      <c r="CJ666" s="92"/>
      <c r="CK666" s="92"/>
      <c r="CL666" s="92"/>
      <c r="CM666" s="92"/>
      <c r="CN666" s="92"/>
      <c r="CO666" s="92"/>
      <c r="CP666" s="92"/>
      <c r="CQ666" s="92"/>
      <c r="CR666" s="92"/>
      <c r="CS666" s="92"/>
      <c r="CT666" s="92"/>
      <c r="CU666" s="92"/>
      <c r="CV666" s="92"/>
      <c r="CW666" s="92"/>
      <c r="CX666" s="85"/>
      <c r="CY666" s="85"/>
      <c r="CZ666" s="85"/>
      <c r="DA666" s="85"/>
      <c r="DB666" s="85"/>
      <c r="DC666" s="85"/>
      <c r="DD666" s="85"/>
      <c r="DE666" s="85"/>
      <c r="DF666" s="85"/>
      <c r="DG666" s="85"/>
      <c r="DH666" s="85"/>
      <c r="DI666" s="85"/>
      <c r="DJ666" s="85"/>
      <c r="DK666" s="85"/>
      <c r="DL666" s="85"/>
      <c r="DM666" s="85"/>
      <c r="DN666" s="85"/>
      <c r="DO666" s="85"/>
      <c r="DP666" s="85"/>
    </row>
    <row r="667">
      <c r="A667" s="91"/>
      <c r="B667" s="91"/>
      <c r="C667" s="91"/>
      <c r="D667" s="91"/>
      <c r="E667" s="78"/>
      <c r="F667" s="15"/>
      <c r="G667" s="15"/>
      <c r="H667" s="91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  <c r="BH667" s="15"/>
      <c r="BI667" s="15"/>
      <c r="BJ667" s="15"/>
      <c r="BK667" s="15"/>
      <c r="BL667" s="15"/>
      <c r="BM667" s="15"/>
      <c r="BN667" s="92"/>
      <c r="BO667" s="92"/>
      <c r="BP667" s="92"/>
      <c r="BQ667" s="92"/>
      <c r="BR667" s="92"/>
      <c r="BS667" s="92"/>
      <c r="BT667" s="92"/>
      <c r="BU667" s="92"/>
      <c r="BV667" s="92"/>
      <c r="BW667" s="92"/>
      <c r="BX667" s="92"/>
      <c r="BY667" s="92"/>
      <c r="BZ667" s="92"/>
      <c r="CA667" s="92"/>
      <c r="CB667" s="92"/>
      <c r="CC667" s="92"/>
      <c r="CD667" s="92"/>
      <c r="CE667" s="92"/>
      <c r="CF667" s="92"/>
      <c r="CG667" s="92"/>
      <c r="CH667" s="92"/>
      <c r="CI667" s="92"/>
      <c r="CJ667" s="92"/>
      <c r="CK667" s="92"/>
      <c r="CL667" s="92"/>
      <c r="CM667" s="92"/>
      <c r="CN667" s="92"/>
      <c r="CO667" s="92"/>
      <c r="CP667" s="92"/>
      <c r="CQ667" s="92"/>
      <c r="CR667" s="92"/>
      <c r="CS667" s="92"/>
      <c r="CT667" s="92"/>
      <c r="CU667" s="92"/>
      <c r="CV667" s="92"/>
      <c r="CW667" s="92"/>
      <c r="CX667" s="85"/>
      <c r="CY667" s="85"/>
      <c r="CZ667" s="85"/>
      <c r="DA667" s="85"/>
      <c r="DB667" s="85"/>
      <c r="DC667" s="85"/>
      <c r="DD667" s="85"/>
      <c r="DE667" s="85"/>
      <c r="DF667" s="85"/>
      <c r="DG667" s="85"/>
      <c r="DH667" s="85"/>
      <c r="DI667" s="85"/>
      <c r="DJ667" s="85"/>
      <c r="DK667" s="85"/>
      <c r="DL667" s="85"/>
      <c r="DM667" s="85"/>
      <c r="DN667" s="85"/>
      <c r="DO667" s="85"/>
      <c r="DP667" s="85"/>
    </row>
    <row r="668">
      <c r="A668" s="91"/>
      <c r="B668" s="91"/>
      <c r="C668" s="91"/>
      <c r="D668" s="91"/>
      <c r="E668" s="78"/>
      <c r="F668" s="15"/>
      <c r="G668" s="15"/>
      <c r="H668" s="91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5"/>
      <c r="BE668" s="15"/>
      <c r="BF668" s="15"/>
      <c r="BG668" s="15"/>
      <c r="BH668" s="15"/>
      <c r="BI668" s="15"/>
      <c r="BJ668" s="15"/>
      <c r="BK668" s="15"/>
      <c r="BL668" s="15"/>
      <c r="BM668" s="15"/>
      <c r="BN668" s="92"/>
      <c r="BO668" s="92"/>
      <c r="BP668" s="92"/>
      <c r="BQ668" s="92"/>
      <c r="BR668" s="92"/>
      <c r="BS668" s="92"/>
      <c r="BT668" s="92"/>
      <c r="BU668" s="92"/>
      <c r="BV668" s="92"/>
      <c r="BW668" s="92"/>
      <c r="BX668" s="92"/>
      <c r="BY668" s="92"/>
      <c r="BZ668" s="92"/>
      <c r="CA668" s="92"/>
      <c r="CB668" s="92"/>
      <c r="CC668" s="92"/>
      <c r="CD668" s="92"/>
      <c r="CE668" s="92"/>
      <c r="CF668" s="92"/>
      <c r="CG668" s="92"/>
      <c r="CH668" s="92"/>
      <c r="CI668" s="92"/>
      <c r="CJ668" s="92"/>
      <c r="CK668" s="92"/>
      <c r="CL668" s="92"/>
      <c r="CM668" s="92"/>
      <c r="CN668" s="92"/>
      <c r="CO668" s="92"/>
      <c r="CP668" s="92"/>
      <c r="CQ668" s="92"/>
      <c r="CR668" s="92"/>
      <c r="CS668" s="92"/>
      <c r="CT668" s="92"/>
      <c r="CU668" s="92"/>
      <c r="CV668" s="92"/>
      <c r="CW668" s="92"/>
      <c r="CX668" s="85"/>
      <c r="CY668" s="85"/>
      <c r="CZ668" s="85"/>
      <c r="DA668" s="85"/>
      <c r="DB668" s="85"/>
      <c r="DC668" s="85"/>
      <c r="DD668" s="85"/>
      <c r="DE668" s="85"/>
      <c r="DF668" s="85"/>
      <c r="DG668" s="85"/>
      <c r="DH668" s="85"/>
      <c r="DI668" s="85"/>
      <c r="DJ668" s="85"/>
      <c r="DK668" s="85"/>
      <c r="DL668" s="85"/>
      <c r="DM668" s="85"/>
      <c r="DN668" s="85"/>
      <c r="DO668" s="85"/>
      <c r="DP668" s="85"/>
    </row>
    <row r="669">
      <c r="A669" s="91"/>
      <c r="B669" s="91"/>
      <c r="C669" s="91"/>
      <c r="D669" s="91"/>
      <c r="E669" s="78"/>
      <c r="F669" s="15"/>
      <c r="G669" s="15"/>
      <c r="H669" s="91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  <c r="BH669" s="15"/>
      <c r="BI669" s="15"/>
      <c r="BJ669" s="15"/>
      <c r="BK669" s="15"/>
      <c r="BL669" s="15"/>
      <c r="BM669" s="15"/>
      <c r="BN669" s="92"/>
      <c r="BO669" s="92"/>
      <c r="BP669" s="92"/>
      <c r="BQ669" s="92"/>
      <c r="BR669" s="92"/>
      <c r="BS669" s="92"/>
      <c r="BT669" s="92"/>
      <c r="BU669" s="92"/>
      <c r="BV669" s="92"/>
      <c r="BW669" s="92"/>
      <c r="BX669" s="92"/>
      <c r="BY669" s="92"/>
      <c r="BZ669" s="92"/>
      <c r="CA669" s="92"/>
      <c r="CB669" s="92"/>
      <c r="CC669" s="92"/>
      <c r="CD669" s="92"/>
      <c r="CE669" s="92"/>
      <c r="CF669" s="92"/>
      <c r="CG669" s="92"/>
      <c r="CH669" s="92"/>
      <c r="CI669" s="92"/>
      <c r="CJ669" s="92"/>
      <c r="CK669" s="92"/>
      <c r="CL669" s="92"/>
      <c r="CM669" s="92"/>
      <c r="CN669" s="92"/>
      <c r="CO669" s="92"/>
      <c r="CP669" s="92"/>
      <c r="CQ669" s="92"/>
      <c r="CR669" s="92"/>
      <c r="CS669" s="92"/>
      <c r="CT669" s="92"/>
      <c r="CU669" s="92"/>
      <c r="CV669" s="92"/>
      <c r="CW669" s="92"/>
      <c r="CX669" s="85"/>
      <c r="CY669" s="85"/>
      <c r="CZ669" s="85"/>
      <c r="DA669" s="85"/>
      <c r="DB669" s="85"/>
      <c r="DC669" s="85"/>
      <c r="DD669" s="85"/>
      <c r="DE669" s="85"/>
      <c r="DF669" s="85"/>
      <c r="DG669" s="85"/>
      <c r="DH669" s="85"/>
      <c r="DI669" s="85"/>
      <c r="DJ669" s="85"/>
      <c r="DK669" s="85"/>
      <c r="DL669" s="85"/>
      <c r="DM669" s="85"/>
      <c r="DN669" s="85"/>
      <c r="DO669" s="85"/>
      <c r="DP669" s="85"/>
    </row>
    <row r="670">
      <c r="A670" s="91"/>
      <c r="B670" s="91"/>
      <c r="C670" s="91"/>
      <c r="D670" s="91"/>
      <c r="E670" s="78"/>
      <c r="F670" s="15"/>
      <c r="G670" s="15"/>
      <c r="H670" s="91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5"/>
      <c r="BE670" s="15"/>
      <c r="BF670" s="15"/>
      <c r="BG670" s="15"/>
      <c r="BH670" s="15"/>
      <c r="BI670" s="15"/>
      <c r="BJ670" s="15"/>
      <c r="BK670" s="15"/>
      <c r="BL670" s="15"/>
      <c r="BM670" s="15"/>
      <c r="BN670" s="92"/>
      <c r="BO670" s="92"/>
      <c r="BP670" s="92"/>
      <c r="BQ670" s="92"/>
      <c r="BR670" s="92"/>
      <c r="BS670" s="92"/>
      <c r="BT670" s="92"/>
      <c r="BU670" s="92"/>
      <c r="BV670" s="92"/>
      <c r="BW670" s="92"/>
      <c r="BX670" s="92"/>
      <c r="BY670" s="92"/>
      <c r="BZ670" s="92"/>
      <c r="CA670" s="92"/>
      <c r="CB670" s="92"/>
      <c r="CC670" s="92"/>
      <c r="CD670" s="92"/>
      <c r="CE670" s="92"/>
      <c r="CF670" s="92"/>
      <c r="CG670" s="92"/>
      <c r="CH670" s="92"/>
      <c r="CI670" s="92"/>
      <c r="CJ670" s="92"/>
      <c r="CK670" s="92"/>
      <c r="CL670" s="92"/>
      <c r="CM670" s="92"/>
      <c r="CN670" s="92"/>
      <c r="CO670" s="92"/>
      <c r="CP670" s="92"/>
      <c r="CQ670" s="92"/>
      <c r="CR670" s="92"/>
      <c r="CS670" s="92"/>
      <c r="CT670" s="92"/>
      <c r="CU670" s="92"/>
      <c r="CV670" s="92"/>
      <c r="CW670" s="92"/>
      <c r="CX670" s="85"/>
      <c r="CY670" s="85"/>
      <c r="CZ670" s="85"/>
      <c r="DA670" s="85"/>
      <c r="DB670" s="85"/>
      <c r="DC670" s="85"/>
      <c r="DD670" s="85"/>
      <c r="DE670" s="85"/>
      <c r="DF670" s="85"/>
      <c r="DG670" s="85"/>
      <c r="DH670" s="85"/>
      <c r="DI670" s="85"/>
      <c r="DJ670" s="85"/>
      <c r="DK670" s="85"/>
      <c r="DL670" s="85"/>
      <c r="DM670" s="85"/>
      <c r="DN670" s="85"/>
      <c r="DO670" s="85"/>
      <c r="DP670" s="85"/>
    </row>
    <row r="671">
      <c r="A671" s="91"/>
      <c r="B671" s="91"/>
      <c r="C671" s="91"/>
      <c r="D671" s="91"/>
      <c r="E671" s="78"/>
      <c r="F671" s="15"/>
      <c r="G671" s="15"/>
      <c r="H671" s="91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  <c r="BH671" s="15"/>
      <c r="BI671" s="15"/>
      <c r="BJ671" s="15"/>
      <c r="BK671" s="15"/>
      <c r="BL671" s="15"/>
      <c r="BM671" s="15"/>
      <c r="BN671" s="92"/>
      <c r="BO671" s="92"/>
      <c r="BP671" s="92"/>
      <c r="BQ671" s="92"/>
      <c r="BR671" s="92"/>
      <c r="BS671" s="92"/>
      <c r="BT671" s="92"/>
      <c r="BU671" s="92"/>
      <c r="BV671" s="92"/>
      <c r="BW671" s="92"/>
      <c r="BX671" s="92"/>
      <c r="BY671" s="92"/>
      <c r="BZ671" s="92"/>
      <c r="CA671" s="92"/>
      <c r="CB671" s="92"/>
      <c r="CC671" s="92"/>
      <c r="CD671" s="92"/>
      <c r="CE671" s="92"/>
      <c r="CF671" s="92"/>
      <c r="CG671" s="92"/>
      <c r="CH671" s="92"/>
      <c r="CI671" s="92"/>
      <c r="CJ671" s="92"/>
      <c r="CK671" s="92"/>
      <c r="CL671" s="92"/>
      <c r="CM671" s="92"/>
      <c r="CN671" s="92"/>
      <c r="CO671" s="92"/>
      <c r="CP671" s="92"/>
      <c r="CQ671" s="92"/>
      <c r="CR671" s="92"/>
      <c r="CS671" s="92"/>
      <c r="CT671" s="92"/>
      <c r="CU671" s="92"/>
      <c r="CV671" s="92"/>
      <c r="CW671" s="92"/>
      <c r="CX671" s="85"/>
      <c r="CY671" s="85"/>
      <c r="CZ671" s="85"/>
      <c r="DA671" s="85"/>
      <c r="DB671" s="85"/>
      <c r="DC671" s="85"/>
      <c r="DD671" s="85"/>
      <c r="DE671" s="85"/>
      <c r="DF671" s="85"/>
      <c r="DG671" s="85"/>
      <c r="DH671" s="85"/>
      <c r="DI671" s="85"/>
      <c r="DJ671" s="85"/>
      <c r="DK671" s="85"/>
      <c r="DL671" s="85"/>
      <c r="DM671" s="85"/>
      <c r="DN671" s="85"/>
      <c r="DO671" s="85"/>
      <c r="DP671" s="85"/>
    </row>
    <row r="672">
      <c r="A672" s="91"/>
      <c r="B672" s="91"/>
      <c r="C672" s="91"/>
      <c r="D672" s="91"/>
      <c r="E672" s="78"/>
      <c r="F672" s="15"/>
      <c r="G672" s="15"/>
      <c r="H672" s="91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15"/>
      <c r="BE672" s="15"/>
      <c r="BF672" s="15"/>
      <c r="BG672" s="15"/>
      <c r="BH672" s="15"/>
      <c r="BI672" s="15"/>
      <c r="BJ672" s="15"/>
      <c r="BK672" s="15"/>
      <c r="BL672" s="15"/>
      <c r="BM672" s="15"/>
      <c r="BN672" s="92"/>
      <c r="BO672" s="92"/>
      <c r="BP672" s="92"/>
      <c r="BQ672" s="92"/>
      <c r="BR672" s="92"/>
      <c r="BS672" s="92"/>
      <c r="BT672" s="92"/>
      <c r="BU672" s="92"/>
      <c r="BV672" s="92"/>
      <c r="BW672" s="92"/>
      <c r="BX672" s="92"/>
      <c r="BY672" s="92"/>
      <c r="BZ672" s="92"/>
      <c r="CA672" s="92"/>
      <c r="CB672" s="92"/>
      <c r="CC672" s="92"/>
      <c r="CD672" s="92"/>
      <c r="CE672" s="92"/>
      <c r="CF672" s="92"/>
      <c r="CG672" s="92"/>
      <c r="CH672" s="92"/>
      <c r="CI672" s="92"/>
      <c r="CJ672" s="92"/>
      <c r="CK672" s="92"/>
      <c r="CL672" s="92"/>
      <c r="CM672" s="92"/>
      <c r="CN672" s="92"/>
      <c r="CO672" s="92"/>
      <c r="CP672" s="92"/>
      <c r="CQ672" s="92"/>
      <c r="CR672" s="92"/>
      <c r="CS672" s="92"/>
      <c r="CT672" s="92"/>
      <c r="CU672" s="92"/>
      <c r="CV672" s="92"/>
      <c r="CW672" s="92"/>
      <c r="CX672" s="85"/>
      <c r="CY672" s="85"/>
      <c r="CZ672" s="85"/>
      <c r="DA672" s="85"/>
      <c r="DB672" s="85"/>
      <c r="DC672" s="85"/>
      <c r="DD672" s="85"/>
      <c r="DE672" s="85"/>
      <c r="DF672" s="85"/>
      <c r="DG672" s="85"/>
      <c r="DH672" s="85"/>
      <c r="DI672" s="85"/>
      <c r="DJ672" s="85"/>
      <c r="DK672" s="85"/>
      <c r="DL672" s="85"/>
      <c r="DM672" s="85"/>
      <c r="DN672" s="85"/>
      <c r="DO672" s="85"/>
      <c r="DP672" s="85"/>
    </row>
    <row r="673">
      <c r="A673" s="91"/>
      <c r="B673" s="91"/>
      <c r="C673" s="91"/>
      <c r="D673" s="91"/>
      <c r="E673" s="78"/>
      <c r="F673" s="15"/>
      <c r="G673" s="15"/>
      <c r="H673" s="91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  <c r="BH673" s="15"/>
      <c r="BI673" s="15"/>
      <c r="BJ673" s="15"/>
      <c r="BK673" s="15"/>
      <c r="BL673" s="15"/>
      <c r="BM673" s="15"/>
      <c r="BN673" s="92"/>
      <c r="BO673" s="92"/>
      <c r="BP673" s="92"/>
      <c r="BQ673" s="92"/>
      <c r="BR673" s="92"/>
      <c r="BS673" s="92"/>
      <c r="BT673" s="92"/>
      <c r="BU673" s="92"/>
      <c r="BV673" s="92"/>
      <c r="BW673" s="92"/>
      <c r="BX673" s="92"/>
      <c r="BY673" s="92"/>
      <c r="BZ673" s="92"/>
      <c r="CA673" s="92"/>
      <c r="CB673" s="92"/>
      <c r="CC673" s="92"/>
      <c r="CD673" s="92"/>
      <c r="CE673" s="92"/>
      <c r="CF673" s="92"/>
      <c r="CG673" s="92"/>
      <c r="CH673" s="92"/>
      <c r="CI673" s="92"/>
      <c r="CJ673" s="92"/>
      <c r="CK673" s="92"/>
      <c r="CL673" s="92"/>
      <c r="CM673" s="92"/>
      <c r="CN673" s="92"/>
      <c r="CO673" s="92"/>
      <c r="CP673" s="92"/>
      <c r="CQ673" s="92"/>
      <c r="CR673" s="92"/>
      <c r="CS673" s="92"/>
      <c r="CT673" s="92"/>
      <c r="CU673" s="92"/>
      <c r="CV673" s="92"/>
      <c r="CW673" s="92"/>
      <c r="CX673" s="85"/>
      <c r="CY673" s="85"/>
      <c r="CZ673" s="85"/>
      <c r="DA673" s="85"/>
      <c r="DB673" s="85"/>
      <c r="DC673" s="85"/>
      <c r="DD673" s="85"/>
      <c r="DE673" s="85"/>
      <c r="DF673" s="85"/>
      <c r="DG673" s="85"/>
      <c r="DH673" s="85"/>
      <c r="DI673" s="85"/>
      <c r="DJ673" s="85"/>
      <c r="DK673" s="85"/>
      <c r="DL673" s="85"/>
      <c r="DM673" s="85"/>
      <c r="DN673" s="85"/>
      <c r="DO673" s="85"/>
      <c r="DP673" s="85"/>
    </row>
    <row r="674">
      <c r="A674" s="91"/>
      <c r="B674" s="91"/>
      <c r="C674" s="91"/>
      <c r="D674" s="91"/>
      <c r="E674" s="78"/>
      <c r="F674" s="15"/>
      <c r="G674" s="15"/>
      <c r="H674" s="91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5"/>
      <c r="BE674" s="15"/>
      <c r="BF674" s="15"/>
      <c r="BG674" s="15"/>
      <c r="BH674" s="15"/>
      <c r="BI674" s="15"/>
      <c r="BJ674" s="15"/>
      <c r="BK674" s="15"/>
      <c r="BL674" s="15"/>
      <c r="BM674" s="15"/>
      <c r="BN674" s="92"/>
      <c r="BO674" s="92"/>
      <c r="BP674" s="92"/>
      <c r="BQ674" s="92"/>
      <c r="BR674" s="92"/>
      <c r="BS674" s="92"/>
      <c r="BT674" s="92"/>
      <c r="BU674" s="92"/>
      <c r="BV674" s="92"/>
      <c r="BW674" s="92"/>
      <c r="BX674" s="92"/>
      <c r="BY674" s="92"/>
      <c r="BZ674" s="92"/>
      <c r="CA674" s="92"/>
      <c r="CB674" s="92"/>
      <c r="CC674" s="92"/>
      <c r="CD674" s="92"/>
      <c r="CE674" s="92"/>
      <c r="CF674" s="92"/>
      <c r="CG674" s="92"/>
      <c r="CH674" s="92"/>
      <c r="CI674" s="92"/>
      <c r="CJ674" s="92"/>
      <c r="CK674" s="92"/>
      <c r="CL674" s="92"/>
      <c r="CM674" s="92"/>
      <c r="CN674" s="92"/>
      <c r="CO674" s="92"/>
      <c r="CP674" s="92"/>
      <c r="CQ674" s="92"/>
      <c r="CR674" s="92"/>
      <c r="CS674" s="92"/>
      <c r="CT674" s="92"/>
      <c r="CU674" s="92"/>
      <c r="CV674" s="92"/>
      <c r="CW674" s="92"/>
      <c r="CX674" s="85"/>
      <c r="CY674" s="85"/>
      <c r="CZ674" s="85"/>
      <c r="DA674" s="85"/>
      <c r="DB674" s="85"/>
      <c r="DC674" s="85"/>
      <c r="DD674" s="85"/>
      <c r="DE674" s="85"/>
      <c r="DF674" s="85"/>
      <c r="DG674" s="85"/>
      <c r="DH674" s="85"/>
      <c r="DI674" s="85"/>
      <c r="DJ674" s="85"/>
      <c r="DK674" s="85"/>
      <c r="DL674" s="85"/>
      <c r="DM674" s="85"/>
      <c r="DN674" s="85"/>
      <c r="DO674" s="85"/>
      <c r="DP674" s="85"/>
    </row>
    <row r="675">
      <c r="A675" s="91"/>
      <c r="B675" s="91"/>
      <c r="C675" s="91"/>
      <c r="D675" s="91"/>
      <c r="E675" s="78"/>
      <c r="F675" s="15"/>
      <c r="G675" s="15"/>
      <c r="H675" s="91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  <c r="BH675" s="15"/>
      <c r="BI675" s="15"/>
      <c r="BJ675" s="15"/>
      <c r="BK675" s="15"/>
      <c r="BL675" s="15"/>
      <c r="BM675" s="15"/>
      <c r="BN675" s="92"/>
      <c r="BO675" s="92"/>
      <c r="BP675" s="92"/>
      <c r="BQ675" s="92"/>
      <c r="BR675" s="92"/>
      <c r="BS675" s="92"/>
      <c r="BT675" s="92"/>
      <c r="BU675" s="92"/>
      <c r="BV675" s="92"/>
      <c r="BW675" s="92"/>
      <c r="BX675" s="92"/>
      <c r="BY675" s="92"/>
      <c r="BZ675" s="92"/>
      <c r="CA675" s="92"/>
      <c r="CB675" s="92"/>
      <c r="CC675" s="92"/>
      <c r="CD675" s="92"/>
      <c r="CE675" s="92"/>
      <c r="CF675" s="92"/>
      <c r="CG675" s="92"/>
      <c r="CH675" s="92"/>
      <c r="CI675" s="92"/>
      <c r="CJ675" s="92"/>
      <c r="CK675" s="92"/>
      <c r="CL675" s="92"/>
      <c r="CM675" s="92"/>
      <c r="CN675" s="92"/>
      <c r="CO675" s="92"/>
      <c r="CP675" s="92"/>
      <c r="CQ675" s="92"/>
      <c r="CR675" s="92"/>
      <c r="CS675" s="92"/>
      <c r="CT675" s="92"/>
      <c r="CU675" s="92"/>
      <c r="CV675" s="92"/>
      <c r="CW675" s="92"/>
      <c r="CX675" s="85"/>
      <c r="CY675" s="85"/>
      <c r="CZ675" s="85"/>
      <c r="DA675" s="85"/>
      <c r="DB675" s="85"/>
      <c r="DC675" s="85"/>
      <c r="DD675" s="85"/>
      <c r="DE675" s="85"/>
      <c r="DF675" s="85"/>
      <c r="DG675" s="85"/>
      <c r="DH675" s="85"/>
      <c r="DI675" s="85"/>
      <c r="DJ675" s="85"/>
      <c r="DK675" s="85"/>
      <c r="DL675" s="85"/>
      <c r="DM675" s="85"/>
      <c r="DN675" s="85"/>
      <c r="DO675" s="85"/>
      <c r="DP675" s="85"/>
    </row>
    <row r="676">
      <c r="A676" s="91"/>
      <c r="B676" s="91"/>
      <c r="C676" s="91"/>
      <c r="D676" s="91"/>
      <c r="E676" s="78"/>
      <c r="F676" s="15"/>
      <c r="G676" s="15"/>
      <c r="H676" s="91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/>
      <c r="BE676" s="15"/>
      <c r="BF676" s="15"/>
      <c r="BG676" s="15"/>
      <c r="BH676" s="15"/>
      <c r="BI676" s="15"/>
      <c r="BJ676" s="15"/>
      <c r="BK676" s="15"/>
      <c r="BL676" s="15"/>
      <c r="BM676" s="15"/>
      <c r="BN676" s="92"/>
      <c r="BO676" s="92"/>
      <c r="BP676" s="92"/>
      <c r="BQ676" s="92"/>
      <c r="BR676" s="92"/>
      <c r="BS676" s="92"/>
      <c r="BT676" s="92"/>
      <c r="BU676" s="92"/>
      <c r="BV676" s="92"/>
      <c r="BW676" s="92"/>
      <c r="BX676" s="92"/>
      <c r="BY676" s="92"/>
      <c r="BZ676" s="92"/>
      <c r="CA676" s="92"/>
      <c r="CB676" s="92"/>
      <c r="CC676" s="92"/>
      <c r="CD676" s="92"/>
      <c r="CE676" s="92"/>
      <c r="CF676" s="92"/>
      <c r="CG676" s="92"/>
      <c r="CH676" s="92"/>
      <c r="CI676" s="92"/>
      <c r="CJ676" s="92"/>
      <c r="CK676" s="92"/>
      <c r="CL676" s="92"/>
      <c r="CM676" s="92"/>
      <c r="CN676" s="92"/>
      <c r="CO676" s="92"/>
      <c r="CP676" s="92"/>
      <c r="CQ676" s="92"/>
      <c r="CR676" s="92"/>
      <c r="CS676" s="92"/>
      <c r="CT676" s="92"/>
      <c r="CU676" s="92"/>
      <c r="CV676" s="92"/>
      <c r="CW676" s="92"/>
      <c r="CX676" s="85"/>
      <c r="CY676" s="85"/>
      <c r="CZ676" s="85"/>
      <c r="DA676" s="85"/>
      <c r="DB676" s="85"/>
      <c r="DC676" s="85"/>
      <c r="DD676" s="85"/>
      <c r="DE676" s="85"/>
      <c r="DF676" s="85"/>
      <c r="DG676" s="85"/>
      <c r="DH676" s="85"/>
      <c r="DI676" s="85"/>
      <c r="DJ676" s="85"/>
      <c r="DK676" s="85"/>
      <c r="DL676" s="85"/>
      <c r="DM676" s="85"/>
      <c r="DN676" s="85"/>
      <c r="DO676" s="85"/>
      <c r="DP676" s="85"/>
    </row>
    <row r="677">
      <c r="A677" s="91"/>
      <c r="B677" s="91"/>
      <c r="C677" s="91"/>
      <c r="D677" s="91"/>
      <c r="E677" s="78"/>
      <c r="F677" s="15"/>
      <c r="G677" s="15"/>
      <c r="H677" s="91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  <c r="BH677" s="15"/>
      <c r="BI677" s="15"/>
      <c r="BJ677" s="15"/>
      <c r="BK677" s="15"/>
      <c r="BL677" s="15"/>
      <c r="BM677" s="15"/>
      <c r="BN677" s="92"/>
      <c r="BO677" s="92"/>
      <c r="BP677" s="92"/>
      <c r="BQ677" s="92"/>
      <c r="BR677" s="92"/>
      <c r="BS677" s="92"/>
      <c r="BT677" s="92"/>
      <c r="BU677" s="92"/>
      <c r="BV677" s="92"/>
      <c r="BW677" s="92"/>
      <c r="BX677" s="92"/>
      <c r="BY677" s="92"/>
      <c r="BZ677" s="92"/>
      <c r="CA677" s="92"/>
      <c r="CB677" s="92"/>
      <c r="CC677" s="92"/>
      <c r="CD677" s="92"/>
      <c r="CE677" s="92"/>
      <c r="CF677" s="92"/>
      <c r="CG677" s="92"/>
      <c r="CH677" s="92"/>
      <c r="CI677" s="92"/>
      <c r="CJ677" s="92"/>
      <c r="CK677" s="92"/>
      <c r="CL677" s="92"/>
      <c r="CM677" s="92"/>
      <c r="CN677" s="92"/>
      <c r="CO677" s="92"/>
      <c r="CP677" s="92"/>
      <c r="CQ677" s="92"/>
      <c r="CR677" s="92"/>
      <c r="CS677" s="92"/>
      <c r="CT677" s="92"/>
      <c r="CU677" s="92"/>
      <c r="CV677" s="92"/>
      <c r="CW677" s="92"/>
      <c r="CX677" s="85"/>
      <c r="CY677" s="85"/>
      <c r="CZ677" s="85"/>
      <c r="DA677" s="85"/>
      <c r="DB677" s="85"/>
      <c r="DC677" s="85"/>
      <c r="DD677" s="85"/>
      <c r="DE677" s="85"/>
      <c r="DF677" s="85"/>
      <c r="DG677" s="85"/>
      <c r="DH677" s="85"/>
      <c r="DI677" s="85"/>
      <c r="DJ677" s="85"/>
      <c r="DK677" s="85"/>
      <c r="DL677" s="85"/>
      <c r="DM677" s="85"/>
      <c r="DN677" s="85"/>
      <c r="DO677" s="85"/>
      <c r="DP677" s="85"/>
    </row>
    <row r="678">
      <c r="A678" s="91"/>
      <c r="B678" s="91"/>
      <c r="C678" s="91"/>
      <c r="D678" s="91"/>
      <c r="E678" s="78"/>
      <c r="F678" s="15"/>
      <c r="G678" s="15"/>
      <c r="H678" s="91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  <c r="BG678" s="15"/>
      <c r="BH678" s="15"/>
      <c r="BI678" s="15"/>
      <c r="BJ678" s="15"/>
      <c r="BK678" s="15"/>
      <c r="BL678" s="15"/>
      <c r="BM678" s="15"/>
      <c r="BN678" s="92"/>
      <c r="BO678" s="92"/>
      <c r="BP678" s="92"/>
      <c r="BQ678" s="92"/>
      <c r="BR678" s="92"/>
      <c r="BS678" s="92"/>
      <c r="BT678" s="92"/>
      <c r="BU678" s="92"/>
      <c r="BV678" s="92"/>
      <c r="BW678" s="92"/>
      <c r="BX678" s="92"/>
      <c r="BY678" s="92"/>
      <c r="BZ678" s="92"/>
      <c r="CA678" s="92"/>
      <c r="CB678" s="92"/>
      <c r="CC678" s="92"/>
      <c r="CD678" s="92"/>
      <c r="CE678" s="92"/>
      <c r="CF678" s="92"/>
      <c r="CG678" s="92"/>
      <c r="CH678" s="92"/>
      <c r="CI678" s="92"/>
      <c r="CJ678" s="92"/>
      <c r="CK678" s="92"/>
      <c r="CL678" s="92"/>
      <c r="CM678" s="92"/>
      <c r="CN678" s="92"/>
      <c r="CO678" s="92"/>
      <c r="CP678" s="92"/>
      <c r="CQ678" s="92"/>
      <c r="CR678" s="92"/>
      <c r="CS678" s="92"/>
      <c r="CT678" s="92"/>
      <c r="CU678" s="92"/>
      <c r="CV678" s="92"/>
      <c r="CW678" s="92"/>
      <c r="CX678" s="85"/>
      <c r="CY678" s="85"/>
      <c r="CZ678" s="85"/>
      <c r="DA678" s="85"/>
      <c r="DB678" s="85"/>
      <c r="DC678" s="85"/>
      <c r="DD678" s="85"/>
      <c r="DE678" s="85"/>
      <c r="DF678" s="85"/>
      <c r="DG678" s="85"/>
      <c r="DH678" s="85"/>
      <c r="DI678" s="85"/>
      <c r="DJ678" s="85"/>
      <c r="DK678" s="85"/>
      <c r="DL678" s="85"/>
      <c r="DM678" s="85"/>
      <c r="DN678" s="85"/>
      <c r="DO678" s="85"/>
      <c r="DP678" s="85"/>
    </row>
    <row r="679">
      <c r="A679" s="91"/>
      <c r="B679" s="91"/>
      <c r="C679" s="91"/>
      <c r="D679" s="91"/>
      <c r="E679" s="78"/>
      <c r="F679" s="15"/>
      <c r="G679" s="15"/>
      <c r="H679" s="91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  <c r="BH679" s="15"/>
      <c r="BI679" s="15"/>
      <c r="BJ679" s="15"/>
      <c r="BK679" s="15"/>
      <c r="BL679" s="15"/>
      <c r="BM679" s="15"/>
      <c r="BN679" s="92"/>
      <c r="BO679" s="92"/>
      <c r="BP679" s="92"/>
      <c r="BQ679" s="92"/>
      <c r="BR679" s="92"/>
      <c r="BS679" s="92"/>
      <c r="BT679" s="92"/>
      <c r="BU679" s="92"/>
      <c r="BV679" s="92"/>
      <c r="BW679" s="92"/>
      <c r="BX679" s="92"/>
      <c r="BY679" s="92"/>
      <c r="BZ679" s="92"/>
      <c r="CA679" s="92"/>
      <c r="CB679" s="92"/>
      <c r="CC679" s="92"/>
      <c r="CD679" s="92"/>
      <c r="CE679" s="92"/>
      <c r="CF679" s="92"/>
      <c r="CG679" s="92"/>
      <c r="CH679" s="92"/>
      <c r="CI679" s="92"/>
      <c r="CJ679" s="92"/>
      <c r="CK679" s="92"/>
      <c r="CL679" s="92"/>
      <c r="CM679" s="92"/>
      <c r="CN679" s="92"/>
      <c r="CO679" s="92"/>
      <c r="CP679" s="92"/>
      <c r="CQ679" s="92"/>
      <c r="CR679" s="92"/>
      <c r="CS679" s="92"/>
      <c r="CT679" s="92"/>
      <c r="CU679" s="92"/>
      <c r="CV679" s="92"/>
      <c r="CW679" s="92"/>
      <c r="CX679" s="85"/>
      <c r="CY679" s="85"/>
      <c r="CZ679" s="85"/>
      <c r="DA679" s="85"/>
      <c r="DB679" s="85"/>
      <c r="DC679" s="85"/>
      <c r="DD679" s="85"/>
      <c r="DE679" s="85"/>
      <c r="DF679" s="85"/>
      <c r="DG679" s="85"/>
      <c r="DH679" s="85"/>
      <c r="DI679" s="85"/>
      <c r="DJ679" s="85"/>
      <c r="DK679" s="85"/>
      <c r="DL679" s="85"/>
      <c r="DM679" s="85"/>
      <c r="DN679" s="85"/>
      <c r="DO679" s="85"/>
      <c r="DP679" s="85"/>
    </row>
    <row r="680">
      <c r="A680" s="91"/>
      <c r="B680" s="91"/>
      <c r="C680" s="91"/>
      <c r="D680" s="91"/>
      <c r="E680" s="78"/>
      <c r="F680" s="15"/>
      <c r="G680" s="15"/>
      <c r="H680" s="91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  <c r="BG680" s="15"/>
      <c r="BH680" s="15"/>
      <c r="BI680" s="15"/>
      <c r="BJ680" s="15"/>
      <c r="BK680" s="15"/>
      <c r="BL680" s="15"/>
      <c r="BM680" s="15"/>
      <c r="BN680" s="92"/>
      <c r="BO680" s="92"/>
      <c r="BP680" s="92"/>
      <c r="BQ680" s="92"/>
      <c r="BR680" s="92"/>
      <c r="BS680" s="92"/>
      <c r="BT680" s="92"/>
      <c r="BU680" s="92"/>
      <c r="BV680" s="92"/>
      <c r="BW680" s="92"/>
      <c r="BX680" s="92"/>
      <c r="BY680" s="92"/>
      <c r="BZ680" s="92"/>
      <c r="CA680" s="92"/>
      <c r="CB680" s="92"/>
      <c r="CC680" s="92"/>
      <c r="CD680" s="92"/>
      <c r="CE680" s="92"/>
      <c r="CF680" s="92"/>
      <c r="CG680" s="92"/>
      <c r="CH680" s="92"/>
      <c r="CI680" s="92"/>
      <c r="CJ680" s="92"/>
      <c r="CK680" s="92"/>
      <c r="CL680" s="92"/>
      <c r="CM680" s="92"/>
      <c r="CN680" s="92"/>
      <c r="CO680" s="92"/>
      <c r="CP680" s="92"/>
      <c r="CQ680" s="92"/>
      <c r="CR680" s="92"/>
      <c r="CS680" s="92"/>
      <c r="CT680" s="92"/>
      <c r="CU680" s="92"/>
      <c r="CV680" s="92"/>
      <c r="CW680" s="92"/>
      <c r="CX680" s="85"/>
      <c r="CY680" s="85"/>
      <c r="CZ680" s="85"/>
      <c r="DA680" s="85"/>
      <c r="DB680" s="85"/>
      <c r="DC680" s="85"/>
      <c r="DD680" s="85"/>
      <c r="DE680" s="85"/>
      <c r="DF680" s="85"/>
      <c r="DG680" s="85"/>
      <c r="DH680" s="85"/>
      <c r="DI680" s="85"/>
      <c r="DJ680" s="85"/>
      <c r="DK680" s="85"/>
      <c r="DL680" s="85"/>
      <c r="DM680" s="85"/>
      <c r="DN680" s="85"/>
      <c r="DO680" s="85"/>
      <c r="DP680" s="85"/>
    </row>
    <row r="681">
      <c r="A681" s="91"/>
      <c r="B681" s="91"/>
      <c r="C681" s="91"/>
      <c r="D681" s="91"/>
      <c r="E681" s="78"/>
      <c r="F681" s="15"/>
      <c r="G681" s="15"/>
      <c r="H681" s="91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  <c r="BH681" s="15"/>
      <c r="BI681" s="15"/>
      <c r="BJ681" s="15"/>
      <c r="BK681" s="15"/>
      <c r="BL681" s="15"/>
      <c r="BM681" s="15"/>
      <c r="BN681" s="92"/>
      <c r="BO681" s="92"/>
      <c r="BP681" s="92"/>
      <c r="BQ681" s="92"/>
      <c r="BR681" s="92"/>
      <c r="BS681" s="92"/>
      <c r="BT681" s="92"/>
      <c r="BU681" s="92"/>
      <c r="BV681" s="92"/>
      <c r="BW681" s="92"/>
      <c r="BX681" s="92"/>
      <c r="BY681" s="92"/>
      <c r="BZ681" s="92"/>
      <c r="CA681" s="92"/>
      <c r="CB681" s="92"/>
      <c r="CC681" s="92"/>
      <c r="CD681" s="92"/>
      <c r="CE681" s="92"/>
      <c r="CF681" s="92"/>
      <c r="CG681" s="92"/>
      <c r="CH681" s="92"/>
      <c r="CI681" s="92"/>
      <c r="CJ681" s="92"/>
      <c r="CK681" s="92"/>
      <c r="CL681" s="92"/>
      <c r="CM681" s="92"/>
      <c r="CN681" s="92"/>
      <c r="CO681" s="92"/>
      <c r="CP681" s="92"/>
      <c r="CQ681" s="92"/>
      <c r="CR681" s="92"/>
      <c r="CS681" s="92"/>
      <c r="CT681" s="92"/>
      <c r="CU681" s="92"/>
      <c r="CV681" s="92"/>
      <c r="CW681" s="92"/>
      <c r="CX681" s="85"/>
      <c r="CY681" s="85"/>
      <c r="CZ681" s="85"/>
      <c r="DA681" s="85"/>
      <c r="DB681" s="85"/>
      <c r="DC681" s="85"/>
      <c r="DD681" s="85"/>
      <c r="DE681" s="85"/>
      <c r="DF681" s="85"/>
      <c r="DG681" s="85"/>
      <c r="DH681" s="85"/>
      <c r="DI681" s="85"/>
      <c r="DJ681" s="85"/>
      <c r="DK681" s="85"/>
      <c r="DL681" s="85"/>
      <c r="DM681" s="85"/>
      <c r="DN681" s="85"/>
      <c r="DO681" s="85"/>
      <c r="DP681" s="85"/>
    </row>
    <row r="682">
      <c r="A682" s="91"/>
      <c r="B682" s="91"/>
      <c r="C682" s="91"/>
      <c r="D682" s="91"/>
      <c r="E682" s="78"/>
      <c r="F682" s="15"/>
      <c r="G682" s="15"/>
      <c r="H682" s="91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  <c r="BE682" s="15"/>
      <c r="BF682" s="15"/>
      <c r="BG682" s="15"/>
      <c r="BH682" s="15"/>
      <c r="BI682" s="15"/>
      <c r="BJ682" s="15"/>
      <c r="BK682" s="15"/>
      <c r="BL682" s="15"/>
      <c r="BM682" s="15"/>
      <c r="BN682" s="92"/>
      <c r="BO682" s="92"/>
      <c r="BP682" s="92"/>
      <c r="BQ682" s="92"/>
      <c r="BR682" s="92"/>
      <c r="BS682" s="92"/>
      <c r="BT682" s="92"/>
      <c r="BU682" s="92"/>
      <c r="BV682" s="92"/>
      <c r="BW682" s="92"/>
      <c r="BX682" s="92"/>
      <c r="BY682" s="92"/>
      <c r="BZ682" s="92"/>
      <c r="CA682" s="92"/>
      <c r="CB682" s="92"/>
      <c r="CC682" s="92"/>
      <c r="CD682" s="92"/>
      <c r="CE682" s="92"/>
      <c r="CF682" s="92"/>
      <c r="CG682" s="92"/>
      <c r="CH682" s="92"/>
      <c r="CI682" s="92"/>
      <c r="CJ682" s="92"/>
      <c r="CK682" s="92"/>
      <c r="CL682" s="92"/>
      <c r="CM682" s="92"/>
      <c r="CN682" s="92"/>
      <c r="CO682" s="92"/>
      <c r="CP682" s="92"/>
      <c r="CQ682" s="92"/>
      <c r="CR682" s="92"/>
      <c r="CS682" s="92"/>
      <c r="CT682" s="92"/>
      <c r="CU682" s="92"/>
      <c r="CV682" s="92"/>
      <c r="CW682" s="92"/>
      <c r="CX682" s="85"/>
      <c r="CY682" s="85"/>
      <c r="CZ682" s="85"/>
      <c r="DA682" s="85"/>
      <c r="DB682" s="85"/>
      <c r="DC682" s="85"/>
      <c r="DD682" s="85"/>
      <c r="DE682" s="85"/>
      <c r="DF682" s="85"/>
      <c r="DG682" s="85"/>
      <c r="DH682" s="85"/>
      <c r="DI682" s="85"/>
      <c r="DJ682" s="85"/>
      <c r="DK682" s="85"/>
      <c r="DL682" s="85"/>
      <c r="DM682" s="85"/>
      <c r="DN682" s="85"/>
      <c r="DO682" s="85"/>
      <c r="DP682" s="85"/>
    </row>
    <row r="683">
      <c r="A683" s="91"/>
      <c r="B683" s="91"/>
      <c r="C683" s="91"/>
      <c r="D683" s="91"/>
      <c r="E683" s="78"/>
      <c r="F683" s="15"/>
      <c r="G683" s="15"/>
      <c r="H683" s="91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  <c r="BH683" s="15"/>
      <c r="BI683" s="15"/>
      <c r="BJ683" s="15"/>
      <c r="BK683" s="15"/>
      <c r="BL683" s="15"/>
      <c r="BM683" s="15"/>
      <c r="BN683" s="92"/>
      <c r="BO683" s="92"/>
      <c r="BP683" s="92"/>
      <c r="BQ683" s="92"/>
      <c r="BR683" s="92"/>
      <c r="BS683" s="92"/>
      <c r="BT683" s="92"/>
      <c r="BU683" s="92"/>
      <c r="BV683" s="92"/>
      <c r="BW683" s="92"/>
      <c r="BX683" s="92"/>
      <c r="BY683" s="92"/>
      <c r="BZ683" s="92"/>
      <c r="CA683" s="92"/>
      <c r="CB683" s="92"/>
      <c r="CC683" s="92"/>
      <c r="CD683" s="92"/>
      <c r="CE683" s="92"/>
      <c r="CF683" s="92"/>
      <c r="CG683" s="92"/>
      <c r="CH683" s="92"/>
      <c r="CI683" s="92"/>
      <c r="CJ683" s="92"/>
      <c r="CK683" s="92"/>
      <c r="CL683" s="92"/>
      <c r="CM683" s="92"/>
      <c r="CN683" s="92"/>
      <c r="CO683" s="92"/>
      <c r="CP683" s="92"/>
      <c r="CQ683" s="92"/>
      <c r="CR683" s="92"/>
      <c r="CS683" s="92"/>
      <c r="CT683" s="92"/>
      <c r="CU683" s="92"/>
      <c r="CV683" s="92"/>
      <c r="CW683" s="92"/>
      <c r="CX683" s="85"/>
      <c r="CY683" s="85"/>
      <c r="CZ683" s="85"/>
      <c r="DA683" s="85"/>
      <c r="DB683" s="85"/>
      <c r="DC683" s="85"/>
      <c r="DD683" s="85"/>
      <c r="DE683" s="85"/>
      <c r="DF683" s="85"/>
      <c r="DG683" s="85"/>
      <c r="DH683" s="85"/>
      <c r="DI683" s="85"/>
      <c r="DJ683" s="85"/>
      <c r="DK683" s="85"/>
      <c r="DL683" s="85"/>
      <c r="DM683" s="85"/>
      <c r="DN683" s="85"/>
      <c r="DO683" s="85"/>
      <c r="DP683" s="85"/>
    </row>
    <row r="684">
      <c r="A684" s="91"/>
      <c r="B684" s="91"/>
      <c r="C684" s="91"/>
      <c r="D684" s="91"/>
      <c r="E684" s="78"/>
      <c r="F684" s="15"/>
      <c r="G684" s="15"/>
      <c r="H684" s="91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s="15"/>
      <c r="BE684" s="15"/>
      <c r="BF684" s="15"/>
      <c r="BG684" s="15"/>
      <c r="BH684" s="15"/>
      <c r="BI684" s="15"/>
      <c r="BJ684" s="15"/>
      <c r="BK684" s="15"/>
      <c r="BL684" s="15"/>
      <c r="BM684" s="15"/>
      <c r="BN684" s="92"/>
      <c r="BO684" s="92"/>
      <c r="BP684" s="92"/>
      <c r="BQ684" s="92"/>
      <c r="BR684" s="92"/>
      <c r="BS684" s="92"/>
      <c r="BT684" s="92"/>
      <c r="BU684" s="92"/>
      <c r="BV684" s="92"/>
      <c r="BW684" s="92"/>
      <c r="BX684" s="92"/>
      <c r="BY684" s="92"/>
      <c r="BZ684" s="92"/>
      <c r="CA684" s="92"/>
      <c r="CB684" s="92"/>
      <c r="CC684" s="92"/>
      <c r="CD684" s="92"/>
      <c r="CE684" s="92"/>
      <c r="CF684" s="92"/>
      <c r="CG684" s="92"/>
      <c r="CH684" s="92"/>
      <c r="CI684" s="92"/>
      <c r="CJ684" s="92"/>
      <c r="CK684" s="92"/>
      <c r="CL684" s="92"/>
      <c r="CM684" s="92"/>
      <c r="CN684" s="92"/>
      <c r="CO684" s="92"/>
      <c r="CP684" s="92"/>
      <c r="CQ684" s="92"/>
      <c r="CR684" s="92"/>
      <c r="CS684" s="92"/>
      <c r="CT684" s="92"/>
      <c r="CU684" s="92"/>
      <c r="CV684" s="92"/>
      <c r="CW684" s="92"/>
      <c r="CX684" s="85"/>
      <c r="CY684" s="85"/>
      <c r="CZ684" s="85"/>
      <c r="DA684" s="85"/>
      <c r="DB684" s="85"/>
      <c r="DC684" s="85"/>
      <c r="DD684" s="85"/>
      <c r="DE684" s="85"/>
      <c r="DF684" s="85"/>
      <c r="DG684" s="85"/>
      <c r="DH684" s="85"/>
      <c r="DI684" s="85"/>
      <c r="DJ684" s="85"/>
      <c r="DK684" s="85"/>
      <c r="DL684" s="85"/>
      <c r="DM684" s="85"/>
      <c r="DN684" s="85"/>
      <c r="DO684" s="85"/>
      <c r="DP684" s="85"/>
    </row>
    <row r="685">
      <c r="A685" s="91"/>
      <c r="B685" s="91"/>
      <c r="C685" s="91"/>
      <c r="D685" s="91"/>
      <c r="E685" s="78"/>
      <c r="F685" s="15"/>
      <c r="G685" s="15"/>
      <c r="H685" s="91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  <c r="BG685" s="15"/>
      <c r="BH685" s="15"/>
      <c r="BI685" s="15"/>
      <c r="BJ685" s="15"/>
      <c r="BK685" s="15"/>
      <c r="BL685" s="15"/>
      <c r="BM685" s="15"/>
      <c r="BN685" s="92"/>
      <c r="BO685" s="92"/>
      <c r="BP685" s="92"/>
      <c r="BQ685" s="92"/>
      <c r="BR685" s="92"/>
      <c r="BS685" s="92"/>
      <c r="BT685" s="92"/>
      <c r="BU685" s="92"/>
      <c r="BV685" s="92"/>
      <c r="BW685" s="92"/>
      <c r="BX685" s="92"/>
      <c r="BY685" s="92"/>
      <c r="BZ685" s="92"/>
      <c r="CA685" s="92"/>
      <c r="CB685" s="92"/>
      <c r="CC685" s="92"/>
      <c r="CD685" s="92"/>
      <c r="CE685" s="92"/>
      <c r="CF685" s="92"/>
      <c r="CG685" s="92"/>
      <c r="CH685" s="92"/>
      <c r="CI685" s="92"/>
      <c r="CJ685" s="92"/>
      <c r="CK685" s="92"/>
      <c r="CL685" s="92"/>
      <c r="CM685" s="92"/>
      <c r="CN685" s="92"/>
      <c r="CO685" s="92"/>
      <c r="CP685" s="92"/>
      <c r="CQ685" s="92"/>
      <c r="CR685" s="92"/>
      <c r="CS685" s="92"/>
      <c r="CT685" s="92"/>
      <c r="CU685" s="92"/>
      <c r="CV685" s="92"/>
      <c r="CW685" s="92"/>
      <c r="CX685" s="85"/>
      <c r="CY685" s="85"/>
      <c r="CZ685" s="85"/>
      <c r="DA685" s="85"/>
      <c r="DB685" s="85"/>
      <c r="DC685" s="85"/>
      <c r="DD685" s="85"/>
      <c r="DE685" s="85"/>
      <c r="DF685" s="85"/>
      <c r="DG685" s="85"/>
      <c r="DH685" s="85"/>
      <c r="DI685" s="85"/>
      <c r="DJ685" s="85"/>
      <c r="DK685" s="85"/>
      <c r="DL685" s="85"/>
      <c r="DM685" s="85"/>
      <c r="DN685" s="85"/>
      <c r="DO685" s="85"/>
      <c r="DP685" s="85"/>
    </row>
    <row r="686">
      <c r="A686" s="91"/>
      <c r="B686" s="91"/>
      <c r="C686" s="91"/>
      <c r="D686" s="91"/>
      <c r="E686" s="78"/>
      <c r="F686" s="15"/>
      <c r="G686" s="15"/>
      <c r="H686" s="91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5"/>
      <c r="BE686" s="15"/>
      <c r="BF686" s="15"/>
      <c r="BG686" s="15"/>
      <c r="BH686" s="15"/>
      <c r="BI686" s="15"/>
      <c r="BJ686" s="15"/>
      <c r="BK686" s="15"/>
      <c r="BL686" s="15"/>
      <c r="BM686" s="15"/>
      <c r="BN686" s="92"/>
      <c r="BO686" s="92"/>
      <c r="BP686" s="92"/>
      <c r="BQ686" s="92"/>
      <c r="BR686" s="92"/>
      <c r="BS686" s="92"/>
      <c r="BT686" s="92"/>
      <c r="BU686" s="92"/>
      <c r="BV686" s="92"/>
      <c r="BW686" s="92"/>
      <c r="BX686" s="92"/>
      <c r="BY686" s="92"/>
      <c r="BZ686" s="92"/>
      <c r="CA686" s="92"/>
      <c r="CB686" s="92"/>
      <c r="CC686" s="92"/>
      <c r="CD686" s="92"/>
      <c r="CE686" s="92"/>
      <c r="CF686" s="92"/>
      <c r="CG686" s="92"/>
      <c r="CH686" s="92"/>
      <c r="CI686" s="92"/>
      <c r="CJ686" s="92"/>
      <c r="CK686" s="92"/>
      <c r="CL686" s="92"/>
      <c r="CM686" s="92"/>
      <c r="CN686" s="92"/>
      <c r="CO686" s="92"/>
      <c r="CP686" s="92"/>
      <c r="CQ686" s="92"/>
      <c r="CR686" s="92"/>
      <c r="CS686" s="92"/>
      <c r="CT686" s="92"/>
      <c r="CU686" s="92"/>
      <c r="CV686" s="92"/>
      <c r="CW686" s="92"/>
      <c r="CX686" s="85"/>
      <c r="CY686" s="85"/>
      <c r="CZ686" s="85"/>
      <c r="DA686" s="85"/>
      <c r="DB686" s="85"/>
      <c r="DC686" s="85"/>
      <c r="DD686" s="85"/>
      <c r="DE686" s="85"/>
      <c r="DF686" s="85"/>
      <c r="DG686" s="85"/>
      <c r="DH686" s="85"/>
      <c r="DI686" s="85"/>
      <c r="DJ686" s="85"/>
      <c r="DK686" s="85"/>
      <c r="DL686" s="85"/>
      <c r="DM686" s="85"/>
      <c r="DN686" s="85"/>
      <c r="DO686" s="85"/>
      <c r="DP686" s="85"/>
    </row>
    <row r="687">
      <c r="A687" s="91"/>
      <c r="B687" s="91"/>
      <c r="C687" s="91"/>
      <c r="D687" s="91"/>
      <c r="E687" s="78"/>
      <c r="F687" s="15"/>
      <c r="G687" s="15"/>
      <c r="H687" s="91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  <c r="BH687" s="15"/>
      <c r="BI687" s="15"/>
      <c r="BJ687" s="15"/>
      <c r="BK687" s="15"/>
      <c r="BL687" s="15"/>
      <c r="BM687" s="15"/>
      <c r="BN687" s="92"/>
      <c r="BO687" s="92"/>
      <c r="BP687" s="92"/>
      <c r="BQ687" s="92"/>
      <c r="BR687" s="92"/>
      <c r="BS687" s="92"/>
      <c r="BT687" s="92"/>
      <c r="BU687" s="92"/>
      <c r="BV687" s="92"/>
      <c r="BW687" s="92"/>
      <c r="BX687" s="92"/>
      <c r="BY687" s="92"/>
      <c r="BZ687" s="92"/>
      <c r="CA687" s="92"/>
      <c r="CB687" s="92"/>
      <c r="CC687" s="92"/>
      <c r="CD687" s="92"/>
      <c r="CE687" s="92"/>
      <c r="CF687" s="92"/>
      <c r="CG687" s="92"/>
      <c r="CH687" s="92"/>
      <c r="CI687" s="92"/>
      <c r="CJ687" s="92"/>
      <c r="CK687" s="92"/>
      <c r="CL687" s="92"/>
      <c r="CM687" s="92"/>
      <c r="CN687" s="92"/>
      <c r="CO687" s="92"/>
      <c r="CP687" s="92"/>
      <c r="CQ687" s="92"/>
      <c r="CR687" s="92"/>
      <c r="CS687" s="92"/>
      <c r="CT687" s="92"/>
      <c r="CU687" s="92"/>
      <c r="CV687" s="92"/>
      <c r="CW687" s="92"/>
      <c r="CX687" s="85"/>
      <c r="CY687" s="85"/>
      <c r="CZ687" s="85"/>
      <c r="DA687" s="85"/>
      <c r="DB687" s="85"/>
      <c r="DC687" s="85"/>
      <c r="DD687" s="85"/>
      <c r="DE687" s="85"/>
      <c r="DF687" s="85"/>
      <c r="DG687" s="85"/>
      <c r="DH687" s="85"/>
      <c r="DI687" s="85"/>
      <c r="DJ687" s="85"/>
      <c r="DK687" s="85"/>
      <c r="DL687" s="85"/>
      <c r="DM687" s="85"/>
      <c r="DN687" s="85"/>
      <c r="DO687" s="85"/>
      <c r="DP687" s="85"/>
    </row>
    <row r="688">
      <c r="A688" s="91"/>
      <c r="B688" s="91"/>
      <c r="C688" s="91"/>
      <c r="D688" s="91"/>
      <c r="E688" s="78"/>
      <c r="F688" s="15"/>
      <c r="G688" s="15"/>
      <c r="H688" s="91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15"/>
      <c r="BE688" s="15"/>
      <c r="BF688" s="15"/>
      <c r="BG688" s="15"/>
      <c r="BH688" s="15"/>
      <c r="BI688" s="15"/>
      <c r="BJ688" s="15"/>
      <c r="BK688" s="15"/>
      <c r="BL688" s="15"/>
      <c r="BM688" s="15"/>
      <c r="BN688" s="92"/>
      <c r="BO688" s="92"/>
      <c r="BP688" s="92"/>
      <c r="BQ688" s="92"/>
      <c r="BR688" s="92"/>
      <c r="BS688" s="92"/>
      <c r="BT688" s="92"/>
      <c r="BU688" s="92"/>
      <c r="BV688" s="92"/>
      <c r="BW688" s="92"/>
      <c r="BX688" s="92"/>
      <c r="BY688" s="92"/>
      <c r="BZ688" s="92"/>
      <c r="CA688" s="92"/>
      <c r="CB688" s="92"/>
      <c r="CC688" s="92"/>
      <c r="CD688" s="92"/>
      <c r="CE688" s="92"/>
      <c r="CF688" s="92"/>
      <c r="CG688" s="92"/>
      <c r="CH688" s="92"/>
      <c r="CI688" s="92"/>
      <c r="CJ688" s="92"/>
      <c r="CK688" s="92"/>
      <c r="CL688" s="92"/>
      <c r="CM688" s="92"/>
      <c r="CN688" s="92"/>
      <c r="CO688" s="92"/>
      <c r="CP688" s="92"/>
      <c r="CQ688" s="92"/>
      <c r="CR688" s="92"/>
      <c r="CS688" s="92"/>
      <c r="CT688" s="92"/>
      <c r="CU688" s="92"/>
      <c r="CV688" s="92"/>
      <c r="CW688" s="92"/>
      <c r="CX688" s="85"/>
      <c r="CY688" s="85"/>
      <c r="CZ688" s="85"/>
      <c r="DA688" s="85"/>
      <c r="DB688" s="85"/>
      <c r="DC688" s="85"/>
      <c r="DD688" s="85"/>
      <c r="DE688" s="85"/>
      <c r="DF688" s="85"/>
      <c r="DG688" s="85"/>
      <c r="DH688" s="85"/>
      <c r="DI688" s="85"/>
      <c r="DJ688" s="85"/>
      <c r="DK688" s="85"/>
      <c r="DL688" s="85"/>
      <c r="DM688" s="85"/>
      <c r="DN688" s="85"/>
      <c r="DO688" s="85"/>
      <c r="DP688" s="85"/>
    </row>
    <row r="689">
      <c r="A689" s="91"/>
      <c r="B689" s="91"/>
      <c r="C689" s="91"/>
      <c r="D689" s="91"/>
      <c r="E689" s="78"/>
      <c r="F689" s="15"/>
      <c r="G689" s="15"/>
      <c r="H689" s="91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  <c r="BH689" s="15"/>
      <c r="BI689" s="15"/>
      <c r="BJ689" s="15"/>
      <c r="BK689" s="15"/>
      <c r="BL689" s="15"/>
      <c r="BM689" s="15"/>
      <c r="BN689" s="92"/>
      <c r="BO689" s="92"/>
      <c r="BP689" s="92"/>
      <c r="BQ689" s="92"/>
      <c r="BR689" s="92"/>
      <c r="BS689" s="92"/>
      <c r="BT689" s="92"/>
      <c r="BU689" s="92"/>
      <c r="BV689" s="92"/>
      <c r="BW689" s="92"/>
      <c r="BX689" s="92"/>
      <c r="BY689" s="92"/>
      <c r="BZ689" s="92"/>
      <c r="CA689" s="92"/>
      <c r="CB689" s="92"/>
      <c r="CC689" s="92"/>
      <c r="CD689" s="92"/>
      <c r="CE689" s="92"/>
      <c r="CF689" s="92"/>
      <c r="CG689" s="92"/>
      <c r="CH689" s="92"/>
      <c r="CI689" s="92"/>
      <c r="CJ689" s="92"/>
      <c r="CK689" s="92"/>
      <c r="CL689" s="92"/>
      <c r="CM689" s="92"/>
      <c r="CN689" s="92"/>
      <c r="CO689" s="92"/>
      <c r="CP689" s="92"/>
      <c r="CQ689" s="92"/>
      <c r="CR689" s="92"/>
      <c r="CS689" s="92"/>
      <c r="CT689" s="92"/>
      <c r="CU689" s="92"/>
      <c r="CV689" s="92"/>
      <c r="CW689" s="92"/>
      <c r="CX689" s="85"/>
      <c r="CY689" s="85"/>
      <c r="CZ689" s="85"/>
      <c r="DA689" s="85"/>
      <c r="DB689" s="85"/>
      <c r="DC689" s="85"/>
      <c r="DD689" s="85"/>
      <c r="DE689" s="85"/>
      <c r="DF689" s="85"/>
      <c r="DG689" s="85"/>
      <c r="DH689" s="85"/>
      <c r="DI689" s="85"/>
      <c r="DJ689" s="85"/>
      <c r="DK689" s="85"/>
      <c r="DL689" s="85"/>
      <c r="DM689" s="85"/>
      <c r="DN689" s="85"/>
      <c r="DO689" s="85"/>
      <c r="DP689" s="85"/>
    </row>
    <row r="690">
      <c r="A690" s="91"/>
      <c r="B690" s="91"/>
      <c r="C690" s="91"/>
      <c r="D690" s="91"/>
      <c r="E690" s="78"/>
      <c r="F690" s="15"/>
      <c r="G690" s="15"/>
      <c r="H690" s="91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  <c r="BD690" s="15"/>
      <c r="BE690" s="15"/>
      <c r="BF690" s="15"/>
      <c r="BG690" s="15"/>
      <c r="BH690" s="15"/>
      <c r="BI690" s="15"/>
      <c r="BJ690" s="15"/>
      <c r="BK690" s="15"/>
      <c r="BL690" s="15"/>
      <c r="BM690" s="15"/>
      <c r="BN690" s="92"/>
      <c r="BO690" s="92"/>
      <c r="BP690" s="92"/>
      <c r="BQ690" s="92"/>
      <c r="BR690" s="92"/>
      <c r="BS690" s="92"/>
      <c r="BT690" s="92"/>
      <c r="BU690" s="92"/>
      <c r="BV690" s="92"/>
      <c r="BW690" s="92"/>
      <c r="BX690" s="92"/>
      <c r="BY690" s="92"/>
      <c r="BZ690" s="92"/>
      <c r="CA690" s="92"/>
      <c r="CB690" s="92"/>
      <c r="CC690" s="92"/>
      <c r="CD690" s="92"/>
      <c r="CE690" s="92"/>
      <c r="CF690" s="92"/>
      <c r="CG690" s="92"/>
      <c r="CH690" s="92"/>
      <c r="CI690" s="92"/>
      <c r="CJ690" s="92"/>
      <c r="CK690" s="92"/>
      <c r="CL690" s="92"/>
      <c r="CM690" s="92"/>
      <c r="CN690" s="92"/>
      <c r="CO690" s="92"/>
      <c r="CP690" s="92"/>
      <c r="CQ690" s="92"/>
      <c r="CR690" s="92"/>
      <c r="CS690" s="92"/>
      <c r="CT690" s="92"/>
      <c r="CU690" s="92"/>
      <c r="CV690" s="92"/>
      <c r="CW690" s="92"/>
      <c r="CX690" s="85"/>
      <c r="CY690" s="85"/>
      <c r="CZ690" s="85"/>
      <c r="DA690" s="85"/>
      <c r="DB690" s="85"/>
      <c r="DC690" s="85"/>
      <c r="DD690" s="85"/>
      <c r="DE690" s="85"/>
      <c r="DF690" s="85"/>
      <c r="DG690" s="85"/>
      <c r="DH690" s="85"/>
      <c r="DI690" s="85"/>
      <c r="DJ690" s="85"/>
      <c r="DK690" s="85"/>
      <c r="DL690" s="85"/>
      <c r="DM690" s="85"/>
      <c r="DN690" s="85"/>
      <c r="DO690" s="85"/>
      <c r="DP690" s="85"/>
    </row>
    <row r="691">
      <c r="A691" s="91"/>
      <c r="B691" s="91"/>
      <c r="C691" s="91"/>
      <c r="D691" s="91"/>
      <c r="E691" s="78"/>
      <c r="F691" s="15"/>
      <c r="G691" s="15"/>
      <c r="H691" s="91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  <c r="BH691" s="15"/>
      <c r="BI691" s="15"/>
      <c r="BJ691" s="15"/>
      <c r="BK691" s="15"/>
      <c r="BL691" s="15"/>
      <c r="BM691" s="15"/>
      <c r="BN691" s="92"/>
      <c r="BO691" s="92"/>
      <c r="BP691" s="92"/>
      <c r="BQ691" s="92"/>
      <c r="BR691" s="92"/>
      <c r="BS691" s="92"/>
      <c r="BT691" s="92"/>
      <c r="BU691" s="92"/>
      <c r="BV691" s="92"/>
      <c r="BW691" s="92"/>
      <c r="BX691" s="92"/>
      <c r="BY691" s="92"/>
      <c r="BZ691" s="92"/>
      <c r="CA691" s="92"/>
      <c r="CB691" s="92"/>
      <c r="CC691" s="92"/>
      <c r="CD691" s="92"/>
      <c r="CE691" s="92"/>
      <c r="CF691" s="92"/>
      <c r="CG691" s="92"/>
      <c r="CH691" s="92"/>
      <c r="CI691" s="92"/>
      <c r="CJ691" s="92"/>
      <c r="CK691" s="92"/>
      <c r="CL691" s="92"/>
      <c r="CM691" s="92"/>
      <c r="CN691" s="92"/>
      <c r="CO691" s="92"/>
      <c r="CP691" s="92"/>
      <c r="CQ691" s="92"/>
      <c r="CR691" s="92"/>
      <c r="CS691" s="92"/>
      <c r="CT691" s="92"/>
      <c r="CU691" s="92"/>
      <c r="CV691" s="92"/>
      <c r="CW691" s="92"/>
      <c r="CX691" s="85"/>
      <c r="CY691" s="85"/>
      <c r="CZ691" s="85"/>
      <c r="DA691" s="85"/>
      <c r="DB691" s="85"/>
      <c r="DC691" s="85"/>
      <c r="DD691" s="85"/>
      <c r="DE691" s="85"/>
      <c r="DF691" s="85"/>
      <c r="DG691" s="85"/>
      <c r="DH691" s="85"/>
      <c r="DI691" s="85"/>
      <c r="DJ691" s="85"/>
      <c r="DK691" s="85"/>
      <c r="DL691" s="85"/>
      <c r="DM691" s="85"/>
      <c r="DN691" s="85"/>
      <c r="DO691" s="85"/>
      <c r="DP691" s="85"/>
    </row>
    <row r="692">
      <c r="A692" s="91"/>
      <c r="B692" s="91"/>
      <c r="C692" s="91"/>
      <c r="D692" s="91"/>
      <c r="E692" s="78"/>
      <c r="F692" s="15"/>
      <c r="G692" s="15"/>
      <c r="H692" s="91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s="15"/>
      <c r="BE692" s="15"/>
      <c r="BF692" s="15"/>
      <c r="BG692" s="15"/>
      <c r="BH692" s="15"/>
      <c r="BI692" s="15"/>
      <c r="BJ692" s="15"/>
      <c r="BK692" s="15"/>
      <c r="BL692" s="15"/>
      <c r="BM692" s="15"/>
      <c r="BN692" s="92"/>
      <c r="BO692" s="92"/>
      <c r="BP692" s="92"/>
      <c r="BQ692" s="92"/>
      <c r="BR692" s="92"/>
      <c r="BS692" s="92"/>
      <c r="BT692" s="92"/>
      <c r="BU692" s="92"/>
      <c r="BV692" s="92"/>
      <c r="BW692" s="92"/>
      <c r="BX692" s="92"/>
      <c r="BY692" s="92"/>
      <c r="BZ692" s="92"/>
      <c r="CA692" s="92"/>
      <c r="CB692" s="92"/>
      <c r="CC692" s="92"/>
      <c r="CD692" s="92"/>
      <c r="CE692" s="92"/>
      <c r="CF692" s="92"/>
      <c r="CG692" s="92"/>
      <c r="CH692" s="92"/>
      <c r="CI692" s="92"/>
      <c r="CJ692" s="92"/>
      <c r="CK692" s="92"/>
      <c r="CL692" s="92"/>
      <c r="CM692" s="92"/>
      <c r="CN692" s="92"/>
      <c r="CO692" s="92"/>
      <c r="CP692" s="92"/>
      <c r="CQ692" s="92"/>
      <c r="CR692" s="92"/>
      <c r="CS692" s="92"/>
      <c r="CT692" s="92"/>
      <c r="CU692" s="92"/>
      <c r="CV692" s="92"/>
      <c r="CW692" s="92"/>
      <c r="CX692" s="85"/>
      <c r="CY692" s="85"/>
      <c r="CZ692" s="85"/>
      <c r="DA692" s="85"/>
      <c r="DB692" s="85"/>
      <c r="DC692" s="85"/>
      <c r="DD692" s="85"/>
      <c r="DE692" s="85"/>
      <c r="DF692" s="85"/>
      <c r="DG692" s="85"/>
      <c r="DH692" s="85"/>
      <c r="DI692" s="85"/>
      <c r="DJ692" s="85"/>
      <c r="DK692" s="85"/>
      <c r="DL692" s="85"/>
      <c r="DM692" s="85"/>
      <c r="DN692" s="85"/>
      <c r="DO692" s="85"/>
      <c r="DP692" s="85"/>
    </row>
    <row r="693">
      <c r="A693" s="91"/>
      <c r="B693" s="91"/>
      <c r="C693" s="91"/>
      <c r="D693" s="91"/>
      <c r="E693" s="78"/>
      <c r="F693" s="15"/>
      <c r="G693" s="15"/>
      <c r="H693" s="91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  <c r="BG693" s="15"/>
      <c r="BH693" s="15"/>
      <c r="BI693" s="15"/>
      <c r="BJ693" s="15"/>
      <c r="BK693" s="15"/>
      <c r="BL693" s="15"/>
      <c r="BM693" s="15"/>
      <c r="BN693" s="92"/>
      <c r="BO693" s="92"/>
      <c r="BP693" s="92"/>
      <c r="BQ693" s="92"/>
      <c r="BR693" s="92"/>
      <c r="BS693" s="92"/>
      <c r="BT693" s="92"/>
      <c r="BU693" s="92"/>
      <c r="BV693" s="92"/>
      <c r="BW693" s="92"/>
      <c r="BX693" s="92"/>
      <c r="BY693" s="92"/>
      <c r="BZ693" s="92"/>
      <c r="CA693" s="92"/>
      <c r="CB693" s="92"/>
      <c r="CC693" s="92"/>
      <c r="CD693" s="92"/>
      <c r="CE693" s="92"/>
      <c r="CF693" s="92"/>
      <c r="CG693" s="92"/>
      <c r="CH693" s="92"/>
      <c r="CI693" s="92"/>
      <c r="CJ693" s="92"/>
      <c r="CK693" s="92"/>
      <c r="CL693" s="92"/>
      <c r="CM693" s="92"/>
      <c r="CN693" s="92"/>
      <c r="CO693" s="92"/>
      <c r="CP693" s="92"/>
      <c r="CQ693" s="92"/>
      <c r="CR693" s="92"/>
      <c r="CS693" s="92"/>
      <c r="CT693" s="92"/>
      <c r="CU693" s="92"/>
      <c r="CV693" s="92"/>
      <c r="CW693" s="92"/>
      <c r="CX693" s="85"/>
      <c r="CY693" s="85"/>
      <c r="CZ693" s="85"/>
      <c r="DA693" s="85"/>
      <c r="DB693" s="85"/>
      <c r="DC693" s="85"/>
      <c r="DD693" s="85"/>
      <c r="DE693" s="85"/>
      <c r="DF693" s="85"/>
      <c r="DG693" s="85"/>
      <c r="DH693" s="85"/>
      <c r="DI693" s="85"/>
      <c r="DJ693" s="85"/>
      <c r="DK693" s="85"/>
      <c r="DL693" s="85"/>
      <c r="DM693" s="85"/>
      <c r="DN693" s="85"/>
      <c r="DO693" s="85"/>
      <c r="DP693" s="85"/>
    </row>
    <row r="694">
      <c r="A694" s="91"/>
      <c r="B694" s="91"/>
      <c r="C694" s="91"/>
      <c r="D694" s="91"/>
      <c r="E694" s="78"/>
      <c r="F694" s="15"/>
      <c r="G694" s="15"/>
      <c r="H694" s="91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  <c r="BD694" s="15"/>
      <c r="BE694" s="15"/>
      <c r="BF694" s="15"/>
      <c r="BG694" s="15"/>
      <c r="BH694" s="15"/>
      <c r="BI694" s="15"/>
      <c r="BJ694" s="15"/>
      <c r="BK694" s="15"/>
      <c r="BL694" s="15"/>
      <c r="BM694" s="15"/>
      <c r="BN694" s="92"/>
      <c r="BO694" s="92"/>
      <c r="BP694" s="92"/>
      <c r="BQ694" s="92"/>
      <c r="BR694" s="92"/>
      <c r="BS694" s="92"/>
      <c r="BT694" s="92"/>
      <c r="BU694" s="92"/>
      <c r="BV694" s="92"/>
      <c r="BW694" s="92"/>
      <c r="BX694" s="92"/>
      <c r="BY694" s="92"/>
      <c r="BZ694" s="92"/>
      <c r="CA694" s="92"/>
      <c r="CB694" s="92"/>
      <c r="CC694" s="92"/>
      <c r="CD694" s="92"/>
      <c r="CE694" s="92"/>
      <c r="CF694" s="92"/>
      <c r="CG694" s="92"/>
      <c r="CH694" s="92"/>
      <c r="CI694" s="92"/>
      <c r="CJ694" s="92"/>
      <c r="CK694" s="92"/>
      <c r="CL694" s="92"/>
      <c r="CM694" s="92"/>
      <c r="CN694" s="92"/>
      <c r="CO694" s="92"/>
      <c r="CP694" s="92"/>
      <c r="CQ694" s="92"/>
      <c r="CR694" s="92"/>
      <c r="CS694" s="92"/>
      <c r="CT694" s="92"/>
      <c r="CU694" s="92"/>
      <c r="CV694" s="92"/>
      <c r="CW694" s="92"/>
      <c r="CX694" s="85"/>
      <c r="CY694" s="85"/>
      <c r="CZ694" s="85"/>
      <c r="DA694" s="85"/>
      <c r="DB694" s="85"/>
      <c r="DC694" s="85"/>
      <c r="DD694" s="85"/>
      <c r="DE694" s="85"/>
      <c r="DF694" s="85"/>
      <c r="DG694" s="85"/>
      <c r="DH694" s="85"/>
      <c r="DI694" s="85"/>
      <c r="DJ694" s="85"/>
      <c r="DK694" s="85"/>
      <c r="DL694" s="85"/>
      <c r="DM694" s="85"/>
      <c r="DN694" s="85"/>
      <c r="DO694" s="85"/>
      <c r="DP694" s="85"/>
    </row>
    <row r="695">
      <c r="A695" s="91"/>
      <c r="B695" s="91"/>
      <c r="C695" s="91"/>
      <c r="D695" s="91"/>
      <c r="E695" s="78"/>
      <c r="F695" s="15"/>
      <c r="G695" s="15"/>
      <c r="H695" s="91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  <c r="BH695" s="15"/>
      <c r="BI695" s="15"/>
      <c r="BJ695" s="15"/>
      <c r="BK695" s="15"/>
      <c r="BL695" s="15"/>
      <c r="BM695" s="15"/>
      <c r="BN695" s="92"/>
      <c r="BO695" s="92"/>
      <c r="BP695" s="92"/>
      <c r="BQ695" s="92"/>
      <c r="BR695" s="92"/>
      <c r="BS695" s="92"/>
      <c r="BT695" s="92"/>
      <c r="BU695" s="92"/>
      <c r="BV695" s="92"/>
      <c r="BW695" s="92"/>
      <c r="BX695" s="92"/>
      <c r="BY695" s="92"/>
      <c r="BZ695" s="92"/>
      <c r="CA695" s="92"/>
      <c r="CB695" s="92"/>
      <c r="CC695" s="92"/>
      <c r="CD695" s="92"/>
      <c r="CE695" s="92"/>
      <c r="CF695" s="92"/>
      <c r="CG695" s="92"/>
      <c r="CH695" s="92"/>
      <c r="CI695" s="92"/>
      <c r="CJ695" s="92"/>
      <c r="CK695" s="92"/>
      <c r="CL695" s="92"/>
      <c r="CM695" s="92"/>
      <c r="CN695" s="92"/>
      <c r="CO695" s="92"/>
      <c r="CP695" s="92"/>
      <c r="CQ695" s="92"/>
      <c r="CR695" s="92"/>
      <c r="CS695" s="92"/>
      <c r="CT695" s="92"/>
      <c r="CU695" s="92"/>
      <c r="CV695" s="92"/>
      <c r="CW695" s="92"/>
      <c r="CX695" s="85"/>
      <c r="CY695" s="85"/>
      <c r="CZ695" s="85"/>
      <c r="DA695" s="85"/>
      <c r="DB695" s="85"/>
      <c r="DC695" s="85"/>
      <c r="DD695" s="85"/>
      <c r="DE695" s="85"/>
      <c r="DF695" s="85"/>
      <c r="DG695" s="85"/>
      <c r="DH695" s="85"/>
      <c r="DI695" s="85"/>
      <c r="DJ695" s="85"/>
      <c r="DK695" s="85"/>
      <c r="DL695" s="85"/>
      <c r="DM695" s="85"/>
      <c r="DN695" s="85"/>
      <c r="DO695" s="85"/>
      <c r="DP695" s="85"/>
    </row>
    <row r="696">
      <c r="A696" s="91"/>
      <c r="B696" s="91"/>
      <c r="C696" s="91"/>
      <c r="D696" s="91"/>
      <c r="E696" s="78"/>
      <c r="F696" s="15"/>
      <c r="G696" s="15"/>
      <c r="H696" s="91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  <c r="BD696" s="15"/>
      <c r="BE696" s="15"/>
      <c r="BF696" s="15"/>
      <c r="BG696" s="15"/>
      <c r="BH696" s="15"/>
      <c r="BI696" s="15"/>
      <c r="BJ696" s="15"/>
      <c r="BK696" s="15"/>
      <c r="BL696" s="15"/>
      <c r="BM696" s="15"/>
      <c r="BN696" s="92"/>
      <c r="BO696" s="92"/>
      <c r="BP696" s="92"/>
      <c r="BQ696" s="92"/>
      <c r="BR696" s="92"/>
      <c r="BS696" s="92"/>
      <c r="BT696" s="92"/>
      <c r="BU696" s="92"/>
      <c r="BV696" s="92"/>
      <c r="BW696" s="92"/>
      <c r="BX696" s="92"/>
      <c r="BY696" s="92"/>
      <c r="BZ696" s="92"/>
      <c r="CA696" s="92"/>
      <c r="CB696" s="92"/>
      <c r="CC696" s="92"/>
      <c r="CD696" s="92"/>
      <c r="CE696" s="92"/>
      <c r="CF696" s="92"/>
      <c r="CG696" s="92"/>
      <c r="CH696" s="92"/>
      <c r="CI696" s="92"/>
      <c r="CJ696" s="92"/>
      <c r="CK696" s="92"/>
      <c r="CL696" s="92"/>
      <c r="CM696" s="92"/>
      <c r="CN696" s="92"/>
      <c r="CO696" s="92"/>
      <c r="CP696" s="92"/>
      <c r="CQ696" s="92"/>
      <c r="CR696" s="92"/>
      <c r="CS696" s="92"/>
      <c r="CT696" s="92"/>
      <c r="CU696" s="92"/>
      <c r="CV696" s="92"/>
      <c r="CW696" s="92"/>
      <c r="CX696" s="85"/>
      <c r="CY696" s="85"/>
      <c r="CZ696" s="85"/>
      <c r="DA696" s="85"/>
      <c r="DB696" s="85"/>
      <c r="DC696" s="85"/>
      <c r="DD696" s="85"/>
      <c r="DE696" s="85"/>
      <c r="DF696" s="85"/>
      <c r="DG696" s="85"/>
      <c r="DH696" s="85"/>
      <c r="DI696" s="85"/>
      <c r="DJ696" s="85"/>
      <c r="DK696" s="85"/>
      <c r="DL696" s="85"/>
      <c r="DM696" s="85"/>
      <c r="DN696" s="85"/>
      <c r="DO696" s="85"/>
      <c r="DP696" s="85"/>
    </row>
    <row r="697">
      <c r="A697" s="91"/>
      <c r="B697" s="91"/>
      <c r="C697" s="91"/>
      <c r="D697" s="91"/>
      <c r="E697" s="78"/>
      <c r="F697" s="15"/>
      <c r="G697" s="15"/>
      <c r="H697" s="91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  <c r="BH697" s="15"/>
      <c r="BI697" s="15"/>
      <c r="BJ697" s="15"/>
      <c r="BK697" s="15"/>
      <c r="BL697" s="15"/>
      <c r="BM697" s="15"/>
      <c r="BN697" s="92"/>
      <c r="BO697" s="92"/>
      <c r="BP697" s="92"/>
      <c r="BQ697" s="92"/>
      <c r="BR697" s="92"/>
      <c r="BS697" s="92"/>
      <c r="BT697" s="92"/>
      <c r="BU697" s="92"/>
      <c r="BV697" s="92"/>
      <c r="BW697" s="92"/>
      <c r="BX697" s="92"/>
      <c r="BY697" s="92"/>
      <c r="BZ697" s="92"/>
      <c r="CA697" s="92"/>
      <c r="CB697" s="92"/>
      <c r="CC697" s="92"/>
      <c r="CD697" s="92"/>
      <c r="CE697" s="92"/>
      <c r="CF697" s="92"/>
      <c r="CG697" s="92"/>
      <c r="CH697" s="92"/>
      <c r="CI697" s="92"/>
      <c r="CJ697" s="92"/>
      <c r="CK697" s="92"/>
      <c r="CL697" s="92"/>
      <c r="CM697" s="92"/>
      <c r="CN697" s="92"/>
      <c r="CO697" s="92"/>
      <c r="CP697" s="92"/>
      <c r="CQ697" s="92"/>
      <c r="CR697" s="92"/>
      <c r="CS697" s="92"/>
      <c r="CT697" s="92"/>
      <c r="CU697" s="92"/>
      <c r="CV697" s="92"/>
      <c r="CW697" s="92"/>
      <c r="CX697" s="85"/>
      <c r="CY697" s="85"/>
      <c r="CZ697" s="85"/>
      <c r="DA697" s="85"/>
      <c r="DB697" s="85"/>
      <c r="DC697" s="85"/>
      <c r="DD697" s="85"/>
      <c r="DE697" s="85"/>
      <c r="DF697" s="85"/>
      <c r="DG697" s="85"/>
      <c r="DH697" s="85"/>
      <c r="DI697" s="85"/>
      <c r="DJ697" s="85"/>
      <c r="DK697" s="85"/>
      <c r="DL697" s="85"/>
      <c r="DM697" s="85"/>
      <c r="DN697" s="85"/>
      <c r="DO697" s="85"/>
      <c r="DP697" s="85"/>
    </row>
    <row r="698">
      <c r="A698" s="91"/>
      <c r="B698" s="91"/>
      <c r="C698" s="91"/>
      <c r="D698" s="91"/>
      <c r="E698" s="78"/>
      <c r="F698" s="15"/>
      <c r="G698" s="15"/>
      <c r="H698" s="91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15"/>
      <c r="BE698" s="15"/>
      <c r="BF698" s="15"/>
      <c r="BG698" s="15"/>
      <c r="BH698" s="15"/>
      <c r="BI698" s="15"/>
      <c r="BJ698" s="15"/>
      <c r="BK698" s="15"/>
      <c r="BL698" s="15"/>
      <c r="BM698" s="15"/>
      <c r="BN698" s="92"/>
      <c r="BO698" s="92"/>
      <c r="BP698" s="92"/>
      <c r="BQ698" s="92"/>
      <c r="BR698" s="92"/>
      <c r="BS698" s="92"/>
      <c r="BT698" s="92"/>
      <c r="BU698" s="92"/>
      <c r="BV698" s="92"/>
      <c r="BW698" s="92"/>
      <c r="BX698" s="92"/>
      <c r="BY698" s="92"/>
      <c r="BZ698" s="92"/>
      <c r="CA698" s="92"/>
      <c r="CB698" s="92"/>
      <c r="CC698" s="92"/>
      <c r="CD698" s="92"/>
      <c r="CE698" s="92"/>
      <c r="CF698" s="92"/>
      <c r="CG698" s="92"/>
      <c r="CH698" s="92"/>
      <c r="CI698" s="92"/>
      <c r="CJ698" s="92"/>
      <c r="CK698" s="92"/>
      <c r="CL698" s="92"/>
      <c r="CM698" s="92"/>
      <c r="CN698" s="92"/>
      <c r="CO698" s="92"/>
      <c r="CP698" s="92"/>
      <c r="CQ698" s="92"/>
      <c r="CR698" s="92"/>
      <c r="CS698" s="92"/>
      <c r="CT698" s="92"/>
      <c r="CU698" s="92"/>
      <c r="CV698" s="92"/>
      <c r="CW698" s="92"/>
      <c r="CX698" s="85"/>
      <c r="CY698" s="85"/>
      <c r="CZ698" s="85"/>
      <c r="DA698" s="85"/>
      <c r="DB698" s="85"/>
      <c r="DC698" s="85"/>
      <c r="DD698" s="85"/>
      <c r="DE698" s="85"/>
      <c r="DF698" s="85"/>
      <c r="DG698" s="85"/>
      <c r="DH698" s="85"/>
      <c r="DI698" s="85"/>
      <c r="DJ698" s="85"/>
      <c r="DK698" s="85"/>
      <c r="DL698" s="85"/>
      <c r="DM698" s="85"/>
      <c r="DN698" s="85"/>
      <c r="DO698" s="85"/>
      <c r="DP698" s="85"/>
    </row>
    <row r="699">
      <c r="A699" s="91"/>
      <c r="B699" s="91"/>
      <c r="C699" s="91"/>
      <c r="D699" s="91"/>
      <c r="E699" s="78"/>
      <c r="F699" s="15"/>
      <c r="G699" s="15"/>
      <c r="H699" s="91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  <c r="BH699" s="15"/>
      <c r="BI699" s="15"/>
      <c r="BJ699" s="15"/>
      <c r="BK699" s="15"/>
      <c r="BL699" s="15"/>
      <c r="BM699" s="15"/>
      <c r="BN699" s="92"/>
      <c r="BO699" s="92"/>
      <c r="BP699" s="92"/>
      <c r="BQ699" s="92"/>
      <c r="BR699" s="92"/>
      <c r="BS699" s="92"/>
      <c r="BT699" s="92"/>
      <c r="BU699" s="92"/>
      <c r="BV699" s="92"/>
      <c r="BW699" s="92"/>
      <c r="BX699" s="92"/>
      <c r="BY699" s="92"/>
      <c r="BZ699" s="92"/>
      <c r="CA699" s="92"/>
      <c r="CB699" s="92"/>
      <c r="CC699" s="92"/>
      <c r="CD699" s="92"/>
      <c r="CE699" s="92"/>
      <c r="CF699" s="92"/>
      <c r="CG699" s="92"/>
      <c r="CH699" s="92"/>
      <c r="CI699" s="92"/>
      <c r="CJ699" s="92"/>
      <c r="CK699" s="92"/>
      <c r="CL699" s="92"/>
      <c r="CM699" s="92"/>
      <c r="CN699" s="92"/>
      <c r="CO699" s="92"/>
      <c r="CP699" s="92"/>
      <c r="CQ699" s="92"/>
      <c r="CR699" s="92"/>
      <c r="CS699" s="92"/>
      <c r="CT699" s="92"/>
      <c r="CU699" s="92"/>
      <c r="CV699" s="92"/>
      <c r="CW699" s="92"/>
      <c r="CX699" s="85"/>
      <c r="CY699" s="85"/>
      <c r="CZ699" s="85"/>
      <c r="DA699" s="85"/>
      <c r="DB699" s="85"/>
      <c r="DC699" s="85"/>
      <c r="DD699" s="85"/>
      <c r="DE699" s="85"/>
      <c r="DF699" s="85"/>
      <c r="DG699" s="85"/>
      <c r="DH699" s="85"/>
      <c r="DI699" s="85"/>
      <c r="DJ699" s="85"/>
      <c r="DK699" s="85"/>
      <c r="DL699" s="85"/>
      <c r="DM699" s="85"/>
      <c r="DN699" s="85"/>
      <c r="DO699" s="85"/>
      <c r="DP699" s="85"/>
    </row>
    <row r="700">
      <c r="A700" s="91"/>
      <c r="B700" s="91"/>
      <c r="C700" s="91"/>
      <c r="D700" s="91"/>
      <c r="E700" s="78"/>
      <c r="F700" s="15"/>
      <c r="G700" s="15"/>
      <c r="H700" s="91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  <c r="BD700" s="15"/>
      <c r="BE700" s="15"/>
      <c r="BF700" s="15"/>
      <c r="BG700" s="15"/>
      <c r="BH700" s="15"/>
      <c r="BI700" s="15"/>
      <c r="BJ700" s="15"/>
      <c r="BK700" s="15"/>
      <c r="BL700" s="15"/>
      <c r="BM700" s="15"/>
      <c r="BN700" s="92"/>
      <c r="BO700" s="92"/>
      <c r="BP700" s="92"/>
      <c r="BQ700" s="92"/>
      <c r="BR700" s="92"/>
      <c r="BS700" s="92"/>
      <c r="BT700" s="92"/>
      <c r="BU700" s="92"/>
      <c r="BV700" s="92"/>
      <c r="BW700" s="92"/>
      <c r="BX700" s="92"/>
      <c r="BY700" s="92"/>
      <c r="BZ700" s="92"/>
      <c r="CA700" s="92"/>
      <c r="CB700" s="92"/>
      <c r="CC700" s="92"/>
      <c r="CD700" s="92"/>
      <c r="CE700" s="92"/>
      <c r="CF700" s="92"/>
      <c r="CG700" s="92"/>
      <c r="CH700" s="92"/>
      <c r="CI700" s="92"/>
      <c r="CJ700" s="92"/>
      <c r="CK700" s="92"/>
      <c r="CL700" s="92"/>
      <c r="CM700" s="92"/>
      <c r="CN700" s="92"/>
      <c r="CO700" s="92"/>
      <c r="CP700" s="92"/>
      <c r="CQ700" s="92"/>
      <c r="CR700" s="92"/>
      <c r="CS700" s="92"/>
      <c r="CT700" s="92"/>
      <c r="CU700" s="92"/>
      <c r="CV700" s="92"/>
      <c r="CW700" s="92"/>
      <c r="CX700" s="85"/>
      <c r="CY700" s="85"/>
      <c r="CZ700" s="85"/>
      <c r="DA700" s="85"/>
      <c r="DB700" s="85"/>
      <c r="DC700" s="85"/>
      <c r="DD700" s="85"/>
      <c r="DE700" s="85"/>
      <c r="DF700" s="85"/>
      <c r="DG700" s="85"/>
      <c r="DH700" s="85"/>
      <c r="DI700" s="85"/>
      <c r="DJ700" s="85"/>
      <c r="DK700" s="85"/>
      <c r="DL700" s="85"/>
      <c r="DM700" s="85"/>
      <c r="DN700" s="85"/>
      <c r="DO700" s="85"/>
      <c r="DP700" s="85"/>
    </row>
    <row r="701">
      <c r="A701" s="91"/>
      <c r="B701" s="91"/>
      <c r="C701" s="91"/>
      <c r="D701" s="91"/>
      <c r="E701" s="78"/>
      <c r="F701" s="15"/>
      <c r="G701" s="15"/>
      <c r="H701" s="91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  <c r="BH701" s="15"/>
      <c r="BI701" s="15"/>
      <c r="BJ701" s="15"/>
      <c r="BK701" s="15"/>
      <c r="BL701" s="15"/>
      <c r="BM701" s="15"/>
      <c r="BN701" s="92"/>
      <c r="BO701" s="92"/>
      <c r="BP701" s="92"/>
      <c r="BQ701" s="92"/>
      <c r="BR701" s="92"/>
      <c r="BS701" s="92"/>
      <c r="BT701" s="92"/>
      <c r="BU701" s="92"/>
      <c r="BV701" s="92"/>
      <c r="BW701" s="92"/>
      <c r="BX701" s="92"/>
      <c r="BY701" s="92"/>
      <c r="BZ701" s="92"/>
      <c r="CA701" s="92"/>
      <c r="CB701" s="92"/>
      <c r="CC701" s="92"/>
      <c r="CD701" s="92"/>
      <c r="CE701" s="92"/>
      <c r="CF701" s="92"/>
      <c r="CG701" s="92"/>
      <c r="CH701" s="92"/>
      <c r="CI701" s="92"/>
      <c r="CJ701" s="92"/>
      <c r="CK701" s="92"/>
      <c r="CL701" s="92"/>
      <c r="CM701" s="92"/>
      <c r="CN701" s="92"/>
      <c r="CO701" s="92"/>
      <c r="CP701" s="92"/>
      <c r="CQ701" s="92"/>
      <c r="CR701" s="92"/>
      <c r="CS701" s="92"/>
      <c r="CT701" s="92"/>
      <c r="CU701" s="92"/>
      <c r="CV701" s="92"/>
      <c r="CW701" s="92"/>
      <c r="CX701" s="85"/>
      <c r="CY701" s="85"/>
      <c r="CZ701" s="85"/>
      <c r="DA701" s="85"/>
      <c r="DB701" s="85"/>
      <c r="DC701" s="85"/>
      <c r="DD701" s="85"/>
      <c r="DE701" s="85"/>
      <c r="DF701" s="85"/>
      <c r="DG701" s="85"/>
      <c r="DH701" s="85"/>
      <c r="DI701" s="85"/>
      <c r="DJ701" s="85"/>
      <c r="DK701" s="85"/>
      <c r="DL701" s="85"/>
      <c r="DM701" s="85"/>
      <c r="DN701" s="85"/>
      <c r="DO701" s="85"/>
      <c r="DP701" s="85"/>
    </row>
    <row r="702">
      <c r="A702" s="91"/>
      <c r="B702" s="91"/>
      <c r="C702" s="91"/>
      <c r="D702" s="91"/>
      <c r="E702" s="78"/>
      <c r="F702" s="15"/>
      <c r="G702" s="15"/>
      <c r="H702" s="91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s="15"/>
      <c r="BE702" s="15"/>
      <c r="BF702" s="15"/>
      <c r="BG702" s="15"/>
      <c r="BH702" s="15"/>
      <c r="BI702" s="15"/>
      <c r="BJ702" s="15"/>
      <c r="BK702" s="15"/>
      <c r="BL702" s="15"/>
      <c r="BM702" s="15"/>
      <c r="BN702" s="92"/>
      <c r="BO702" s="92"/>
      <c r="BP702" s="92"/>
      <c r="BQ702" s="92"/>
      <c r="BR702" s="92"/>
      <c r="BS702" s="92"/>
      <c r="BT702" s="92"/>
      <c r="BU702" s="92"/>
      <c r="BV702" s="92"/>
      <c r="BW702" s="92"/>
      <c r="BX702" s="92"/>
      <c r="BY702" s="92"/>
      <c r="BZ702" s="92"/>
      <c r="CA702" s="92"/>
      <c r="CB702" s="92"/>
      <c r="CC702" s="92"/>
      <c r="CD702" s="92"/>
      <c r="CE702" s="92"/>
      <c r="CF702" s="92"/>
      <c r="CG702" s="92"/>
      <c r="CH702" s="92"/>
      <c r="CI702" s="92"/>
      <c r="CJ702" s="92"/>
      <c r="CK702" s="92"/>
      <c r="CL702" s="92"/>
      <c r="CM702" s="92"/>
      <c r="CN702" s="92"/>
      <c r="CO702" s="92"/>
      <c r="CP702" s="92"/>
      <c r="CQ702" s="92"/>
      <c r="CR702" s="92"/>
      <c r="CS702" s="92"/>
      <c r="CT702" s="92"/>
      <c r="CU702" s="92"/>
      <c r="CV702" s="92"/>
      <c r="CW702" s="92"/>
      <c r="CX702" s="85"/>
      <c r="CY702" s="85"/>
      <c r="CZ702" s="85"/>
      <c r="DA702" s="85"/>
      <c r="DB702" s="85"/>
      <c r="DC702" s="85"/>
      <c r="DD702" s="85"/>
      <c r="DE702" s="85"/>
      <c r="DF702" s="85"/>
      <c r="DG702" s="85"/>
      <c r="DH702" s="85"/>
      <c r="DI702" s="85"/>
      <c r="DJ702" s="85"/>
      <c r="DK702" s="85"/>
      <c r="DL702" s="85"/>
      <c r="DM702" s="85"/>
      <c r="DN702" s="85"/>
      <c r="DO702" s="85"/>
      <c r="DP702" s="85"/>
    </row>
    <row r="703">
      <c r="A703" s="91"/>
      <c r="B703" s="91"/>
      <c r="C703" s="91"/>
      <c r="D703" s="91"/>
      <c r="E703" s="78"/>
      <c r="F703" s="15"/>
      <c r="G703" s="15"/>
      <c r="H703" s="91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  <c r="BG703" s="15"/>
      <c r="BH703" s="15"/>
      <c r="BI703" s="15"/>
      <c r="BJ703" s="15"/>
      <c r="BK703" s="15"/>
      <c r="BL703" s="15"/>
      <c r="BM703" s="15"/>
      <c r="BN703" s="92"/>
      <c r="BO703" s="92"/>
      <c r="BP703" s="92"/>
      <c r="BQ703" s="92"/>
      <c r="BR703" s="92"/>
      <c r="BS703" s="92"/>
      <c r="BT703" s="92"/>
      <c r="BU703" s="92"/>
      <c r="BV703" s="92"/>
      <c r="BW703" s="92"/>
      <c r="BX703" s="92"/>
      <c r="BY703" s="92"/>
      <c r="BZ703" s="92"/>
      <c r="CA703" s="92"/>
      <c r="CB703" s="92"/>
      <c r="CC703" s="92"/>
      <c r="CD703" s="92"/>
      <c r="CE703" s="92"/>
      <c r="CF703" s="92"/>
      <c r="CG703" s="92"/>
      <c r="CH703" s="92"/>
      <c r="CI703" s="92"/>
      <c r="CJ703" s="92"/>
      <c r="CK703" s="92"/>
      <c r="CL703" s="92"/>
      <c r="CM703" s="92"/>
      <c r="CN703" s="92"/>
      <c r="CO703" s="92"/>
      <c r="CP703" s="92"/>
      <c r="CQ703" s="92"/>
      <c r="CR703" s="92"/>
      <c r="CS703" s="92"/>
      <c r="CT703" s="92"/>
      <c r="CU703" s="92"/>
      <c r="CV703" s="92"/>
      <c r="CW703" s="92"/>
      <c r="CX703" s="85"/>
      <c r="CY703" s="85"/>
      <c r="CZ703" s="85"/>
      <c r="DA703" s="85"/>
      <c r="DB703" s="85"/>
      <c r="DC703" s="85"/>
      <c r="DD703" s="85"/>
      <c r="DE703" s="85"/>
      <c r="DF703" s="85"/>
      <c r="DG703" s="85"/>
      <c r="DH703" s="85"/>
      <c r="DI703" s="85"/>
      <c r="DJ703" s="85"/>
      <c r="DK703" s="85"/>
      <c r="DL703" s="85"/>
      <c r="DM703" s="85"/>
      <c r="DN703" s="85"/>
      <c r="DO703" s="85"/>
      <c r="DP703" s="85"/>
    </row>
    <row r="704">
      <c r="A704" s="91"/>
      <c r="B704" s="91"/>
      <c r="C704" s="91"/>
      <c r="D704" s="91"/>
      <c r="E704" s="78"/>
      <c r="F704" s="15"/>
      <c r="G704" s="15"/>
      <c r="H704" s="91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s="15"/>
      <c r="BE704" s="15"/>
      <c r="BF704" s="15"/>
      <c r="BG704" s="15"/>
      <c r="BH704" s="15"/>
      <c r="BI704" s="15"/>
      <c r="BJ704" s="15"/>
      <c r="BK704" s="15"/>
      <c r="BL704" s="15"/>
      <c r="BM704" s="15"/>
      <c r="BN704" s="92"/>
      <c r="BO704" s="92"/>
      <c r="BP704" s="92"/>
      <c r="BQ704" s="92"/>
      <c r="BR704" s="92"/>
      <c r="BS704" s="92"/>
      <c r="BT704" s="92"/>
      <c r="BU704" s="92"/>
      <c r="BV704" s="92"/>
      <c r="BW704" s="92"/>
      <c r="BX704" s="92"/>
      <c r="BY704" s="92"/>
      <c r="BZ704" s="92"/>
      <c r="CA704" s="92"/>
      <c r="CB704" s="92"/>
      <c r="CC704" s="92"/>
      <c r="CD704" s="92"/>
      <c r="CE704" s="92"/>
      <c r="CF704" s="92"/>
      <c r="CG704" s="92"/>
      <c r="CH704" s="92"/>
      <c r="CI704" s="92"/>
      <c r="CJ704" s="92"/>
      <c r="CK704" s="92"/>
      <c r="CL704" s="92"/>
      <c r="CM704" s="92"/>
      <c r="CN704" s="92"/>
      <c r="CO704" s="92"/>
      <c r="CP704" s="92"/>
      <c r="CQ704" s="92"/>
      <c r="CR704" s="92"/>
      <c r="CS704" s="92"/>
      <c r="CT704" s="92"/>
      <c r="CU704" s="92"/>
      <c r="CV704" s="92"/>
      <c r="CW704" s="92"/>
      <c r="CX704" s="85"/>
      <c r="CY704" s="85"/>
      <c r="CZ704" s="85"/>
      <c r="DA704" s="85"/>
      <c r="DB704" s="85"/>
      <c r="DC704" s="85"/>
      <c r="DD704" s="85"/>
      <c r="DE704" s="85"/>
      <c r="DF704" s="85"/>
      <c r="DG704" s="85"/>
      <c r="DH704" s="85"/>
      <c r="DI704" s="85"/>
      <c r="DJ704" s="85"/>
      <c r="DK704" s="85"/>
      <c r="DL704" s="85"/>
      <c r="DM704" s="85"/>
      <c r="DN704" s="85"/>
      <c r="DO704" s="85"/>
      <c r="DP704" s="85"/>
    </row>
    <row r="705">
      <c r="A705" s="91"/>
      <c r="B705" s="91"/>
      <c r="C705" s="91"/>
      <c r="D705" s="91"/>
      <c r="E705" s="78"/>
      <c r="F705" s="15"/>
      <c r="G705" s="15"/>
      <c r="H705" s="91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  <c r="BH705" s="15"/>
      <c r="BI705" s="15"/>
      <c r="BJ705" s="15"/>
      <c r="BK705" s="15"/>
      <c r="BL705" s="15"/>
      <c r="BM705" s="15"/>
      <c r="BN705" s="92"/>
      <c r="BO705" s="92"/>
      <c r="BP705" s="92"/>
      <c r="BQ705" s="92"/>
      <c r="BR705" s="92"/>
      <c r="BS705" s="92"/>
      <c r="BT705" s="92"/>
      <c r="BU705" s="92"/>
      <c r="BV705" s="92"/>
      <c r="BW705" s="92"/>
      <c r="BX705" s="92"/>
      <c r="BY705" s="92"/>
      <c r="BZ705" s="92"/>
      <c r="CA705" s="92"/>
      <c r="CB705" s="92"/>
      <c r="CC705" s="92"/>
      <c r="CD705" s="92"/>
      <c r="CE705" s="92"/>
      <c r="CF705" s="92"/>
      <c r="CG705" s="92"/>
      <c r="CH705" s="92"/>
      <c r="CI705" s="92"/>
      <c r="CJ705" s="92"/>
      <c r="CK705" s="92"/>
      <c r="CL705" s="92"/>
      <c r="CM705" s="92"/>
      <c r="CN705" s="92"/>
      <c r="CO705" s="92"/>
      <c r="CP705" s="92"/>
      <c r="CQ705" s="92"/>
      <c r="CR705" s="92"/>
      <c r="CS705" s="92"/>
      <c r="CT705" s="92"/>
      <c r="CU705" s="92"/>
      <c r="CV705" s="92"/>
      <c r="CW705" s="92"/>
      <c r="CX705" s="85"/>
      <c r="CY705" s="85"/>
      <c r="CZ705" s="85"/>
      <c r="DA705" s="85"/>
      <c r="DB705" s="85"/>
      <c r="DC705" s="85"/>
      <c r="DD705" s="85"/>
      <c r="DE705" s="85"/>
      <c r="DF705" s="85"/>
      <c r="DG705" s="85"/>
      <c r="DH705" s="85"/>
      <c r="DI705" s="85"/>
      <c r="DJ705" s="85"/>
      <c r="DK705" s="85"/>
      <c r="DL705" s="85"/>
      <c r="DM705" s="85"/>
      <c r="DN705" s="85"/>
      <c r="DO705" s="85"/>
      <c r="DP705" s="85"/>
    </row>
    <row r="706">
      <c r="A706" s="91"/>
      <c r="B706" s="91"/>
      <c r="C706" s="91"/>
      <c r="D706" s="91"/>
      <c r="E706" s="78"/>
      <c r="F706" s="15"/>
      <c r="G706" s="15"/>
      <c r="H706" s="91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s="15"/>
      <c r="BE706" s="15"/>
      <c r="BF706" s="15"/>
      <c r="BG706" s="15"/>
      <c r="BH706" s="15"/>
      <c r="BI706" s="15"/>
      <c r="BJ706" s="15"/>
      <c r="BK706" s="15"/>
      <c r="BL706" s="15"/>
      <c r="BM706" s="15"/>
      <c r="BN706" s="92"/>
      <c r="BO706" s="92"/>
      <c r="BP706" s="92"/>
      <c r="BQ706" s="92"/>
      <c r="BR706" s="92"/>
      <c r="BS706" s="92"/>
      <c r="BT706" s="92"/>
      <c r="BU706" s="92"/>
      <c r="BV706" s="92"/>
      <c r="BW706" s="92"/>
      <c r="BX706" s="92"/>
      <c r="BY706" s="92"/>
      <c r="BZ706" s="92"/>
      <c r="CA706" s="92"/>
      <c r="CB706" s="92"/>
      <c r="CC706" s="92"/>
      <c r="CD706" s="92"/>
      <c r="CE706" s="92"/>
      <c r="CF706" s="92"/>
      <c r="CG706" s="92"/>
      <c r="CH706" s="92"/>
      <c r="CI706" s="92"/>
      <c r="CJ706" s="92"/>
      <c r="CK706" s="92"/>
      <c r="CL706" s="92"/>
      <c r="CM706" s="92"/>
      <c r="CN706" s="92"/>
      <c r="CO706" s="92"/>
      <c r="CP706" s="92"/>
      <c r="CQ706" s="92"/>
      <c r="CR706" s="92"/>
      <c r="CS706" s="92"/>
      <c r="CT706" s="92"/>
      <c r="CU706" s="92"/>
      <c r="CV706" s="92"/>
      <c r="CW706" s="92"/>
      <c r="CX706" s="85"/>
      <c r="CY706" s="85"/>
      <c r="CZ706" s="85"/>
      <c r="DA706" s="85"/>
      <c r="DB706" s="85"/>
      <c r="DC706" s="85"/>
      <c r="DD706" s="85"/>
      <c r="DE706" s="85"/>
      <c r="DF706" s="85"/>
      <c r="DG706" s="85"/>
      <c r="DH706" s="85"/>
      <c r="DI706" s="85"/>
      <c r="DJ706" s="85"/>
      <c r="DK706" s="85"/>
      <c r="DL706" s="85"/>
      <c r="DM706" s="85"/>
      <c r="DN706" s="85"/>
      <c r="DO706" s="85"/>
      <c r="DP706" s="85"/>
    </row>
    <row r="707">
      <c r="A707" s="91"/>
      <c r="B707" s="91"/>
      <c r="C707" s="91"/>
      <c r="D707" s="91"/>
      <c r="E707" s="78"/>
      <c r="F707" s="15"/>
      <c r="G707" s="15"/>
      <c r="H707" s="91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  <c r="BH707" s="15"/>
      <c r="BI707" s="15"/>
      <c r="BJ707" s="15"/>
      <c r="BK707" s="15"/>
      <c r="BL707" s="15"/>
      <c r="BM707" s="15"/>
      <c r="BN707" s="92"/>
      <c r="BO707" s="92"/>
      <c r="BP707" s="92"/>
      <c r="BQ707" s="92"/>
      <c r="BR707" s="92"/>
      <c r="BS707" s="92"/>
      <c r="BT707" s="92"/>
      <c r="BU707" s="92"/>
      <c r="BV707" s="92"/>
      <c r="BW707" s="92"/>
      <c r="BX707" s="92"/>
      <c r="BY707" s="92"/>
      <c r="BZ707" s="92"/>
      <c r="CA707" s="92"/>
      <c r="CB707" s="92"/>
      <c r="CC707" s="92"/>
      <c r="CD707" s="92"/>
      <c r="CE707" s="92"/>
      <c r="CF707" s="92"/>
      <c r="CG707" s="92"/>
      <c r="CH707" s="92"/>
      <c r="CI707" s="92"/>
      <c r="CJ707" s="92"/>
      <c r="CK707" s="92"/>
      <c r="CL707" s="92"/>
      <c r="CM707" s="92"/>
      <c r="CN707" s="92"/>
      <c r="CO707" s="92"/>
      <c r="CP707" s="92"/>
      <c r="CQ707" s="92"/>
      <c r="CR707" s="92"/>
      <c r="CS707" s="92"/>
      <c r="CT707" s="92"/>
      <c r="CU707" s="92"/>
      <c r="CV707" s="92"/>
      <c r="CW707" s="92"/>
      <c r="CX707" s="85"/>
      <c r="CY707" s="85"/>
      <c r="CZ707" s="85"/>
      <c r="DA707" s="85"/>
      <c r="DB707" s="85"/>
      <c r="DC707" s="85"/>
      <c r="DD707" s="85"/>
      <c r="DE707" s="85"/>
      <c r="DF707" s="85"/>
      <c r="DG707" s="85"/>
      <c r="DH707" s="85"/>
      <c r="DI707" s="85"/>
      <c r="DJ707" s="85"/>
      <c r="DK707" s="85"/>
      <c r="DL707" s="85"/>
      <c r="DM707" s="85"/>
      <c r="DN707" s="85"/>
      <c r="DO707" s="85"/>
      <c r="DP707" s="85"/>
    </row>
    <row r="708">
      <c r="A708" s="91"/>
      <c r="B708" s="91"/>
      <c r="C708" s="91"/>
      <c r="D708" s="91"/>
      <c r="E708" s="78"/>
      <c r="F708" s="15"/>
      <c r="G708" s="15"/>
      <c r="H708" s="91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s="15"/>
      <c r="BE708" s="15"/>
      <c r="BF708" s="15"/>
      <c r="BG708" s="15"/>
      <c r="BH708" s="15"/>
      <c r="BI708" s="15"/>
      <c r="BJ708" s="15"/>
      <c r="BK708" s="15"/>
      <c r="BL708" s="15"/>
      <c r="BM708" s="15"/>
      <c r="BN708" s="92"/>
      <c r="BO708" s="92"/>
      <c r="BP708" s="92"/>
      <c r="BQ708" s="92"/>
      <c r="BR708" s="92"/>
      <c r="BS708" s="92"/>
      <c r="BT708" s="92"/>
      <c r="BU708" s="92"/>
      <c r="BV708" s="92"/>
      <c r="BW708" s="92"/>
      <c r="BX708" s="92"/>
      <c r="BY708" s="92"/>
      <c r="BZ708" s="92"/>
      <c r="CA708" s="92"/>
      <c r="CB708" s="92"/>
      <c r="CC708" s="92"/>
      <c r="CD708" s="92"/>
      <c r="CE708" s="92"/>
      <c r="CF708" s="92"/>
      <c r="CG708" s="92"/>
      <c r="CH708" s="92"/>
      <c r="CI708" s="92"/>
      <c r="CJ708" s="92"/>
      <c r="CK708" s="92"/>
      <c r="CL708" s="92"/>
      <c r="CM708" s="92"/>
      <c r="CN708" s="92"/>
      <c r="CO708" s="92"/>
      <c r="CP708" s="92"/>
      <c r="CQ708" s="92"/>
      <c r="CR708" s="92"/>
      <c r="CS708" s="92"/>
      <c r="CT708" s="92"/>
      <c r="CU708" s="92"/>
      <c r="CV708" s="92"/>
      <c r="CW708" s="92"/>
      <c r="CX708" s="85"/>
      <c r="CY708" s="85"/>
      <c r="CZ708" s="85"/>
      <c r="DA708" s="85"/>
      <c r="DB708" s="85"/>
      <c r="DC708" s="85"/>
      <c r="DD708" s="85"/>
      <c r="DE708" s="85"/>
      <c r="DF708" s="85"/>
      <c r="DG708" s="85"/>
      <c r="DH708" s="85"/>
      <c r="DI708" s="85"/>
      <c r="DJ708" s="85"/>
      <c r="DK708" s="85"/>
      <c r="DL708" s="85"/>
      <c r="DM708" s="85"/>
      <c r="DN708" s="85"/>
      <c r="DO708" s="85"/>
      <c r="DP708" s="85"/>
    </row>
    <row r="709">
      <c r="A709" s="91"/>
      <c r="B709" s="91"/>
      <c r="C709" s="91"/>
      <c r="D709" s="91"/>
      <c r="E709" s="78"/>
      <c r="F709" s="15"/>
      <c r="G709" s="15"/>
      <c r="H709" s="91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  <c r="BG709" s="15"/>
      <c r="BH709" s="15"/>
      <c r="BI709" s="15"/>
      <c r="BJ709" s="15"/>
      <c r="BK709" s="15"/>
      <c r="BL709" s="15"/>
      <c r="BM709" s="15"/>
      <c r="BN709" s="92"/>
      <c r="BO709" s="92"/>
      <c r="BP709" s="92"/>
      <c r="BQ709" s="92"/>
      <c r="BR709" s="92"/>
      <c r="BS709" s="92"/>
      <c r="BT709" s="92"/>
      <c r="BU709" s="92"/>
      <c r="BV709" s="92"/>
      <c r="BW709" s="92"/>
      <c r="BX709" s="92"/>
      <c r="BY709" s="92"/>
      <c r="BZ709" s="92"/>
      <c r="CA709" s="92"/>
      <c r="CB709" s="92"/>
      <c r="CC709" s="92"/>
      <c r="CD709" s="92"/>
      <c r="CE709" s="92"/>
      <c r="CF709" s="92"/>
      <c r="CG709" s="92"/>
      <c r="CH709" s="92"/>
      <c r="CI709" s="92"/>
      <c r="CJ709" s="92"/>
      <c r="CK709" s="92"/>
      <c r="CL709" s="92"/>
      <c r="CM709" s="92"/>
      <c r="CN709" s="92"/>
      <c r="CO709" s="92"/>
      <c r="CP709" s="92"/>
      <c r="CQ709" s="92"/>
      <c r="CR709" s="92"/>
      <c r="CS709" s="92"/>
      <c r="CT709" s="92"/>
      <c r="CU709" s="92"/>
      <c r="CV709" s="92"/>
      <c r="CW709" s="92"/>
      <c r="CX709" s="85"/>
      <c r="CY709" s="85"/>
      <c r="CZ709" s="85"/>
      <c r="DA709" s="85"/>
      <c r="DB709" s="85"/>
      <c r="DC709" s="85"/>
      <c r="DD709" s="85"/>
      <c r="DE709" s="85"/>
      <c r="DF709" s="85"/>
      <c r="DG709" s="85"/>
      <c r="DH709" s="85"/>
      <c r="DI709" s="85"/>
      <c r="DJ709" s="85"/>
      <c r="DK709" s="85"/>
      <c r="DL709" s="85"/>
      <c r="DM709" s="85"/>
      <c r="DN709" s="85"/>
      <c r="DO709" s="85"/>
      <c r="DP709" s="85"/>
    </row>
    <row r="710">
      <c r="A710" s="91"/>
      <c r="B710" s="91"/>
      <c r="C710" s="91"/>
      <c r="D710" s="91"/>
      <c r="E710" s="78"/>
      <c r="F710" s="15"/>
      <c r="G710" s="15"/>
      <c r="H710" s="91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  <c r="BD710" s="15"/>
      <c r="BE710" s="15"/>
      <c r="BF710" s="15"/>
      <c r="BG710" s="15"/>
      <c r="BH710" s="15"/>
      <c r="BI710" s="15"/>
      <c r="BJ710" s="15"/>
      <c r="BK710" s="15"/>
      <c r="BL710" s="15"/>
      <c r="BM710" s="15"/>
      <c r="BN710" s="92"/>
      <c r="BO710" s="92"/>
      <c r="BP710" s="92"/>
      <c r="BQ710" s="92"/>
      <c r="BR710" s="92"/>
      <c r="BS710" s="92"/>
      <c r="BT710" s="92"/>
      <c r="BU710" s="92"/>
      <c r="BV710" s="92"/>
      <c r="BW710" s="92"/>
      <c r="BX710" s="92"/>
      <c r="BY710" s="92"/>
      <c r="BZ710" s="92"/>
      <c r="CA710" s="92"/>
      <c r="CB710" s="92"/>
      <c r="CC710" s="92"/>
      <c r="CD710" s="92"/>
      <c r="CE710" s="92"/>
      <c r="CF710" s="92"/>
      <c r="CG710" s="92"/>
      <c r="CH710" s="92"/>
      <c r="CI710" s="92"/>
      <c r="CJ710" s="92"/>
      <c r="CK710" s="92"/>
      <c r="CL710" s="92"/>
      <c r="CM710" s="92"/>
      <c r="CN710" s="92"/>
      <c r="CO710" s="92"/>
      <c r="CP710" s="92"/>
      <c r="CQ710" s="92"/>
      <c r="CR710" s="92"/>
      <c r="CS710" s="92"/>
      <c r="CT710" s="92"/>
      <c r="CU710" s="92"/>
      <c r="CV710" s="92"/>
      <c r="CW710" s="92"/>
      <c r="CX710" s="85"/>
      <c r="CY710" s="85"/>
      <c r="CZ710" s="85"/>
      <c r="DA710" s="85"/>
      <c r="DB710" s="85"/>
      <c r="DC710" s="85"/>
      <c r="DD710" s="85"/>
      <c r="DE710" s="85"/>
      <c r="DF710" s="85"/>
      <c r="DG710" s="85"/>
      <c r="DH710" s="85"/>
      <c r="DI710" s="85"/>
      <c r="DJ710" s="85"/>
      <c r="DK710" s="85"/>
      <c r="DL710" s="85"/>
      <c r="DM710" s="85"/>
      <c r="DN710" s="85"/>
      <c r="DO710" s="85"/>
      <c r="DP710" s="85"/>
    </row>
    <row r="711">
      <c r="A711" s="91"/>
      <c r="B711" s="91"/>
      <c r="C711" s="91"/>
      <c r="D711" s="91"/>
      <c r="E711" s="78"/>
      <c r="F711" s="15"/>
      <c r="G711" s="15"/>
      <c r="H711" s="91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  <c r="BH711" s="15"/>
      <c r="BI711" s="15"/>
      <c r="BJ711" s="15"/>
      <c r="BK711" s="15"/>
      <c r="BL711" s="15"/>
      <c r="BM711" s="15"/>
      <c r="BN711" s="92"/>
      <c r="BO711" s="92"/>
      <c r="BP711" s="92"/>
      <c r="BQ711" s="92"/>
      <c r="BR711" s="92"/>
      <c r="BS711" s="92"/>
      <c r="BT711" s="92"/>
      <c r="BU711" s="92"/>
      <c r="BV711" s="92"/>
      <c r="BW711" s="92"/>
      <c r="BX711" s="92"/>
      <c r="BY711" s="92"/>
      <c r="BZ711" s="92"/>
      <c r="CA711" s="92"/>
      <c r="CB711" s="92"/>
      <c r="CC711" s="92"/>
      <c r="CD711" s="92"/>
      <c r="CE711" s="92"/>
      <c r="CF711" s="92"/>
      <c r="CG711" s="92"/>
      <c r="CH711" s="92"/>
      <c r="CI711" s="92"/>
      <c r="CJ711" s="92"/>
      <c r="CK711" s="92"/>
      <c r="CL711" s="92"/>
      <c r="CM711" s="92"/>
      <c r="CN711" s="92"/>
      <c r="CO711" s="92"/>
      <c r="CP711" s="92"/>
      <c r="CQ711" s="92"/>
      <c r="CR711" s="92"/>
      <c r="CS711" s="92"/>
      <c r="CT711" s="92"/>
      <c r="CU711" s="92"/>
      <c r="CV711" s="92"/>
      <c r="CW711" s="92"/>
      <c r="CX711" s="85"/>
      <c r="CY711" s="85"/>
      <c r="CZ711" s="85"/>
      <c r="DA711" s="85"/>
      <c r="DB711" s="85"/>
      <c r="DC711" s="85"/>
      <c r="DD711" s="85"/>
      <c r="DE711" s="85"/>
      <c r="DF711" s="85"/>
      <c r="DG711" s="85"/>
      <c r="DH711" s="85"/>
      <c r="DI711" s="85"/>
      <c r="DJ711" s="85"/>
      <c r="DK711" s="85"/>
      <c r="DL711" s="85"/>
      <c r="DM711" s="85"/>
      <c r="DN711" s="85"/>
      <c r="DO711" s="85"/>
      <c r="DP711" s="85"/>
    </row>
    <row r="712">
      <c r="A712" s="91"/>
      <c r="B712" s="91"/>
      <c r="C712" s="91"/>
      <c r="D712" s="91"/>
      <c r="E712" s="78"/>
      <c r="F712" s="15"/>
      <c r="G712" s="15"/>
      <c r="H712" s="91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s="15"/>
      <c r="BE712" s="15"/>
      <c r="BF712" s="15"/>
      <c r="BG712" s="15"/>
      <c r="BH712" s="15"/>
      <c r="BI712" s="15"/>
      <c r="BJ712" s="15"/>
      <c r="BK712" s="15"/>
      <c r="BL712" s="15"/>
      <c r="BM712" s="15"/>
      <c r="BN712" s="92"/>
      <c r="BO712" s="92"/>
      <c r="BP712" s="92"/>
      <c r="BQ712" s="92"/>
      <c r="BR712" s="92"/>
      <c r="BS712" s="92"/>
      <c r="BT712" s="92"/>
      <c r="BU712" s="92"/>
      <c r="BV712" s="92"/>
      <c r="BW712" s="92"/>
      <c r="BX712" s="92"/>
      <c r="BY712" s="92"/>
      <c r="BZ712" s="92"/>
      <c r="CA712" s="92"/>
      <c r="CB712" s="92"/>
      <c r="CC712" s="92"/>
      <c r="CD712" s="92"/>
      <c r="CE712" s="92"/>
      <c r="CF712" s="92"/>
      <c r="CG712" s="92"/>
      <c r="CH712" s="92"/>
      <c r="CI712" s="92"/>
      <c r="CJ712" s="92"/>
      <c r="CK712" s="92"/>
      <c r="CL712" s="92"/>
      <c r="CM712" s="92"/>
      <c r="CN712" s="92"/>
      <c r="CO712" s="92"/>
      <c r="CP712" s="92"/>
      <c r="CQ712" s="92"/>
      <c r="CR712" s="92"/>
      <c r="CS712" s="92"/>
      <c r="CT712" s="92"/>
      <c r="CU712" s="92"/>
      <c r="CV712" s="92"/>
      <c r="CW712" s="92"/>
      <c r="CX712" s="85"/>
      <c r="CY712" s="85"/>
      <c r="CZ712" s="85"/>
      <c r="DA712" s="85"/>
      <c r="DB712" s="85"/>
      <c r="DC712" s="85"/>
      <c r="DD712" s="85"/>
      <c r="DE712" s="85"/>
      <c r="DF712" s="85"/>
      <c r="DG712" s="85"/>
      <c r="DH712" s="85"/>
      <c r="DI712" s="85"/>
      <c r="DJ712" s="85"/>
      <c r="DK712" s="85"/>
      <c r="DL712" s="85"/>
      <c r="DM712" s="85"/>
      <c r="DN712" s="85"/>
      <c r="DO712" s="85"/>
      <c r="DP712" s="85"/>
    </row>
    <row r="713">
      <c r="A713" s="91"/>
      <c r="B713" s="91"/>
      <c r="C713" s="91"/>
      <c r="D713" s="91"/>
      <c r="E713" s="78"/>
      <c r="F713" s="15"/>
      <c r="G713" s="15"/>
      <c r="H713" s="91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  <c r="BG713" s="15"/>
      <c r="BH713" s="15"/>
      <c r="BI713" s="15"/>
      <c r="BJ713" s="15"/>
      <c r="BK713" s="15"/>
      <c r="BL713" s="15"/>
      <c r="BM713" s="15"/>
      <c r="BN713" s="92"/>
      <c r="BO713" s="92"/>
      <c r="BP713" s="92"/>
      <c r="BQ713" s="92"/>
      <c r="BR713" s="92"/>
      <c r="BS713" s="92"/>
      <c r="BT713" s="92"/>
      <c r="BU713" s="92"/>
      <c r="BV713" s="92"/>
      <c r="BW713" s="92"/>
      <c r="BX713" s="92"/>
      <c r="BY713" s="92"/>
      <c r="BZ713" s="92"/>
      <c r="CA713" s="92"/>
      <c r="CB713" s="92"/>
      <c r="CC713" s="92"/>
      <c r="CD713" s="92"/>
      <c r="CE713" s="92"/>
      <c r="CF713" s="92"/>
      <c r="CG713" s="92"/>
      <c r="CH713" s="92"/>
      <c r="CI713" s="92"/>
      <c r="CJ713" s="92"/>
      <c r="CK713" s="92"/>
      <c r="CL713" s="92"/>
      <c r="CM713" s="92"/>
      <c r="CN713" s="92"/>
      <c r="CO713" s="92"/>
      <c r="CP713" s="92"/>
      <c r="CQ713" s="92"/>
      <c r="CR713" s="92"/>
      <c r="CS713" s="92"/>
      <c r="CT713" s="92"/>
      <c r="CU713" s="92"/>
      <c r="CV713" s="92"/>
      <c r="CW713" s="92"/>
      <c r="CX713" s="85"/>
      <c r="CY713" s="85"/>
      <c r="CZ713" s="85"/>
      <c r="DA713" s="85"/>
      <c r="DB713" s="85"/>
      <c r="DC713" s="85"/>
      <c r="DD713" s="85"/>
      <c r="DE713" s="85"/>
      <c r="DF713" s="85"/>
      <c r="DG713" s="85"/>
      <c r="DH713" s="85"/>
      <c r="DI713" s="85"/>
      <c r="DJ713" s="85"/>
      <c r="DK713" s="85"/>
      <c r="DL713" s="85"/>
      <c r="DM713" s="85"/>
      <c r="DN713" s="85"/>
      <c r="DO713" s="85"/>
      <c r="DP713" s="85"/>
    </row>
    <row r="714">
      <c r="A714" s="91"/>
      <c r="B714" s="91"/>
      <c r="C714" s="91"/>
      <c r="D714" s="91"/>
      <c r="E714" s="78"/>
      <c r="F714" s="15"/>
      <c r="G714" s="15"/>
      <c r="H714" s="91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s="15"/>
      <c r="BE714" s="15"/>
      <c r="BF714" s="15"/>
      <c r="BG714" s="15"/>
      <c r="BH714" s="15"/>
      <c r="BI714" s="15"/>
      <c r="BJ714" s="15"/>
      <c r="BK714" s="15"/>
      <c r="BL714" s="15"/>
      <c r="BM714" s="15"/>
      <c r="BN714" s="92"/>
      <c r="BO714" s="92"/>
      <c r="BP714" s="92"/>
      <c r="BQ714" s="92"/>
      <c r="BR714" s="92"/>
      <c r="BS714" s="92"/>
      <c r="BT714" s="92"/>
      <c r="BU714" s="92"/>
      <c r="BV714" s="92"/>
      <c r="BW714" s="92"/>
      <c r="BX714" s="92"/>
      <c r="BY714" s="92"/>
      <c r="BZ714" s="92"/>
      <c r="CA714" s="92"/>
      <c r="CB714" s="92"/>
      <c r="CC714" s="92"/>
      <c r="CD714" s="92"/>
      <c r="CE714" s="92"/>
      <c r="CF714" s="92"/>
      <c r="CG714" s="92"/>
      <c r="CH714" s="92"/>
      <c r="CI714" s="92"/>
      <c r="CJ714" s="92"/>
      <c r="CK714" s="92"/>
      <c r="CL714" s="92"/>
      <c r="CM714" s="92"/>
      <c r="CN714" s="92"/>
      <c r="CO714" s="92"/>
      <c r="CP714" s="92"/>
      <c r="CQ714" s="92"/>
      <c r="CR714" s="92"/>
      <c r="CS714" s="92"/>
      <c r="CT714" s="92"/>
      <c r="CU714" s="92"/>
      <c r="CV714" s="92"/>
      <c r="CW714" s="92"/>
      <c r="CX714" s="85"/>
      <c r="CY714" s="85"/>
      <c r="CZ714" s="85"/>
      <c r="DA714" s="85"/>
      <c r="DB714" s="85"/>
      <c r="DC714" s="85"/>
      <c r="DD714" s="85"/>
      <c r="DE714" s="85"/>
      <c r="DF714" s="85"/>
      <c r="DG714" s="85"/>
      <c r="DH714" s="85"/>
      <c r="DI714" s="85"/>
      <c r="DJ714" s="85"/>
      <c r="DK714" s="85"/>
      <c r="DL714" s="85"/>
      <c r="DM714" s="85"/>
      <c r="DN714" s="85"/>
      <c r="DO714" s="85"/>
      <c r="DP714" s="85"/>
    </row>
    <row r="715">
      <c r="A715" s="91"/>
      <c r="B715" s="91"/>
      <c r="C715" s="91"/>
      <c r="D715" s="91"/>
      <c r="E715" s="78"/>
      <c r="F715" s="15"/>
      <c r="G715" s="15"/>
      <c r="H715" s="91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  <c r="BG715" s="15"/>
      <c r="BH715" s="15"/>
      <c r="BI715" s="15"/>
      <c r="BJ715" s="15"/>
      <c r="BK715" s="15"/>
      <c r="BL715" s="15"/>
      <c r="BM715" s="15"/>
      <c r="BN715" s="92"/>
      <c r="BO715" s="92"/>
      <c r="BP715" s="92"/>
      <c r="BQ715" s="92"/>
      <c r="BR715" s="92"/>
      <c r="BS715" s="92"/>
      <c r="BT715" s="92"/>
      <c r="BU715" s="92"/>
      <c r="BV715" s="92"/>
      <c r="BW715" s="92"/>
      <c r="BX715" s="92"/>
      <c r="BY715" s="92"/>
      <c r="BZ715" s="92"/>
      <c r="CA715" s="92"/>
      <c r="CB715" s="92"/>
      <c r="CC715" s="92"/>
      <c r="CD715" s="92"/>
      <c r="CE715" s="92"/>
      <c r="CF715" s="92"/>
      <c r="CG715" s="92"/>
      <c r="CH715" s="92"/>
      <c r="CI715" s="92"/>
      <c r="CJ715" s="92"/>
      <c r="CK715" s="92"/>
      <c r="CL715" s="92"/>
      <c r="CM715" s="92"/>
      <c r="CN715" s="92"/>
      <c r="CO715" s="92"/>
      <c r="CP715" s="92"/>
      <c r="CQ715" s="92"/>
      <c r="CR715" s="92"/>
      <c r="CS715" s="92"/>
      <c r="CT715" s="92"/>
      <c r="CU715" s="92"/>
      <c r="CV715" s="92"/>
      <c r="CW715" s="92"/>
      <c r="CX715" s="85"/>
      <c r="CY715" s="85"/>
      <c r="CZ715" s="85"/>
      <c r="DA715" s="85"/>
      <c r="DB715" s="85"/>
      <c r="DC715" s="85"/>
      <c r="DD715" s="85"/>
      <c r="DE715" s="85"/>
      <c r="DF715" s="85"/>
      <c r="DG715" s="85"/>
      <c r="DH715" s="85"/>
      <c r="DI715" s="85"/>
      <c r="DJ715" s="85"/>
      <c r="DK715" s="85"/>
      <c r="DL715" s="85"/>
      <c r="DM715" s="85"/>
      <c r="DN715" s="85"/>
      <c r="DO715" s="85"/>
      <c r="DP715" s="85"/>
    </row>
    <row r="716">
      <c r="A716" s="91"/>
      <c r="B716" s="91"/>
      <c r="C716" s="91"/>
      <c r="D716" s="91"/>
      <c r="E716" s="78"/>
      <c r="F716" s="15"/>
      <c r="G716" s="15"/>
      <c r="H716" s="91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  <c r="BD716" s="15"/>
      <c r="BE716" s="15"/>
      <c r="BF716" s="15"/>
      <c r="BG716" s="15"/>
      <c r="BH716" s="15"/>
      <c r="BI716" s="15"/>
      <c r="BJ716" s="15"/>
      <c r="BK716" s="15"/>
      <c r="BL716" s="15"/>
      <c r="BM716" s="15"/>
      <c r="BN716" s="92"/>
      <c r="BO716" s="92"/>
      <c r="BP716" s="92"/>
      <c r="BQ716" s="92"/>
      <c r="BR716" s="92"/>
      <c r="BS716" s="92"/>
      <c r="BT716" s="92"/>
      <c r="BU716" s="92"/>
      <c r="BV716" s="92"/>
      <c r="BW716" s="92"/>
      <c r="BX716" s="92"/>
      <c r="BY716" s="92"/>
      <c r="BZ716" s="92"/>
      <c r="CA716" s="92"/>
      <c r="CB716" s="92"/>
      <c r="CC716" s="92"/>
      <c r="CD716" s="92"/>
      <c r="CE716" s="92"/>
      <c r="CF716" s="92"/>
      <c r="CG716" s="92"/>
      <c r="CH716" s="92"/>
      <c r="CI716" s="92"/>
      <c r="CJ716" s="92"/>
      <c r="CK716" s="92"/>
      <c r="CL716" s="92"/>
      <c r="CM716" s="92"/>
      <c r="CN716" s="92"/>
      <c r="CO716" s="92"/>
      <c r="CP716" s="92"/>
      <c r="CQ716" s="92"/>
      <c r="CR716" s="92"/>
      <c r="CS716" s="92"/>
      <c r="CT716" s="92"/>
      <c r="CU716" s="92"/>
      <c r="CV716" s="92"/>
      <c r="CW716" s="92"/>
      <c r="CX716" s="85"/>
      <c r="CY716" s="85"/>
      <c r="CZ716" s="85"/>
      <c r="DA716" s="85"/>
      <c r="DB716" s="85"/>
      <c r="DC716" s="85"/>
      <c r="DD716" s="85"/>
      <c r="DE716" s="85"/>
      <c r="DF716" s="85"/>
      <c r="DG716" s="85"/>
      <c r="DH716" s="85"/>
      <c r="DI716" s="85"/>
      <c r="DJ716" s="85"/>
      <c r="DK716" s="85"/>
      <c r="DL716" s="85"/>
      <c r="DM716" s="85"/>
      <c r="DN716" s="85"/>
      <c r="DO716" s="85"/>
      <c r="DP716" s="85"/>
    </row>
    <row r="717">
      <c r="A717" s="91"/>
      <c r="B717" s="91"/>
      <c r="C717" s="91"/>
      <c r="D717" s="91"/>
      <c r="E717" s="78"/>
      <c r="F717" s="15"/>
      <c r="G717" s="15"/>
      <c r="H717" s="91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15"/>
      <c r="BH717" s="15"/>
      <c r="BI717" s="15"/>
      <c r="BJ717" s="15"/>
      <c r="BK717" s="15"/>
      <c r="BL717" s="15"/>
      <c r="BM717" s="15"/>
      <c r="BN717" s="92"/>
      <c r="BO717" s="92"/>
      <c r="BP717" s="92"/>
      <c r="BQ717" s="92"/>
      <c r="BR717" s="92"/>
      <c r="BS717" s="92"/>
      <c r="BT717" s="92"/>
      <c r="BU717" s="92"/>
      <c r="BV717" s="92"/>
      <c r="BW717" s="92"/>
      <c r="BX717" s="92"/>
      <c r="BY717" s="92"/>
      <c r="BZ717" s="92"/>
      <c r="CA717" s="92"/>
      <c r="CB717" s="92"/>
      <c r="CC717" s="92"/>
      <c r="CD717" s="92"/>
      <c r="CE717" s="92"/>
      <c r="CF717" s="92"/>
      <c r="CG717" s="92"/>
      <c r="CH717" s="92"/>
      <c r="CI717" s="92"/>
      <c r="CJ717" s="92"/>
      <c r="CK717" s="92"/>
      <c r="CL717" s="92"/>
      <c r="CM717" s="92"/>
      <c r="CN717" s="92"/>
      <c r="CO717" s="92"/>
      <c r="CP717" s="92"/>
      <c r="CQ717" s="92"/>
      <c r="CR717" s="92"/>
      <c r="CS717" s="92"/>
      <c r="CT717" s="92"/>
      <c r="CU717" s="92"/>
      <c r="CV717" s="92"/>
      <c r="CW717" s="92"/>
      <c r="CX717" s="85"/>
      <c r="CY717" s="85"/>
      <c r="CZ717" s="85"/>
      <c r="DA717" s="85"/>
      <c r="DB717" s="85"/>
      <c r="DC717" s="85"/>
      <c r="DD717" s="85"/>
      <c r="DE717" s="85"/>
      <c r="DF717" s="85"/>
      <c r="DG717" s="85"/>
      <c r="DH717" s="85"/>
      <c r="DI717" s="85"/>
      <c r="DJ717" s="85"/>
      <c r="DK717" s="85"/>
      <c r="DL717" s="85"/>
      <c r="DM717" s="85"/>
      <c r="DN717" s="85"/>
      <c r="DO717" s="85"/>
      <c r="DP717" s="85"/>
    </row>
    <row r="718">
      <c r="A718" s="91"/>
      <c r="B718" s="91"/>
      <c r="C718" s="91"/>
      <c r="D718" s="91"/>
      <c r="E718" s="78"/>
      <c r="F718" s="15"/>
      <c r="G718" s="15"/>
      <c r="H718" s="91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s="15"/>
      <c r="BE718" s="15"/>
      <c r="BF718" s="15"/>
      <c r="BG718" s="15"/>
      <c r="BH718" s="15"/>
      <c r="BI718" s="15"/>
      <c r="BJ718" s="15"/>
      <c r="BK718" s="15"/>
      <c r="BL718" s="15"/>
      <c r="BM718" s="15"/>
      <c r="BN718" s="92"/>
      <c r="BO718" s="92"/>
      <c r="BP718" s="92"/>
      <c r="BQ718" s="92"/>
      <c r="BR718" s="92"/>
      <c r="BS718" s="92"/>
      <c r="BT718" s="92"/>
      <c r="BU718" s="92"/>
      <c r="BV718" s="92"/>
      <c r="BW718" s="92"/>
      <c r="BX718" s="92"/>
      <c r="BY718" s="92"/>
      <c r="BZ718" s="92"/>
      <c r="CA718" s="92"/>
      <c r="CB718" s="92"/>
      <c r="CC718" s="92"/>
      <c r="CD718" s="92"/>
      <c r="CE718" s="92"/>
      <c r="CF718" s="92"/>
      <c r="CG718" s="92"/>
      <c r="CH718" s="92"/>
      <c r="CI718" s="92"/>
      <c r="CJ718" s="92"/>
      <c r="CK718" s="92"/>
      <c r="CL718" s="92"/>
      <c r="CM718" s="92"/>
      <c r="CN718" s="92"/>
      <c r="CO718" s="92"/>
      <c r="CP718" s="92"/>
      <c r="CQ718" s="92"/>
      <c r="CR718" s="92"/>
      <c r="CS718" s="92"/>
      <c r="CT718" s="92"/>
      <c r="CU718" s="92"/>
      <c r="CV718" s="92"/>
      <c r="CW718" s="92"/>
      <c r="CX718" s="85"/>
      <c r="CY718" s="85"/>
      <c r="CZ718" s="85"/>
      <c r="DA718" s="85"/>
      <c r="DB718" s="85"/>
      <c r="DC718" s="85"/>
      <c r="DD718" s="85"/>
      <c r="DE718" s="85"/>
      <c r="DF718" s="85"/>
      <c r="DG718" s="85"/>
      <c r="DH718" s="85"/>
      <c r="DI718" s="85"/>
      <c r="DJ718" s="85"/>
      <c r="DK718" s="85"/>
      <c r="DL718" s="85"/>
      <c r="DM718" s="85"/>
      <c r="DN718" s="85"/>
      <c r="DO718" s="85"/>
      <c r="DP718" s="85"/>
    </row>
    <row r="719">
      <c r="A719" s="91"/>
      <c r="B719" s="91"/>
      <c r="C719" s="91"/>
      <c r="D719" s="91"/>
      <c r="E719" s="78"/>
      <c r="F719" s="15"/>
      <c r="G719" s="15"/>
      <c r="H719" s="91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  <c r="BG719" s="15"/>
      <c r="BH719" s="15"/>
      <c r="BI719" s="15"/>
      <c r="BJ719" s="15"/>
      <c r="BK719" s="15"/>
      <c r="BL719" s="15"/>
      <c r="BM719" s="15"/>
      <c r="BN719" s="92"/>
      <c r="BO719" s="92"/>
      <c r="BP719" s="92"/>
      <c r="BQ719" s="92"/>
      <c r="BR719" s="92"/>
      <c r="BS719" s="92"/>
      <c r="BT719" s="92"/>
      <c r="BU719" s="92"/>
      <c r="BV719" s="92"/>
      <c r="BW719" s="92"/>
      <c r="BX719" s="92"/>
      <c r="BY719" s="92"/>
      <c r="BZ719" s="92"/>
      <c r="CA719" s="92"/>
      <c r="CB719" s="92"/>
      <c r="CC719" s="92"/>
      <c r="CD719" s="92"/>
      <c r="CE719" s="92"/>
      <c r="CF719" s="92"/>
      <c r="CG719" s="92"/>
      <c r="CH719" s="92"/>
      <c r="CI719" s="92"/>
      <c r="CJ719" s="92"/>
      <c r="CK719" s="92"/>
      <c r="CL719" s="92"/>
      <c r="CM719" s="92"/>
      <c r="CN719" s="92"/>
      <c r="CO719" s="92"/>
      <c r="CP719" s="92"/>
      <c r="CQ719" s="92"/>
      <c r="CR719" s="92"/>
      <c r="CS719" s="92"/>
      <c r="CT719" s="92"/>
      <c r="CU719" s="92"/>
      <c r="CV719" s="92"/>
      <c r="CW719" s="92"/>
      <c r="CX719" s="85"/>
      <c r="CY719" s="85"/>
      <c r="CZ719" s="85"/>
      <c r="DA719" s="85"/>
      <c r="DB719" s="85"/>
      <c r="DC719" s="85"/>
      <c r="DD719" s="85"/>
      <c r="DE719" s="85"/>
      <c r="DF719" s="85"/>
      <c r="DG719" s="85"/>
      <c r="DH719" s="85"/>
      <c r="DI719" s="85"/>
      <c r="DJ719" s="85"/>
      <c r="DK719" s="85"/>
      <c r="DL719" s="85"/>
      <c r="DM719" s="85"/>
      <c r="DN719" s="85"/>
      <c r="DO719" s="85"/>
      <c r="DP719" s="85"/>
    </row>
    <row r="720">
      <c r="A720" s="91"/>
      <c r="B720" s="91"/>
      <c r="C720" s="91"/>
      <c r="D720" s="91"/>
      <c r="E720" s="78"/>
      <c r="F720" s="15"/>
      <c r="G720" s="15"/>
      <c r="H720" s="91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  <c r="BD720" s="15"/>
      <c r="BE720" s="15"/>
      <c r="BF720" s="15"/>
      <c r="BG720" s="15"/>
      <c r="BH720" s="15"/>
      <c r="BI720" s="15"/>
      <c r="BJ720" s="15"/>
      <c r="BK720" s="15"/>
      <c r="BL720" s="15"/>
      <c r="BM720" s="15"/>
      <c r="BN720" s="92"/>
      <c r="BO720" s="92"/>
      <c r="BP720" s="92"/>
      <c r="BQ720" s="92"/>
      <c r="BR720" s="92"/>
      <c r="BS720" s="92"/>
      <c r="BT720" s="92"/>
      <c r="BU720" s="92"/>
      <c r="BV720" s="92"/>
      <c r="BW720" s="92"/>
      <c r="BX720" s="92"/>
      <c r="BY720" s="92"/>
      <c r="BZ720" s="92"/>
      <c r="CA720" s="92"/>
      <c r="CB720" s="92"/>
      <c r="CC720" s="92"/>
      <c r="CD720" s="92"/>
      <c r="CE720" s="92"/>
      <c r="CF720" s="92"/>
      <c r="CG720" s="92"/>
      <c r="CH720" s="92"/>
      <c r="CI720" s="92"/>
      <c r="CJ720" s="92"/>
      <c r="CK720" s="92"/>
      <c r="CL720" s="92"/>
      <c r="CM720" s="92"/>
      <c r="CN720" s="92"/>
      <c r="CO720" s="92"/>
      <c r="CP720" s="92"/>
      <c r="CQ720" s="92"/>
      <c r="CR720" s="92"/>
      <c r="CS720" s="92"/>
      <c r="CT720" s="92"/>
      <c r="CU720" s="92"/>
      <c r="CV720" s="92"/>
      <c r="CW720" s="92"/>
      <c r="CX720" s="85"/>
      <c r="CY720" s="85"/>
      <c r="CZ720" s="85"/>
      <c r="DA720" s="85"/>
      <c r="DB720" s="85"/>
      <c r="DC720" s="85"/>
      <c r="DD720" s="85"/>
      <c r="DE720" s="85"/>
      <c r="DF720" s="85"/>
      <c r="DG720" s="85"/>
      <c r="DH720" s="85"/>
      <c r="DI720" s="85"/>
      <c r="DJ720" s="85"/>
      <c r="DK720" s="85"/>
      <c r="DL720" s="85"/>
      <c r="DM720" s="85"/>
      <c r="DN720" s="85"/>
      <c r="DO720" s="85"/>
      <c r="DP720" s="85"/>
    </row>
    <row r="721">
      <c r="A721" s="91"/>
      <c r="B721" s="91"/>
      <c r="C721" s="91"/>
      <c r="D721" s="91"/>
      <c r="E721" s="78"/>
      <c r="F721" s="15"/>
      <c r="G721" s="15"/>
      <c r="H721" s="91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  <c r="BH721" s="15"/>
      <c r="BI721" s="15"/>
      <c r="BJ721" s="15"/>
      <c r="BK721" s="15"/>
      <c r="BL721" s="15"/>
      <c r="BM721" s="15"/>
      <c r="BN721" s="92"/>
      <c r="BO721" s="92"/>
      <c r="BP721" s="92"/>
      <c r="BQ721" s="92"/>
      <c r="BR721" s="92"/>
      <c r="BS721" s="92"/>
      <c r="BT721" s="92"/>
      <c r="BU721" s="92"/>
      <c r="BV721" s="92"/>
      <c r="BW721" s="92"/>
      <c r="BX721" s="92"/>
      <c r="BY721" s="92"/>
      <c r="BZ721" s="92"/>
      <c r="CA721" s="92"/>
      <c r="CB721" s="92"/>
      <c r="CC721" s="92"/>
      <c r="CD721" s="92"/>
      <c r="CE721" s="92"/>
      <c r="CF721" s="92"/>
      <c r="CG721" s="92"/>
      <c r="CH721" s="92"/>
      <c r="CI721" s="92"/>
      <c r="CJ721" s="92"/>
      <c r="CK721" s="92"/>
      <c r="CL721" s="92"/>
      <c r="CM721" s="92"/>
      <c r="CN721" s="92"/>
      <c r="CO721" s="92"/>
      <c r="CP721" s="92"/>
      <c r="CQ721" s="92"/>
      <c r="CR721" s="92"/>
      <c r="CS721" s="92"/>
      <c r="CT721" s="92"/>
      <c r="CU721" s="92"/>
      <c r="CV721" s="92"/>
      <c r="CW721" s="92"/>
      <c r="CX721" s="85"/>
      <c r="CY721" s="85"/>
      <c r="CZ721" s="85"/>
      <c r="DA721" s="85"/>
      <c r="DB721" s="85"/>
      <c r="DC721" s="85"/>
      <c r="DD721" s="85"/>
      <c r="DE721" s="85"/>
      <c r="DF721" s="85"/>
      <c r="DG721" s="85"/>
      <c r="DH721" s="85"/>
      <c r="DI721" s="85"/>
      <c r="DJ721" s="85"/>
      <c r="DK721" s="85"/>
      <c r="DL721" s="85"/>
      <c r="DM721" s="85"/>
      <c r="DN721" s="85"/>
      <c r="DO721" s="85"/>
      <c r="DP721" s="85"/>
    </row>
    <row r="722">
      <c r="A722" s="91"/>
      <c r="B722" s="91"/>
      <c r="C722" s="91"/>
      <c r="D722" s="91"/>
      <c r="E722" s="78"/>
      <c r="F722" s="15"/>
      <c r="G722" s="15"/>
      <c r="H722" s="91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s="15"/>
      <c r="BE722" s="15"/>
      <c r="BF722" s="15"/>
      <c r="BG722" s="15"/>
      <c r="BH722" s="15"/>
      <c r="BI722" s="15"/>
      <c r="BJ722" s="15"/>
      <c r="BK722" s="15"/>
      <c r="BL722" s="15"/>
      <c r="BM722" s="15"/>
      <c r="BN722" s="92"/>
      <c r="BO722" s="92"/>
      <c r="BP722" s="92"/>
      <c r="BQ722" s="92"/>
      <c r="BR722" s="92"/>
      <c r="BS722" s="92"/>
      <c r="BT722" s="92"/>
      <c r="BU722" s="92"/>
      <c r="BV722" s="92"/>
      <c r="BW722" s="92"/>
      <c r="BX722" s="92"/>
      <c r="BY722" s="92"/>
      <c r="BZ722" s="92"/>
      <c r="CA722" s="92"/>
      <c r="CB722" s="92"/>
      <c r="CC722" s="92"/>
      <c r="CD722" s="92"/>
      <c r="CE722" s="92"/>
      <c r="CF722" s="92"/>
      <c r="CG722" s="92"/>
      <c r="CH722" s="92"/>
      <c r="CI722" s="92"/>
      <c r="CJ722" s="92"/>
      <c r="CK722" s="92"/>
      <c r="CL722" s="92"/>
      <c r="CM722" s="92"/>
      <c r="CN722" s="92"/>
      <c r="CO722" s="92"/>
      <c r="CP722" s="92"/>
      <c r="CQ722" s="92"/>
      <c r="CR722" s="92"/>
      <c r="CS722" s="92"/>
      <c r="CT722" s="92"/>
      <c r="CU722" s="92"/>
      <c r="CV722" s="92"/>
      <c r="CW722" s="92"/>
      <c r="CX722" s="85"/>
      <c r="CY722" s="85"/>
      <c r="CZ722" s="85"/>
      <c r="DA722" s="85"/>
      <c r="DB722" s="85"/>
      <c r="DC722" s="85"/>
      <c r="DD722" s="85"/>
      <c r="DE722" s="85"/>
      <c r="DF722" s="85"/>
      <c r="DG722" s="85"/>
      <c r="DH722" s="85"/>
      <c r="DI722" s="85"/>
      <c r="DJ722" s="85"/>
      <c r="DK722" s="85"/>
      <c r="DL722" s="85"/>
      <c r="DM722" s="85"/>
      <c r="DN722" s="85"/>
      <c r="DO722" s="85"/>
      <c r="DP722" s="85"/>
    </row>
    <row r="723">
      <c r="A723" s="91"/>
      <c r="B723" s="91"/>
      <c r="C723" s="91"/>
      <c r="D723" s="91"/>
      <c r="E723" s="78"/>
      <c r="F723" s="15"/>
      <c r="G723" s="15"/>
      <c r="H723" s="91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  <c r="BG723" s="15"/>
      <c r="BH723" s="15"/>
      <c r="BI723" s="15"/>
      <c r="BJ723" s="15"/>
      <c r="BK723" s="15"/>
      <c r="BL723" s="15"/>
      <c r="BM723" s="15"/>
      <c r="BN723" s="92"/>
      <c r="BO723" s="92"/>
      <c r="BP723" s="92"/>
      <c r="BQ723" s="92"/>
      <c r="BR723" s="92"/>
      <c r="BS723" s="92"/>
      <c r="BT723" s="92"/>
      <c r="BU723" s="92"/>
      <c r="BV723" s="92"/>
      <c r="BW723" s="92"/>
      <c r="BX723" s="92"/>
      <c r="BY723" s="92"/>
      <c r="BZ723" s="92"/>
      <c r="CA723" s="92"/>
      <c r="CB723" s="92"/>
      <c r="CC723" s="92"/>
      <c r="CD723" s="92"/>
      <c r="CE723" s="92"/>
      <c r="CF723" s="92"/>
      <c r="CG723" s="92"/>
      <c r="CH723" s="92"/>
      <c r="CI723" s="92"/>
      <c r="CJ723" s="92"/>
      <c r="CK723" s="92"/>
      <c r="CL723" s="92"/>
      <c r="CM723" s="92"/>
      <c r="CN723" s="92"/>
      <c r="CO723" s="92"/>
      <c r="CP723" s="92"/>
      <c r="CQ723" s="92"/>
      <c r="CR723" s="92"/>
      <c r="CS723" s="92"/>
      <c r="CT723" s="92"/>
      <c r="CU723" s="92"/>
      <c r="CV723" s="92"/>
      <c r="CW723" s="92"/>
      <c r="CX723" s="85"/>
      <c r="CY723" s="85"/>
      <c r="CZ723" s="85"/>
      <c r="DA723" s="85"/>
      <c r="DB723" s="85"/>
      <c r="DC723" s="85"/>
      <c r="DD723" s="85"/>
      <c r="DE723" s="85"/>
      <c r="DF723" s="85"/>
      <c r="DG723" s="85"/>
      <c r="DH723" s="85"/>
      <c r="DI723" s="85"/>
      <c r="DJ723" s="85"/>
      <c r="DK723" s="85"/>
      <c r="DL723" s="85"/>
      <c r="DM723" s="85"/>
      <c r="DN723" s="85"/>
      <c r="DO723" s="85"/>
      <c r="DP723" s="85"/>
    </row>
    <row r="724">
      <c r="A724" s="91"/>
      <c r="B724" s="91"/>
      <c r="C724" s="91"/>
      <c r="D724" s="91"/>
      <c r="E724" s="78"/>
      <c r="F724" s="15"/>
      <c r="G724" s="15"/>
      <c r="H724" s="91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  <c r="BD724" s="15"/>
      <c r="BE724" s="15"/>
      <c r="BF724" s="15"/>
      <c r="BG724" s="15"/>
      <c r="BH724" s="15"/>
      <c r="BI724" s="15"/>
      <c r="BJ724" s="15"/>
      <c r="BK724" s="15"/>
      <c r="BL724" s="15"/>
      <c r="BM724" s="15"/>
      <c r="BN724" s="92"/>
      <c r="BO724" s="92"/>
      <c r="BP724" s="92"/>
      <c r="BQ724" s="92"/>
      <c r="BR724" s="92"/>
      <c r="BS724" s="92"/>
      <c r="BT724" s="92"/>
      <c r="BU724" s="92"/>
      <c r="BV724" s="92"/>
      <c r="BW724" s="92"/>
      <c r="BX724" s="92"/>
      <c r="BY724" s="92"/>
      <c r="BZ724" s="92"/>
      <c r="CA724" s="92"/>
      <c r="CB724" s="92"/>
      <c r="CC724" s="92"/>
      <c r="CD724" s="92"/>
      <c r="CE724" s="92"/>
      <c r="CF724" s="92"/>
      <c r="CG724" s="92"/>
      <c r="CH724" s="92"/>
      <c r="CI724" s="92"/>
      <c r="CJ724" s="92"/>
      <c r="CK724" s="92"/>
      <c r="CL724" s="92"/>
      <c r="CM724" s="92"/>
      <c r="CN724" s="92"/>
      <c r="CO724" s="92"/>
      <c r="CP724" s="92"/>
      <c r="CQ724" s="92"/>
      <c r="CR724" s="92"/>
      <c r="CS724" s="92"/>
      <c r="CT724" s="92"/>
      <c r="CU724" s="92"/>
      <c r="CV724" s="92"/>
      <c r="CW724" s="92"/>
      <c r="CX724" s="85"/>
      <c r="CY724" s="85"/>
      <c r="CZ724" s="85"/>
      <c r="DA724" s="85"/>
      <c r="DB724" s="85"/>
      <c r="DC724" s="85"/>
      <c r="DD724" s="85"/>
      <c r="DE724" s="85"/>
      <c r="DF724" s="85"/>
      <c r="DG724" s="85"/>
      <c r="DH724" s="85"/>
      <c r="DI724" s="85"/>
      <c r="DJ724" s="85"/>
      <c r="DK724" s="85"/>
      <c r="DL724" s="85"/>
      <c r="DM724" s="85"/>
      <c r="DN724" s="85"/>
      <c r="DO724" s="85"/>
      <c r="DP724" s="85"/>
    </row>
    <row r="725">
      <c r="A725" s="91"/>
      <c r="B725" s="91"/>
      <c r="C725" s="91"/>
      <c r="D725" s="91"/>
      <c r="E725" s="78"/>
      <c r="F725" s="15"/>
      <c r="G725" s="15"/>
      <c r="H725" s="91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15"/>
      <c r="BH725" s="15"/>
      <c r="BI725" s="15"/>
      <c r="BJ725" s="15"/>
      <c r="BK725" s="15"/>
      <c r="BL725" s="15"/>
      <c r="BM725" s="15"/>
      <c r="BN725" s="92"/>
      <c r="BO725" s="92"/>
      <c r="BP725" s="92"/>
      <c r="BQ725" s="92"/>
      <c r="BR725" s="92"/>
      <c r="BS725" s="92"/>
      <c r="BT725" s="92"/>
      <c r="BU725" s="92"/>
      <c r="BV725" s="92"/>
      <c r="BW725" s="92"/>
      <c r="BX725" s="92"/>
      <c r="BY725" s="92"/>
      <c r="BZ725" s="92"/>
      <c r="CA725" s="92"/>
      <c r="CB725" s="92"/>
      <c r="CC725" s="92"/>
      <c r="CD725" s="92"/>
      <c r="CE725" s="92"/>
      <c r="CF725" s="92"/>
      <c r="CG725" s="92"/>
      <c r="CH725" s="92"/>
      <c r="CI725" s="92"/>
      <c r="CJ725" s="92"/>
      <c r="CK725" s="92"/>
      <c r="CL725" s="92"/>
      <c r="CM725" s="92"/>
      <c r="CN725" s="92"/>
      <c r="CO725" s="92"/>
      <c r="CP725" s="92"/>
      <c r="CQ725" s="92"/>
      <c r="CR725" s="92"/>
      <c r="CS725" s="92"/>
      <c r="CT725" s="92"/>
      <c r="CU725" s="92"/>
      <c r="CV725" s="92"/>
      <c r="CW725" s="92"/>
      <c r="CX725" s="85"/>
      <c r="CY725" s="85"/>
      <c r="CZ725" s="85"/>
      <c r="DA725" s="85"/>
      <c r="DB725" s="85"/>
      <c r="DC725" s="85"/>
      <c r="DD725" s="85"/>
      <c r="DE725" s="85"/>
      <c r="DF725" s="85"/>
      <c r="DG725" s="85"/>
      <c r="DH725" s="85"/>
      <c r="DI725" s="85"/>
      <c r="DJ725" s="85"/>
      <c r="DK725" s="85"/>
      <c r="DL725" s="85"/>
      <c r="DM725" s="85"/>
      <c r="DN725" s="85"/>
      <c r="DO725" s="85"/>
      <c r="DP725" s="85"/>
    </row>
    <row r="726">
      <c r="A726" s="91"/>
      <c r="B726" s="91"/>
      <c r="C726" s="91"/>
      <c r="D726" s="91"/>
      <c r="E726" s="78"/>
      <c r="F726" s="15"/>
      <c r="G726" s="15"/>
      <c r="H726" s="91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  <c r="BD726" s="15"/>
      <c r="BE726" s="15"/>
      <c r="BF726" s="15"/>
      <c r="BG726" s="15"/>
      <c r="BH726" s="15"/>
      <c r="BI726" s="15"/>
      <c r="BJ726" s="15"/>
      <c r="BK726" s="15"/>
      <c r="BL726" s="15"/>
      <c r="BM726" s="15"/>
      <c r="BN726" s="92"/>
      <c r="BO726" s="92"/>
      <c r="BP726" s="92"/>
      <c r="BQ726" s="92"/>
      <c r="BR726" s="92"/>
      <c r="BS726" s="92"/>
      <c r="BT726" s="92"/>
      <c r="BU726" s="92"/>
      <c r="BV726" s="92"/>
      <c r="BW726" s="92"/>
      <c r="BX726" s="92"/>
      <c r="BY726" s="92"/>
      <c r="BZ726" s="92"/>
      <c r="CA726" s="92"/>
      <c r="CB726" s="92"/>
      <c r="CC726" s="92"/>
      <c r="CD726" s="92"/>
      <c r="CE726" s="92"/>
      <c r="CF726" s="92"/>
      <c r="CG726" s="92"/>
      <c r="CH726" s="92"/>
      <c r="CI726" s="92"/>
      <c r="CJ726" s="92"/>
      <c r="CK726" s="92"/>
      <c r="CL726" s="92"/>
      <c r="CM726" s="92"/>
      <c r="CN726" s="92"/>
      <c r="CO726" s="92"/>
      <c r="CP726" s="92"/>
      <c r="CQ726" s="92"/>
      <c r="CR726" s="92"/>
      <c r="CS726" s="92"/>
      <c r="CT726" s="92"/>
      <c r="CU726" s="92"/>
      <c r="CV726" s="92"/>
      <c r="CW726" s="92"/>
      <c r="CX726" s="85"/>
      <c r="CY726" s="85"/>
      <c r="CZ726" s="85"/>
      <c r="DA726" s="85"/>
      <c r="DB726" s="85"/>
      <c r="DC726" s="85"/>
      <c r="DD726" s="85"/>
      <c r="DE726" s="85"/>
      <c r="DF726" s="85"/>
      <c r="DG726" s="85"/>
      <c r="DH726" s="85"/>
      <c r="DI726" s="85"/>
      <c r="DJ726" s="85"/>
      <c r="DK726" s="85"/>
      <c r="DL726" s="85"/>
      <c r="DM726" s="85"/>
      <c r="DN726" s="85"/>
      <c r="DO726" s="85"/>
      <c r="DP726" s="85"/>
    </row>
    <row r="727">
      <c r="A727" s="91"/>
      <c r="B727" s="91"/>
      <c r="C727" s="91"/>
      <c r="D727" s="91"/>
      <c r="E727" s="78"/>
      <c r="F727" s="15"/>
      <c r="G727" s="15"/>
      <c r="H727" s="91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  <c r="BH727" s="15"/>
      <c r="BI727" s="15"/>
      <c r="BJ727" s="15"/>
      <c r="BK727" s="15"/>
      <c r="BL727" s="15"/>
      <c r="BM727" s="15"/>
      <c r="BN727" s="92"/>
      <c r="BO727" s="92"/>
      <c r="BP727" s="92"/>
      <c r="BQ727" s="92"/>
      <c r="BR727" s="92"/>
      <c r="BS727" s="92"/>
      <c r="BT727" s="92"/>
      <c r="BU727" s="92"/>
      <c r="BV727" s="92"/>
      <c r="BW727" s="92"/>
      <c r="BX727" s="92"/>
      <c r="BY727" s="92"/>
      <c r="BZ727" s="92"/>
      <c r="CA727" s="92"/>
      <c r="CB727" s="92"/>
      <c r="CC727" s="92"/>
      <c r="CD727" s="92"/>
      <c r="CE727" s="92"/>
      <c r="CF727" s="92"/>
      <c r="CG727" s="92"/>
      <c r="CH727" s="92"/>
      <c r="CI727" s="92"/>
      <c r="CJ727" s="92"/>
      <c r="CK727" s="92"/>
      <c r="CL727" s="92"/>
      <c r="CM727" s="92"/>
      <c r="CN727" s="92"/>
      <c r="CO727" s="92"/>
      <c r="CP727" s="92"/>
      <c r="CQ727" s="92"/>
      <c r="CR727" s="92"/>
      <c r="CS727" s="92"/>
      <c r="CT727" s="92"/>
      <c r="CU727" s="92"/>
      <c r="CV727" s="92"/>
      <c r="CW727" s="92"/>
      <c r="CX727" s="85"/>
      <c r="CY727" s="85"/>
      <c r="CZ727" s="85"/>
      <c r="DA727" s="85"/>
      <c r="DB727" s="85"/>
      <c r="DC727" s="85"/>
      <c r="DD727" s="85"/>
      <c r="DE727" s="85"/>
      <c r="DF727" s="85"/>
      <c r="DG727" s="85"/>
      <c r="DH727" s="85"/>
      <c r="DI727" s="85"/>
      <c r="DJ727" s="85"/>
      <c r="DK727" s="85"/>
      <c r="DL727" s="85"/>
      <c r="DM727" s="85"/>
      <c r="DN727" s="85"/>
      <c r="DO727" s="85"/>
      <c r="DP727" s="85"/>
    </row>
    <row r="728">
      <c r="A728" s="91"/>
      <c r="B728" s="91"/>
      <c r="C728" s="91"/>
      <c r="D728" s="91"/>
      <c r="E728" s="78"/>
      <c r="F728" s="15"/>
      <c r="G728" s="15"/>
      <c r="H728" s="91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  <c r="BD728" s="15"/>
      <c r="BE728" s="15"/>
      <c r="BF728" s="15"/>
      <c r="BG728" s="15"/>
      <c r="BH728" s="15"/>
      <c r="BI728" s="15"/>
      <c r="BJ728" s="15"/>
      <c r="BK728" s="15"/>
      <c r="BL728" s="15"/>
      <c r="BM728" s="15"/>
      <c r="BN728" s="92"/>
      <c r="BO728" s="92"/>
      <c r="BP728" s="92"/>
      <c r="BQ728" s="92"/>
      <c r="BR728" s="92"/>
      <c r="BS728" s="92"/>
      <c r="BT728" s="92"/>
      <c r="BU728" s="92"/>
      <c r="BV728" s="92"/>
      <c r="BW728" s="92"/>
      <c r="BX728" s="92"/>
      <c r="BY728" s="92"/>
      <c r="BZ728" s="92"/>
      <c r="CA728" s="92"/>
      <c r="CB728" s="92"/>
      <c r="CC728" s="92"/>
      <c r="CD728" s="92"/>
      <c r="CE728" s="92"/>
      <c r="CF728" s="92"/>
      <c r="CG728" s="92"/>
      <c r="CH728" s="92"/>
      <c r="CI728" s="92"/>
      <c r="CJ728" s="92"/>
      <c r="CK728" s="92"/>
      <c r="CL728" s="92"/>
      <c r="CM728" s="92"/>
      <c r="CN728" s="92"/>
      <c r="CO728" s="92"/>
      <c r="CP728" s="92"/>
      <c r="CQ728" s="92"/>
      <c r="CR728" s="92"/>
      <c r="CS728" s="92"/>
      <c r="CT728" s="92"/>
      <c r="CU728" s="92"/>
      <c r="CV728" s="92"/>
      <c r="CW728" s="92"/>
      <c r="CX728" s="85"/>
      <c r="CY728" s="85"/>
      <c r="CZ728" s="85"/>
      <c r="DA728" s="85"/>
      <c r="DB728" s="85"/>
      <c r="DC728" s="85"/>
      <c r="DD728" s="85"/>
      <c r="DE728" s="85"/>
      <c r="DF728" s="85"/>
      <c r="DG728" s="85"/>
      <c r="DH728" s="85"/>
      <c r="DI728" s="85"/>
      <c r="DJ728" s="85"/>
      <c r="DK728" s="85"/>
      <c r="DL728" s="85"/>
      <c r="DM728" s="85"/>
      <c r="DN728" s="85"/>
      <c r="DO728" s="85"/>
      <c r="DP728" s="85"/>
    </row>
    <row r="729">
      <c r="A729" s="91"/>
      <c r="B729" s="91"/>
      <c r="C729" s="91"/>
      <c r="D729" s="91"/>
      <c r="E729" s="78"/>
      <c r="F729" s="15"/>
      <c r="G729" s="15"/>
      <c r="H729" s="91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15"/>
      <c r="BH729" s="15"/>
      <c r="BI729" s="15"/>
      <c r="BJ729" s="15"/>
      <c r="BK729" s="15"/>
      <c r="BL729" s="15"/>
      <c r="BM729" s="15"/>
      <c r="BN729" s="92"/>
      <c r="BO729" s="92"/>
      <c r="BP729" s="92"/>
      <c r="BQ729" s="92"/>
      <c r="BR729" s="92"/>
      <c r="BS729" s="92"/>
      <c r="BT729" s="92"/>
      <c r="BU729" s="92"/>
      <c r="BV729" s="92"/>
      <c r="BW729" s="92"/>
      <c r="BX729" s="92"/>
      <c r="BY729" s="92"/>
      <c r="BZ729" s="92"/>
      <c r="CA729" s="92"/>
      <c r="CB729" s="92"/>
      <c r="CC729" s="92"/>
      <c r="CD729" s="92"/>
      <c r="CE729" s="92"/>
      <c r="CF729" s="92"/>
      <c r="CG729" s="92"/>
      <c r="CH729" s="92"/>
      <c r="CI729" s="92"/>
      <c r="CJ729" s="92"/>
      <c r="CK729" s="92"/>
      <c r="CL729" s="92"/>
      <c r="CM729" s="92"/>
      <c r="CN729" s="92"/>
      <c r="CO729" s="92"/>
      <c r="CP729" s="92"/>
      <c r="CQ729" s="92"/>
      <c r="CR729" s="92"/>
      <c r="CS729" s="92"/>
      <c r="CT729" s="92"/>
      <c r="CU729" s="92"/>
      <c r="CV729" s="92"/>
      <c r="CW729" s="92"/>
      <c r="CX729" s="85"/>
      <c r="CY729" s="85"/>
      <c r="CZ729" s="85"/>
      <c r="DA729" s="85"/>
      <c r="DB729" s="85"/>
      <c r="DC729" s="85"/>
      <c r="DD729" s="85"/>
      <c r="DE729" s="85"/>
      <c r="DF729" s="85"/>
      <c r="DG729" s="85"/>
      <c r="DH729" s="85"/>
      <c r="DI729" s="85"/>
      <c r="DJ729" s="85"/>
      <c r="DK729" s="85"/>
      <c r="DL729" s="85"/>
      <c r="DM729" s="85"/>
      <c r="DN729" s="85"/>
      <c r="DO729" s="85"/>
      <c r="DP729" s="85"/>
    </row>
    <row r="730">
      <c r="A730" s="91"/>
      <c r="B730" s="91"/>
      <c r="C730" s="91"/>
      <c r="D730" s="91"/>
      <c r="E730" s="78"/>
      <c r="F730" s="15"/>
      <c r="G730" s="15"/>
      <c r="H730" s="91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  <c r="BD730" s="15"/>
      <c r="BE730" s="15"/>
      <c r="BF730" s="15"/>
      <c r="BG730" s="15"/>
      <c r="BH730" s="15"/>
      <c r="BI730" s="15"/>
      <c r="BJ730" s="15"/>
      <c r="BK730" s="15"/>
      <c r="BL730" s="15"/>
      <c r="BM730" s="15"/>
      <c r="BN730" s="92"/>
      <c r="BO730" s="92"/>
      <c r="BP730" s="92"/>
      <c r="BQ730" s="92"/>
      <c r="BR730" s="92"/>
      <c r="BS730" s="92"/>
      <c r="BT730" s="92"/>
      <c r="BU730" s="92"/>
      <c r="BV730" s="92"/>
      <c r="BW730" s="92"/>
      <c r="BX730" s="92"/>
      <c r="BY730" s="92"/>
      <c r="BZ730" s="92"/>
      <c r="CA730" s="92"/>
      <c r="CB730" s="92"/>
      <c r="CC730" s="92"/>
      <c r="CD730" s="92"/>
      <c r="CE730" s="92"/>
      <c r="CF730" s="92"/>
      <c r="CG730" s="92"/>
      <c r="CH730" s="92"/>
      <c r="CI730" s="92"/>
      <c r="CJ730" s="92"/>
      <c r="CK730" s="92"/>
      <c r="CL730" s="92"/>
      <c r="CM730" s="92"/>
      <c r="CN730" s="92"/>
      <c r="CO730" s="92"/>
      <c r="CP730" s="92"/>
      <c r="CQ730" s="92"/>
      <c r="CR730" s="92"/>
      <c r="CS730" s="92"/>
      <c r="CT730" s="92"/>
      <c r="CU730" s="92"/>
      <c r="CV730" s="92"/>
      <c r="CW730" s="92"/>
      <c r="CX730" s="85"/>
      <c r="CY730" s="85"/>
      <c r="CZ730" s="85"/>
      <c r="DA730" s="85"/>
      <c r="DB730" s="85"/>
      <c r="DC730" s="85"/>
      <c r="DD730" s="85"/>
      <c r="DE730" s="85"/>
      <c r="DF730" s="85"/>
      <c r="DG730" s="85"/>
      <c r="DH730" s="85"/>
      <c r="DI730" s="85"/>
      <c r="DJ730" s="85"/>
      <c r="DK730" s="85"/>
      <c r="DL730" s="85"/>
      <c r="DM730" s="85"/>
      <c r="DN730" s="85"/>
      <c r="DO730" s="85"/>
      <c r="DP730" s="85"/>
    </row>
    <row r="731">
      <c r="A731" s="91"/>
      <c r="B731" s="91"/>
      <c r="C731" s="91"/>
      <c r="D731" s="91"/>
      <c r="E731" s="78"/>
      <c r="F731" s="15"/>
      <c r="G731" s="15"/>
      <c r="H731" s="91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  <c r="BH731" s="15"/>
      <c r="BI731" s="15"/>
      <c r="BJ731" s="15"/>
      <c r="BK731" s="15"/>
      <c r="BL731" s="15"/>
      <c r="BM731" s="15"/>
      <c r="BN731" s="92"/>
      <c r="BO731" s="92"/>
      <c r="BP731" s="92"/>
      <c r="BQ731" s="92"/>
      <c r="BR731" s="92"/>
      <c r="BS731" s="92"/>
      <c r="BT731" s="92"/>
      <c r="BU731" s="92"/>
      <c r="BV731" s="92"/>
      <c r="BW731" s="92"/>
      <c r="BX731" s="92"/>
      <c r="BY731" s="92"/>
      <c r="BZ731" s="92"/>
      <c r="CA731" s="92"/>
      <c r="CB731" s="92"/>
      <c r="CC731" s="92"/>
      <c r="CD731" s="92"/>
      <c r="CE731" s="92"/>
      <c r="CF731" s="92"/>
      <c r="CG731" s="92"/>
      <c r="CH731" s="92"/>
      <c r="CI731" s="92"/>
      <c r="CJ731" s="92"/>
      <c r="CK731" s="92"/>
      <c r="CL731" s="92"/>
      <c r="CM731" s="92"/>
      <c r="CN731" s="92"/>
      <c r="CO731" s="92"/>
      <c r="CP731" s="92"/>
      <c r="CQ731" s="92"/>
      <c r="CR731" s="92"/>
      <c r="CS731" s="92"/>
      <c r="CT731" s="92"/>
      <c r="CU731" s="92"/>
      <c r="CV731" s="92"/>
      <c r="CW731" s="92"/>
      <c r="CX731" s="85"/>
      <c r="CY731" s="85"/>
      <c r="CZ731" s="85"/>
      <c r="DA731" s="85"/>
      <c r="DB731" s="85"/>
      <c r="DC731" s="85"/>
      <c r="DD731" s="85"/>
      <c r="DE731" s="85"/>
      <c r="DF731" s="85"/>
      <c r="DG731" s="85"/>
      <c r="DH731" s="85"/>
      <c r="DI731" s="85"/>
      <c r="DJ731" s="85"/>
      <c r="DK731" s="85"/>
      <c r="DL731" s="85"/>
      <c r="DM731" s="85"/>
      <c r="DN731" s="85"/>
      <c r="DO731" s="85"/>
      <c r="DP731" s="85"/>
    </row>
    <row r="732">
      <c r="A732" s="91"/>
      <c r="B732" s="91"/>
      <c r="C732" s="91"/>
      <c r="D732" s="91"/>
      <c r="E732" s="78"/>
      <c r="F732" s="15"/>
      <c r="G732" s="15"/>
      <c r="H732" s="91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  <c r="BD732" s="15"/>
      <c r="BE732" s="15"/>
      <c r="BF732" s="15"/>
      <c r="BG732" s="15"/>
      <c r="BH732" s="15"/>
      <c r="BI732" s="15"/>
      <c r="BJ732" s="15"/>
      <c r="BK732" s="15"/>
      <c r="BL732" s="15"/>
      <c r="BM732" s="15"/>
      <c r="BN732" s="92"/>
      <c r="BO732" s="92"/>
      <c r="BP732" s="92"/>
      <c r="BQ732" s="92"/>
      <c r="BR732" s="92"/>
      <c r="BS732" s="92"/>
      <c r="BT732" s="92"/>
      <c r="BU732" s="92"/>
      <c r="BV732" s="92"/>
      <c r="BW732" s="92"/>
      <c r="BX732" s="92"/>
      <c r="BY732" s="92"/>
      <c r="BZ732" s="92"/>
      <c r="CA732" s="92"/>
      <c r="CB732" s="92"/>
      <c r="CC732" s="92"/>
      <c r="CD732" s="92"/>
      <c r="CE732" s="92"/>
      <c r="CF732" s="92"/>
      <c r="CG732" s="92"/>
      <c r="CH732" s="92"/>
      <c r="CI732" s="92"/>
      <c r="CJ732" s="92"/>
      <c r="CK732" s="92"/>
      <c r="CL732" s="92"/>
      <c r="CM732" s="92"/>
      <c r="CN732" s="92"/>
      <c r="CO732" s="92"/>
      <c r="CP732" s="92"/>
      <c r="CQ732" s="92"/>
      <c r="CR732" s="92"/>
      <c r="CS732" s="92"/>
      <c r="CT732" s="92"/>
      <c r="CU732" s="92"/>
      <c r="CV732" s="92"/>
      <c r="CW732" s="92"/>
      <c r="CX732" s="85"/>
      <c r="CY732" s="85"/>
      <c r="CZ732" s="85"/>
      <c r="DA732" s="85"/>
      <c r="DB732" s="85"/>
      <c r="DC732" s="85"/>
      <c r="DD732" s="85"/>
      <c r="DE732" s="85"/>
      <c r="DF732" s="85"/>
      <c r="DG732" s="85"/>
      <c r="DH732" s="85"/>
      <c r="DI732" s="85"/>
      <c r="DJ732" s="85"/>
      <c r="DK732" s="85"/>
      <c r="DL732" s="85"/>
      <c r="DM732" s="85"/>
      <c r="DN732" s="85"/>
      <c r="DO732" s="85"/>
      <c r="DP732" s="85"/>
    </row>
    <row r="733">
      <c r="A733" s="91"/>
      <c r="B733" s="91"/>
      <c r="C733" s="91"/>
      <c r="D733" s="91"/>
      <c r="E733" s="78"/>
      <c r="F733" s="15"/>
      <c r="G733" s="15"/>
      <c r="H733" s="91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  <c r="BH733" s="15"/>
      <c r="BI733" s="15"/>
      <c r="BJ733" s="15"/>
      <c r="BK733" s="15"/>
      <c r="BL733" s="15"/>
      <c r="BM733" s="15"/>
      <c r="BN733" s="92"/>
      <c r="BO733" s="92"/>
      <c r="BP733" s="92"/>
      <c r="BQ733" s="92"/>
      <c r="BR733" s="92"/>
      <c r="BS733" s="92"/>
      <c r="BT733" s="92"/>
      <c r="BU733" s="92"/>
      <c r="BV733" s="92"/>
      <c r="BW733" s="92"/>
      <c r="BX733" s="92"/>
      <c r="BY733" s="92"/>
      <c r="BZ733" s="92"/>
      <c r="CA733" s="92"/>
      <c r="CB733" s="92"/>
      <c r="CC733" s="92"/>
      <c r="CD733" s="92"/>
      <c r="CE733" s="92"/>
      <c r="CF733" s="92"/>
      <c r="CG733" s="92"/>
      <c r="CH733" s="92"/>
      <c r="CI733" s="92"/>
      <c r="CJ733" s="92"/>
      <c r="CK733" s="92"/>
      <c r="CL733" s="92"/>
      <c r="CM733" s="92"/>
      <c r="CN733" s="92"/>
      <c r="CO733" s="92"/>
      <c r="CP733" s="92"/>
      <c r="CQ733" s="92"/>
      <c r="CR733" s="92"/>
      <c r="CS733" s="92"/>
      <c r="CT733" s="92"/>
      <c r="CU733" s="92"/>
      <c r="CV733" s="92"/>
      <c r="CW733" s="92"/>
      <c r="CX733" s="85"/>
      <c r="CY733" s="85"/>
      <c r="CZ733" s="85"/>
      <c r="DA733" s="85"/>
      <c r="DB733" s="85"/>
      <c r="DC733" s="85"/>
      <c r="DD733" s="85"/>
      <c r="DE733" s="85"/>
      <c r="DF733" s="85"/>
      <c r="DG733" s="85"/>
      <c r="DH733" s="85"/>
      <c r="DI733" s="85"/>
      <c r="DJ733" s="85"/>
      <c r="DK733" s="85"/>
      <c r="DL733" s="85"/>
      <c r="DM733" s="85"/>
      <c r="DN733" s="85"/>
      <c r="DO733" s="85"/>
      <c r="DP733" s="85"/>
    </row>
    <row r="734">
      <c r="A734" s="91"/>
      <c r="B734" s="91"/>
      <c r="C734" s="91"/>
      <c r="D734" s="91"/>
      <c r="E734" s="78"/>
      <c r="F734" s="15"/>
      <c r="G734" s="15"/>
      <c r="H734" s="91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  <c r="BD734" s="15"/>
      <c r="BE734" s="15"/>
      <c r="BF734" s="15"/>
      <c r="BG734" s="15"/>
      <c r="BH734" s="15"/>
      <c r="BI734" s="15"/>
      <c r="BJ734" s="15"/>
      <c r="BK734" s="15"/>
      <c r="BL734" s="15"/>
      <c r="BM734" s="15"/>
      <c r="BN734" s="92"/>
      <c r="BO734" s="92"/>
      <c r="BP734" s="92"/>
      <c r="BQ734" s="92"/>
      <c r="BR734" s="92"/>
      <c r="BS734" s="92"/>
      <c r="BT734" s="92"/>
      <c r="BU734" s="92"/>
      <c r="BV734" s="92"/>
      <c r="BW734" s="92"/>
      <c r="BX734" s="92"/>
      <c r="BY734" s="92"/>
      <c r="BZ734" s="92"/>
      <c r="CA734" s="92"/>
      <c r="CB734" s="92"/>
      <c r="CC734" s="92"/>
      <c r="CD734" s="92"/>
      <c r="CE734" s="92"/>
      <c r="CF734" s="92"/>
      <c r="CG734" s="92"/>
      <c r="CH734" s="92"/>
      <c r="CI734" s="92"/>
      <c r="CJ734" s="92"/>
      <c r="CK734" s="92"/>
      <c r="CL734" s="92"/>
      <c r="CM734" s="92"/>
      <c r="CN734" s="92"/>
      <c r="CO734" s="92"/>
      <c r="CP734" s="92"/>
      <c r="CQ734" s="92"/>
      <c r="CR734" s="92"/>
      <c r="CS734" s="92"/>
      <c r="CT734" s="92"/>
      <c r="CU734" s="92"/>
      <c r="CV734" s="92"/>
      <c r="CW734" s="92"/>
      <c r="CX734" s="85"/>
      <c r="CY734" s="85"/>
      <c r="CZ734" s="85"/>
      <c r="DA734" s="85"/>
      <c r="DB734" s="85"/>
      <c r="DC734" s="85"/>
      <c r="DD734" s="85"/>
      <c r="DE734" s="85"/>
      <c r="DF734" s="85"/>
      <c r="DG734" s="85"/>
      <c r="DH734" s="85"/>
      <c r="DI734" s="85"/>
      <c r="DJ734" s="85"/>
      <c r="DK734" s="85"/>
      <c r="DL734" s="85"/>
      <c r="DM734" s="85"/>
      <c r="DN734" s="85"/>
      <c r="DO734" s="85"/>
      <c r="DP734" s="85"/>
    </row>
    <row r="735">
      <c r="A735" s="91"/>
      <c r="B735" s="91"/>
      <c r="C735" s="91"/>
      <c r="D735" s="91"/>
      <c r="E735" s="78"/>
      <c r="F735" s="15"/>
      <c r="G735" s="15"/>
      <c r="H735" s="91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  <c r="BH735" s="15"/>
      <c r="BI735" s="15"/>
      <c r="BJ735" s="15"/>
      <c r="BK735" s="15"/>
      <c r="BL735" s="15"/>
      <c r="BM735" s="15"/>
      <c r="BN735" s="92"/>
      <c r="BO735" s="92"/>
      <c r="BP735" s="92"/>
      <c r="BQ735" s="92"/>
      <c r="BR735" s="92"/>
      <c r="BS735" s="92"/>
      <c r="BT735" s="92"/>
      <c r="BU735" s="92"/>
      <c r="BV735" s="92"/>
      <c r="BW735" s="92"/>
      <c r="BX735" s="92"/>
      <c r="BY735" s="92"/>
      <c r="BZ735" s="92"/>
      <c r="CA735" s="92"/>
      <c r="CB735" s="92"/>
      <c r="CC735" s="92"/>
      <c r="CD735" s="92"/>
      <c r="CE735" s="92"/>
      <c r="CF735" s="92"/>
      <c r="CG735" s="92"/>
      <c r="CH735" s="92"/>
      <c r="CI735" s="92"/>
      <c r="CJ735" s="92"/>
      <c r="CK735" s="92"/>
      <c r="CL735" s="92"/>
      <c r="CM735" s="92"/>
      <c r="CN735" s="92"/>
      <c r="CO735" s="92"/>
      <c r="CP735" s="92"/>
      <c r="CQ735" s="92"/>
      <c r="CR735" s="92"/>
      <c r="CS735" s="92"/>
      <c r="CT735" s="92"/>
      <c r="CU735" s="92"/>
      <c r="CV735" s="92"/>
      <c r="CW735" s="92"/>
      <c r="CX735" s="85"/>
      <c r="CY735" s="85"/>
      <c r="CZ735" s="85"/>
      <c r="DA735" s="85"/>
      <c r="DB735" s="85"/>
      <c r="DC735" s="85"/>
      <c r="DD735" s="85"/>
      <c r="DE735" s="85"/>
      <c r="DF735" s="85"/>
      <c r="DG735" s="85"/>
      <c r="DH735" s="85"/>
      <c r="DI735" s="85"/>
      <c r="DJ735" s="85"/>
      <c r="DK735" s="85"/>
      <c r="DL735" s="85"/>
      <c r="DM735" s="85"/>
      <c r="DN735" s="85"/>
      <c r="DO735" s="85"/>
      <c r="DP735" s="85"/>
    </row>
    <row r="736">
      <c r="A736" s="91"/>
      <c r="B736" s="91"/>
      <c r="C736" s="91"/>
      <c r="D736" s="91"/>
      <c r="E736" s="78"/>
      <c r="F736" s="15"/>
      <c r="G736" s="15"/>
      <c r="H736" s="91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  <c r="BD736" s="15"/>
      <c r="BE736" s="15"/>
      <c r="BF736" s="15"/>
      <c r="BG736" s="15"/>
      <c r="BH736" s="15"/>
      <c r="BI736" s="15"/>
      <c r="BJ736" s="15"/>
      <c r="BK736" s="15"/>
      <c r="BL736" s="15"/>
      <c r="BM736" s="15"/>
      <c r="BN736" s="92"/>
      <c r="BO736" s="92"/>
      <c r="BP736" s="92"/>
      <c r="BQ736" s="92"/>
      <c r="BR736" s="92"/>
      <c r="BS736" s="92"/>
      <c r="BT736" s="92"/>
      <c r="BU736" s="92"/>
      <c r="BV736" s="92"/>
      <c r="BW736" s="92"/>
      <c r="BX736" s="92"/>
      <c r="BY736" s="92"/>
      <c r="BZ736" s="92"/>
      <c r="CA736" s="92"/>
      <c r="CB736" s="92"/>
      <c r="CC736" s="92"/>
      <c r="CD736" s="92"/>
      <c r="CE736" s="92"/>
      <c r="CF736" s="92"/>
      <c r="CG736" s="92"/>
      <c r="CH736" s="92"/>
      <c r="CI736" s="92"/>
      <c r="CJ736" s="92"/>
      <c r="CK736" s="92"/>
      <c r="CL736" s="92"/>
      <c r="CM736" s="92"/>
      <c r="CN736" s="92"/>
      <c r="CO736" s="92"/>
      <c r="CP736" s="92"/>
      <c r="CQ736" s="92"/>
      <c r="CR736" s="92"/>
      <c r="CS736" s="92"/>
      <c r="CT736" s="92"/>
      <c r="CU736" s="92"/>
      <c r="CV736" s="92"/>
      <c r="CW736" s="92"/>
      <c r="CX736" s="85"/>
      <c r="CY736" s="85"/>
      <c r="CZ736" s="85"/>
      <c r="DA736" s="85"/>
      <c r="DB736" s="85"/>
      <c r="DC736" s="85"/>
      <c r="DD736" s="85"/>
      <c r="DE736" s="85"/>
      <c r="DF736" s="85"/>
      <c r="DG736" s="85"/>
      <c r="DH736" s="85"/>
      <c r="DI736" s="85"/>
      <c r="DJ736" s="85"/>
      <c r="DK736" s="85"/>
      <c r="DL736" s="85"/>
      <c r="DM736" s="85"/>
      <c r="DN736" s="85"/>
      <c r="DO736" s="85"/>
      <c r="DP736" s="85"/>
    </row>
    <row r="737">
      <c r="A737" s="91"/>
      <c r="B737" s="91"/>
      <c r="C737" s="91"/>
      <c r="D737" s="91"/>
      <c r="E737" s="78"/>
      <c r="F737" s="15"/>
      <c r="G737" s="15"/>
      <c r="H737" s="91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15"/>
      <c r="BH737" s="15"/>
      <c r="BI737" s="15"/>
      <c r="BJ737" s="15"/>
      <c r="BK737" s="15"/>
      <c r="BL737" s="15"/>
      <c r="BM737" s="15"/>
      <c r="BN737" s="92"/>
      <c r="BO737" s="92"/>
      <c r="BP737" s="92"/>
      <c r="BQ737" s="92"/>
      <c r="BR737" s="92"/>
      <c r="BS737" s="92"/>
      <c r="BT737" s="92"/>
      <c r="BU737" s="92"/>
      <c r="BV737" s="92"/>
      <c r="BW737" s="92"/>
      <c r="BX737" s="92"/>
      <c r="BY737" s="92"/>
      <c r="BZ737" s="92"/>
      <c r="CA737" s="92"/>
      <c r="CB737" s="92"/>
      <c r="CC737" s="92"/>
      <c r="CD737" s="92"/>
      <c r="CE737" s="92"/>
      <c r="CF737" s="92"/>
      <c r="CG737" s="92"/>
      <c r="CH737" s="92"/>
      <c r="CI737" s="92"/>
      <c r="CJ737" s="92"/>
      <c r="CK737" s="92"/>
      <c r="CL737" s="92"/>
      <c r="CM737" s="92"/>
      <c r="CN737" s="92"/>
      <c r="CO737" s="92"/>
      <c r="CP737" s="92"/>
      <c r="CQ737" s="92"/>
      <c r="CR737" s="92"/>
      <c r="CS737" s="92"/>
      <c r="CT737" s="92"/>
      <c r="CU737" s="92"/>
      <c r="CV737" s="92"/>
      <c r="CW737" s="92"/>
      <c r="CX737" s="85"/>
      <c r="CY737" s="85"/>
      <c r="CZ737" s="85"/>
      <c r="DA737" s="85"/>
      <c r="DB737" s="85"/>
      <c r="DC737" s="85"/>
      <c r="DD737" s="85"/>
      <c r="DE737" s="85"/>
      <c r="DF737" s="85"/>
      <c r="DG737" s="85"/>
      <c r="DH737" s="85"/>
      <c r="DI737" s="85"/>
      <c r="DJ737" s="85"/>
      <c r="DK737" s="85"/>
      <c r="DL737" s="85"/>
      <c r="DM737" s="85"/>
      <c r="DN737" s="85"/>
      <c r="DO737" s="85"/>
      <c r="DP737" s="85"/>
    </row>
    <row r="738">
      <c r="A738" s="91"/>
      <c r="B738" s="91"/>
      <c r="C738" s="91"/>
      <c r="D738" s="91"/>
      <c r="E738" s="78"/>
      <c r="F738" s="15"/>
      <c r="G738" s="15"/>
      <c r="H738" s="91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  <c r="BD738" s="15"/>
      <c r="BE738" s="15"/>
      <c r="BF738" s="15"/>
      <c r="BG738" s="15"/>
      <c r="BH738" s="15"/>
      <c r="BI738" s="15"/>
      <c r="BJ738" s="15"/>
      <c r="BK738" s="15"/>
      <c r="BL738" s="15"/>
      <c r="BM738" s="15"/>
      <c r="BN738" s="92"/>
      <c r="BO738" s="92"/>
      <c r="BP738" s="92"/>
      <c r="BQ738" s="92"/>
      <c r="BR738" s="92"/>
      <c r="BS738" s="92"/>
      <c r="BT738" s="92"/>
      <c r="BU738" s="92"/>
      <c r="BV738" s="92"/>
      <c r="BW738" s="92"/>
      <c r="BX738" s="92"/>
      <c r="BY738" s="92"/>
      <c r="BZ738" s="92"/>
      <c r="CA738" s="92"/>
      <c r="CB738" s="92"/>
      <c r="CC738" s="92"/>
      <c r="CD738" s="92"/>
      <c r="CE738" s="92"/>
      <c r="CF738" s="92"/>
      <c r="CG738" s="92"/>
      <c r="CH738" s="92"/>
      <c r="CI738" s="92"/>
      <c r="CJ738" s="92"/>
      <c r="CK738" s="92"/>
      <c r="CL738" s="92"/>
      <c r="CM738" s="92"/>
      <c r="CN738" s="92"/>
      <c r="CO738" s="92"/>
      <c r="CP738" s="92"/>
      <c r="CQ738" s="92"/>
      <c r="CR738" s="92"/>
      <c r="CS738" s="92"/>
      <c r="CT738" s="92"/>
      <c r="CU738" s="92"/>
      <c r="CV738" s="92"/>
      <c r="CW738" s="92"/>
      <c r="CX738" s="85"/>
      <c r="CY738" s="85"/>
      <c r="CZ738" s="85"/>
      <c r="DA738" s="85"/>
      <c r="DB738" s="85"/>
      <c r="DC738" s="85"/>
      <c r="DD738" s="85"/>
      <c r="DE738" s="85"/>
      <c r="DF738" s="85"/>
      <c r="DG738" s="85"/>
      <c r="DH738" s="85"/>
      <c r="DI738" s="85"/>
      <c r="DJ738" s="85"/>
      <c r="DK738" s="85"/>
      <c r="DL738" s="85"/>
      <c r="DM738" s="85"/>
      <c r="DN738" s="85"/>
      <c r="DO738" s="85"/>
      <c r="DP738" s="85"/>
    </row>
    <row r="739">
      <c r="A739" s="91"/>
      <c r="B739" s="91"/>
      <c r="C739" s="91"/>
      <c r="D739" s="91"/>
      <c r="E739" s="78"/>
      <c r="F739" s="15"/>
      <c r="G739" s="15"/>
      <c r="H739" s="91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15"/>
      <c r="BH739" s="15"/>
      <c r="BI739" s="15"/>
      <c r="BJ739" s="15"/>
      <c r="BK739" s="15"/>
      <c r="BL739" s="15"/>
      <c r="BM739" s="15"/>
      <c r="BN739" s="92"/>
      <c r="BO739" s="92"/>
      <c r="BP739" s="92"/>
      <c r="BQ739" s="92"/>
      <c r="BR739" s="92"/>
      <c r="BS739" s="92"/>
      <c r="BT739" s="92"/>
      <c r="BU739" s="92"/>
      <c r="BV739" s="92"/>
      <c r="BW739" s="92"/>
      <c r="BX739" s="92"/>
      <c r="BY739" s="92"/>
      <c r="BZ739" s="92"/>
      <c r="CA739" s="92"/>
      <c r="CB739" s="92"/>
      <c r="CC739" s="92"/>
      <c r="CD739" s="92"/>
      <c r="CE739" s="92"/>
      <c r="CF739" s="92"/>
      <c r="CG739" s="92"/>
      <c r="CH739" s="92"/>
      <c r="CI739" s="92"/>
      <c r="CJ739" s="92"/>
      <c r="CK739" s="92"/>
      <c r="CL739" s="92"/>
      <c r="CM739" s="92"/>
      <c r="CN739" s="92"/>
      <c r="CO739" s="92"/>
      <c r="CP739" s="92"/>
      <c r="CQ739" s="92"/>
      <c r="CR739" s="92"/>
      <c r="CS739" s="92"/>
      <c r="CT739" s="92"/>
      <c r="CU739" s="92"/>
      <c r="CV739" s="92"/>
      <c r="CW739" s="92"/>
      <c r="CX739" s="85"/>
      <c r="CY739" s="85"/>
      <c r="CZ739" s="85"/>
      <c r="DA739" s="85"/>
      <c r="DB739" s="85"/>
      <c r="DC739" s="85"/>
      <c r="DD739" s="85"/>
      <c r="DE739" s="85"/>
      <c r="DF739" s="85"/>
      <c r="DG739" s="85"/>
      <c r="DH739" s="85"/>
      <c r="DI739" s="85"/>
      <c r="DJ739" s="85"/>
      <c r="DK739" s="85"/>
      <c r="DL739" s="85"/>
      <c r="DM739" s="85"/>
      <c r="DN739" s="85"/>
      <c r="DO739" s="85"/>
      <c r="DP739" s="85"/>
    </row>
    <row r="740">
      <c r="A740" s="91"/>
      <c r="B740" s="91"/>
      <c r="C740" s="91"/>
      <c r="D740" s="91"/>
      <c r="E740" s="78"/>
      <c r="F740" s="15"/>
      <c r="G740" s="15"/>
      <c r="H740" s="91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  <c r="BD740" s="15"/>
      <c r="BE740" s="15"/>
      <c r="BF740" s="15"/>
      <c r="BG740" s="15"/>
      <c r="BH740" s="15"/>
      <c r="BI740" s="15"/>
      <c r="BJ740" s="15"/>
      <c r="BK740" s="15"/>
      <c r="BL740" s="15"/>
      <c r="BM740" s="15"/>
      <c r="BN740" s="92"/>
      <c r="BO740" s="92"/>
      <c r="BP740" s="92"/>
      <c r="BQ740" s="92"/>
      <c r="BR740" s="92"/>
      <c r="BS740" s="92"/>
      <c r="BT740" s="92"/>
      <c r="BU740" s="92"/>
      <c r="BV740" s="92"/>
      <c r="BW740" s="92"/>
      <c r="BX740" s="92"/>
      <c r="BY740" s="92"/>
      <c r="BZ740" s="92"/>
      <c r="CA740" s="92"/>
      <c r="CB740" s="92"/>
      <c r="CC740" s="92"/>
      <c r="CD740" s="92"/>
      <c r="CE740" s="92"/>
      <c r="CF740" s="92"/>
      <c r="CG740" s="92"/>
      <c r="CH740" s="92"/>
      <c r="CI740" s="92"/>
      <c r="CJ740" s="92"/>
      <c r="CK740" s="92"/>
      <c r="CL740" s="92"/>
      <c r="CM740" s="92"/>
      <c r="CN740" s="92"/>
      <c r="CO740" s="92"/>
      <c r="CP740" s="92"/>
      <c r="CQ740" s="92"/>
      <c r="CR740" s="92"/>
      <c r="CS740" s="92"/>
      <c r="CT740" s="92"/>
      <c r="CU740" s="92"/>
      <c r="CV740" s="92"/>
      <c r="CW740" s="92"/>
      <c r="CX740" s="85"/>
      <c r="CY740" s="85"/>
      <c r="CZ740" s="85"/>
      <c r="DA740" s="85"/>
      <c r="DB740" s="85"/>
      <c r="DC740" s="85"/>
      <c r="DD740" s="85"/>
      <c r="DE740" s="85"/>
      <c r="DF740" s="85"/>
      <c r="DG740" s="85"/>
      <c r="DH740" s="85"/>
      <c r="DI740" s="85"/>
      <c r="DJ740" s="85"/>
      <c r="DK740" s="85"/>
      <c r="DL740" s="85"/>
      <c r="DM740" s="85"/>
      <c r="DN740" s="85"/>
      <c r="DO740" s="85"/>
      <c r="DP740" s="85"/>
    </row>
    <row r="741">
      <c r="A741" s="91"/>
      <c r="B741" s="91"/>
      <c r="C741" s="91"/>
      <c r="D741" s="91"/>
      <c r="E741" s="78"/>
      <c r="F741" s="15"/>
      <c r="G741" s="15"/>
      <c r="H741" s="91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  <c r="BH741" s="15"/>
      <c r="BI741" s="15"/>
      <c r="BJ741" s="15"/>
      <c r="BK741" s="15"/>
      <c r="BL741" s="15"/>
      <c r="BM741" s="15"/>
      <c r="BN741" s="92"/>
      <c r="BO741" s="92"/>
      <c r="BP741" s="92"/>
      <c r="BQ741" s="92"/>
      <c r="BR741" s="92"/>
      <c r="BS741" s="92"/>
      <c r="BT741" s="92"/>
      <c r="BU741" s="92"/>
      <c r="BV741" s="92"/>
      <c r="BW741" s="92"/>
      <c r="BX741" s="92"/>
      <c r="BY741" s="92"/>
      <c r="BZ741" s="92"/>
      <c r="CA741" s="92"/>
      <c r="CB741" s="92"/>
      <c r="CC741" s="92"/>
      <c r="CD741" s="92"/>
      <c r="CE741" s="92"/>
      <c r="CF741" s="92"/>
      <c r="CG741" s="92"/>
      <c r="CH741" s="92"/>
      <c r="CI741" s="92"/>
      <c r="CJ741" s="92"/>
      <c r="CK741" s="92"/>
      <c r="CL741" s="92"/>
      <c r="CM741" s="92"/>
      <c r="CN741" s="92"/>
      <c r="CO741" s="92"/>
      <c r="CP741" s="92"/>
      <c r="CQ741" s="92"/>
      <c r="CR741" s="92"/>
      <c r="CS741" s="92"/>
      <c r="CT741" s="92"/>
      <c r="CU741" s="92"/>
      <c r="CV741" s="92"/>
      <c r="CW741" s="92"/>
      <c r="CX741" s="85"/>
      <c r="CY741" s="85"/>
      <c r="CZ741" s="85"/>
      <c r="DA741" s="85"/>
      <c r="DB741" s="85"/>
      <c r="DC741" s="85"/>
      <c r="DD741" s="85"/>
      <c r="DE741" s="85"/>
      <c r="DF741" s="85"/>
      <c r="DG741" s="85"/>
      <c r="DH741" s="85"/>
      <c r="DI741" s="85"/>
      <c r="DJ741" s="85"/>
      <c r="DK741" s="85"/>
      <c r="DL741" s="85"/>
      <c r="DM741" s="85"/>
      <c r="DN741" s="85"/>
      <c r="DO741" s="85"/>
      <c r="DP741" s="85"/>
    </row>
    <row r="742">
      <c r="A742" s="91"/>
      <c r="B742" s="91"/>
      <c r="C742" s="91"/>
      <c r="D742" s="91"/>
      <c r="E742" s="78"/>
      <c r="F742" s="15"/>
      <c r="G742" s="15"/>
      <c r="H742" s="91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/>
      <c r="BD742" s="15"/>
      <c r="BE742" s="15"/>
      <c r="BF742" s="15"/>
      <c r="BG742" s="15"/>
      <c r="BH742" s="15"/>
      <c r="BI742" s="15"/>
      <c r="BJ742" s="15"/>
      <c r="BK742" s="15"/>
      <c r="BL742" s="15"/>
      <c r="BM742" s="15"/>
      <c r="BN742" s="92"/>
      <c r="BO742" s="92"/>
      <c r="BP742" s="92"/>
      <c r="BQ742" s="92"/>
      <c r="BR742" s="92"/>
      <c r="BS742" s="92"/>
      <c r="BT742" s="92"/>
      <c r="BU742" s="92"/>
      <c r="BV742" s="92"/>
      <c r="BW742" s="92"/>
      <c r="BX742" s="92"/>
      <c r="BY742" s="92"/>
      <c r="BZ742" s="92"/>
      <c r="CA742" s="92"/>
      <c r="CB742" s="92"/>
      <c r="CC742" s="92"/>
      <c r="CD742" s="92"/>
      <c r="CE742" s="92"/>
      <c r="CF742" s="92"/>
      <c r="CG742" s="92"/>
      <c r="CH742" s="92"/>
      <c r="CI742" s="92"/>
      <c r="CJ742" s="92"/>
      <c r="CK742" s="92"/>
      <c r="CL742" s="92"/>
      <c r="CM742" s="92"/>
      <c r="CN742" s="92"/>
      <c r="CO742" s="92"/>
      <c r="CP742" s="92"/>
      <c r="CQ742" s="92"/>
      <c r="CR742" s="92"/>
      <c r="CS742" s="92"/>
      <c r="CT742" s="92"/>
      <c r="CU742" s="92"/>
      <c r="CV742" s="92"/>
      <c r="CW742" s="92"/>
      <c r="CX742" s="85"/>
      <c r="CY742" s="85"/>
      <c r="CZ742" s="85"/>
      <c r="DA742" s="85"/>
      <c r="DB742" s="85"/>
      <c r="DC742" s="85"/>
      <c r="DD742" s="85"/>
      <c r="DE742" s="85"/>
      <c r="DF742" s="85"/>
      <c r="DG742" s="85"/>
      <c r="DH742" s="85"/>
      <c r="DI742" s="85"/>
      <c r="DJ742" s="85"/>
      <c r="DK742" s="85"/>
      <c r="DL742" s="85"/>
      <c r="DM742" s="85"/>
      <c r="DN742" s="85"/>
      <c r="DO742" s="85"/>
      <c r="DP742" s="85"/>
    </row>
    <row r="743">
      <c r="A743" s="91"/>
      <c r="B743" s="91"/>
      <c r="C743" s="91"/>
      <c r="D743" s="91"/>
      <c r="E743" s="78"/>
      <c r="F743" s="15"/>
      <c r="G743" s="15"/>
      <c r="H743" s="91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  <c r="BG743" s="15"/>
      <c r="BH743" s="15"/>
      <c r="BI743" s="15"/>
      <c r="BJ743" s="15"/>
      <c r="BK743" s="15"/>
      <c r="BL743" s="15"/>
      <c r="BM743" s="15"/>
      <c r="BN743" s="92"/>
      <c r="BO743" s="92"/>
      <c r="BP743" s="92"/>
      <c r="BQ743" s="92"/>
      <c r="BR743" s="92"/>
      <c r="BS743" s="92"/>
      <c r="BT743" s="92"/>
      <c r="BU743" s="92"/>
      <c r="BV743" s="92"/>
      <c r="BW743" s="92"/>
      <c r="BX743" s="92"/>
      <c r="BY743" s="92"/>
      <c r="BZ743" s="92"/>
      <c r="CA743" s="92"/>
      <c r="CB743" s="92"/>
      <c r="CC743" s="92"/>
      <c r="CD743" s="92"/>
      <c r="CE743" s="92"/>
      <c r="CF743" s="92"/>
      <c r="CG743" s="92"/>
      <c r="CH743" s="92"/>
      <c r="CI743" s="92"/>
      <c r="CJ743" s="92"/>
      <c r="CK743" s="92"/>
      <c r="CL743" s="92"/>
      <c r="CM743" s="92"/>
      <c r="CN743" s="92"/>
      <c r="CO743" s="92"/>
      <c r="CP743" s="92"/>
      <c r="CQ743" s="92"/>
      <c r="CR743" s="92"/>
      <c r="CS743" s="92"/>
      <c r="CT743" s="92"/>
      <c r="CU743" s="92"/>
      <c r="CV743" s="92"/>
      <c r="CW743" s="92"/>
      <c r="CX743" s="85"/>
      <c r="CY743" s="85"/>
      <c r="CZ743" s="85"/>
      <c r="DA743" s="85"/>
      <c r="DB743" s="85"/>
      <c r="DC743" s="85"/>
      <c r="DD743" s="85"/>
      <c r="DE743" s="85"/>
      <c r="DF743" s="85"/>
      <c r="DG743" s="85"/>
      <c r="DH743" s="85"/>
      <c r="DI743" s="85"/>
      <c r="DJ743" s="85"/>
      <c r="DK743" s="85"/>
      <c r="DL743" s="85"/>
      <c r="DM743" s="85"/>
      <c r="DN743" s="85"/>
      <c r="DO743" s="85"/>
      <c r="DP743" s="85"/>
    </row>
    <row r="744">
      <c r="A744" s="91"/>
      <c r="B744" s="91"/>
      <c r="C744" s="91"/>
      <c r="D744" s="91"/>
      <c r="E744" s="78"/>
      <c r="F744" s="15"/>
      <c r="G744" s="15"/>
      <c r="H744" s="91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  <c r="BC744" s="15"/>
      <c r="BD744" s="15"/>
      <c r="BE744" s="15"/>
      <c r="BF744" s="15"/>
      <c r="BG744" s="15"/>
      <c r="BH744" s="15"/>
      <c r="BI744" s="15"/>
      <c r="BJ744" s="15"/>
      <c r="BK744" s="15"/>
      <c r="BL744" s="15"/>
      <c r="BM744" s="15"/>
      <c r="BN744" s="92"/>
      <c r="BO744" s="92"/>
      <c r="BP744" s="92"/>
      <c r="BQ744" s="92"/>
      <c r="BR744" s="92"/>
      <c r="BS744" s="92"/>
      <c r="BT744" s="92"/>
      <c r="BU744" s="92"/>
      <c r="BV744" s="92"/>
      <c r="BW744" s="92"/>
      <c r="BX744" s="92"/>
      <c r="BY744" s="92"/>
      <c r="BZ744" s="92"/>
      <c r="CA744" s="92"/>
      <c r="CB744" s="92"/>
      <c r="CC744" s="92"/>
      <c r="CD744" s="92"/>
      <c r="CE744" s="92"/>
      <c r="CF744" s="92"/>
      <c r="CG744" s="92"/>
      <c r="CH744" s="92"/>
      <c r="CI744" s="92"/>
      <c r="CJ744" s="92"/>
      <c r="CK744" s="92"/>
      <c r="CL744" s="92"/>
      <c r="CM744" s="92"/>
      <c r="CN744" s="92"/>
      <c r="CO744" s="92"/>
      <c r="CP744" s="92"/>
      <c r="CQ744" s="92"/>
      <c r="CR744" s="92"/>
      <c r="CS744" s="92"/>
      <c r="CT744" s="92"/>
      <c r="CU744" s="92"/>
      <c r="CV744" s="92"/>
      <c r="CW744" s="92"/>
      <c r="CX744" s="85"/>
      <c r="CY744" s="85"/>
      <c r="CZ744" s="85"/>
      <c r="DA744" s="85"/>
      <c r="DB744" s="85"/>
      <c r="DC744" s="85"/>
      <c r="DD744" s="85"/>
      <c r="DE744" s="85"/>
      <c r="DF744" s="85"/>
      <c r="DG744" s="85"/>
      <c r="DH744" s="85"/>
      <c r="DI744" s="85"/>
      <c r="DJ744" s="85"/>
      <c r="DK744" s="85"/>
      <c r="DL744" s="85"/>
      <c r="DM744" s="85"/>
      <c r="DN744" s="85"/>
      <c r="DO744" s="85"/>
      <c r="DP744" s="85"/>
    </row>
    <row r="745">
      <c r="A745" s="91"/>
      <c r="B745" s="91"/>
      <c r="C745" s="91"/>
      <c r="D745" s="91"/>
      <c r="E745" s="78"/>
      <c r="F745" s="15"/>
      <c r="G745" s="15"/>
      <c r="H745" s="91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  <c r="BG745" s="15"/>
      <c r="BH745" s="15"/>
      <c r="BI745" s="15"/>
      <c r="BJ745" s="15"/>
      <c r="BK745" s="15"/>
      <c r="BL745" s="15"/>
      <c r="BM745" s="15"/>
      <c r="BN745" s="92"/>
      <c r="BO745" s="92"/>
      <c r="BP745" s="92"/>
      <c r="BQ745" s="92"/>
      <c r="BR745" s="92"/>
      <c r="BS745" s="92"/>
      <c r="BT745" s="92"/>
      <c r="BU745" s="92"/>
      <c r="BV745" s="92"/>
      <c r="BW745" s="92"/>
      <c r="BX745" s="92"/>
      <c r="BY745" s="92"/>
      <c r="BZ745" s="92"/>
      <c r="CA745" s="92"/>
      <c r="CB745" s="92"/>
      <c r="CC745" s="92"/>
      <c r="CD745" s="92"/>
      <c r="CE745" s="92"/>
      <c r="CF745" s="92"/>
      <c r="CG745" s="92"/>
      <c r="CH745" s="92"/>
      <c r="CI745" s="92"/>
      <c r="CJ745" s="92"/>
      <c r="CK745" s="92"/>
      <c r="CL745" s="92"/>
      <c r="CM745" s="92"/>
      <c r="CN745" s="92"/>
      <c r="CO745" s="92"/>
      <c r="CP745" s="92"/>
      <c r="CQ745" s="92"/>
      <c r="CR745" s="92"/>
      <c r="CS745" s="92"/>
      <c r="CT745" s="92"/>
      <c r="CU745" s="92"/>
      <c r="CV745" s="92"/>
      <c r="CW745" s="92"/>
      <c r="CX745" s="85"/>
      <c r="CY745" s="85"/>
      <c r="CZ745" s="85"/>
      <c r="DA745" s="85"/>
      <c r="DB745" s="85"/>
      <c r="DC745" s="85"/>
      <c r="DD745" s="85"/>
      <c r="DE745" s="85"/>
      <c r="DF745" s="85"/>
      <c r="DG745" s="85"/>
      <c r="DH745" s="85"/>
      <c r="DI745" s="85"/>
      <c r="DJ745" s="85"/>
      <c r="DK745" s="85"/>
      <c r="DL745" s="85"/>
      <c r="DM745" s="85"/>
      <c r="DN745" s="85"/>
      <c r="DO745" s="85"/>
      <c r="DP745" s="85"/>
    </row>
    <row r="746">
      <c r="A746" s="91"/>
      <c r="B746" s="91"/>
      <c r="C746" s="91"/>
      <c r="D746" s="91"/>
      <c r="E746" s="78"/>
      <c r="F746" s="15"/>
      <c r="G746" s="15"/>
      <c r="H746" s="91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s="15"/>
      <c r="BE746" s="15"/>
      <c r="BF746" s="15"/>
      <c r="BG746" s="15"/>
      <c r="BH746" s="15"/>
      <c r="BI746" s="15"/>
      <c r="BJ746" s="15"/>
      <c r="BK746" s="15"/>
      <c r="BL746" s="15"/>
      <c r="BM746" s="15"/>
      <c r="BN746" s="92"/>
      <c r="BO746" s="92"/>
      <c r="BP746" s="92"/>
      <c r="BQ746" s="92"/>
      <c r="BR746" s="92"/>
      <c r="BS746" s="92"/>
      <c r="BT746" s="92"/>
      <c r="BU746" s="92"/>
      <c r="BV746" s="92"/>
      <c r="BW746" s="92"/>
      <c r="BX746" s="92"/>
      <c r="BY746" s="92"/>
      <c r="BZ746" s="92"/>
      <c r="CA746" s="92"/>
      <c r="CB746" s="92"/>
      <c r="CC746" s="92"/>
      <c r="CD746" s="92"/>
      <c r="CE746" s="92"/>
      <c r="CF746" s="92"/>
      <c r="CG746" s="92"/>
      <c r="CH746" s="92"/>
      <c r="CI746" s="92"/>
      <c r="CJ746" s="92"/>
      <c r="CK746" s="92"/>
      <c r="CL746" s="92"/>
      <c r="CM746" s="92"/>
      <c r="CN746" s="92"/>
      <c r="CO746" s="92"/>
      <c r="CP746" s="92"/>
      <c r="CQ746" s="92"/>
      <c r="CR746" s="92"/>
      <c r="CS746" s="92"/>
      <c r="CT746" s="92"/>
      <c r="CU746" s="92"/>
      <c r="CV746" s="92"/>
      <c r="CW746" s="92"/>
      <c r="CX746" s="85"/>
      <c r="CY746" s="85"/>
      <c r="CZ746" s="85"/>
      <c r="DA746" s="85"/>
      <c r="DB746" s="85"/>
      <c r="DC746" s="85"/>
      <c r="DD746" s="85"/>
      <c r="DE746" s="85"/>
      <c r="DF746" s="85"/>
      <c r="DG746" s="85"/>
      <c r="DH746" s="85"/>
      <c r="DI746" s="85"/>
      <c r="DJ746" s="85"/>
      <c r="DK746" s="85"/>
      <c r="DL746" s="85"/>
      <c r="DM746" s="85"/>
      <c r="DN746" s="85"/>
      <c r="DO746" s="85"/>
      <c r="DP746" s="85"/>
    </row>
    <row r="747">
      <c r="A747" s="91"/>
      <c r="B747" s="91"/>
      <c r="C747" s="91"/>
      <c r="D747" s="91"/>
      <c r="E747" s="78"/>
      <c r="F747" s="15"/>
      <c r="G747" s="15"/>
      <c r="H747" s="91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15"/>
      <c r="BH747" s="15"/>
      <c r="BI747" s="15"/>
      <c r="BJ747" s="15"/>
      <c r="BK747" s="15"/>
      <c r="BL747" s="15"/>
      <c r="BM747" s="15"/>
      <c r="BN747" s="92"/>
      <c r="BO747" s="92"/>
      <c r="BP747" s="92"/>
      <c r="BQ747" s="92"/>
      <c r="BR747" s="92"/>
      <c r="BS747" s="92"/>
      <c r="BT747" s="92"/>
      <c r="BU747" s="92"/>
      <c r="BV747" s="92"/>
      <c r="BW747" s="92"/>
      <c r="BX747" s="92"/>
      <c r="BY747" s="92"/>
      <c r="BZ747" s="92"/>
      <c r="CA747" s="92"/>
      <c r="CB747" s="92"/>
      <c r="CC747" s="92"/>
      <c r="CD747" s="92"/>
      <c r="CE747" s="92"/>
      <c r="CF747" s="92"/>
      <c r="CG747" s="92"/>
      <c r="CH747" s="92"/>
      <c r="CI747" s="92"/>
      <c r="CJ747" s="92"/>
      <c r="CK747" s="92"/>
      <c r="CL747" s="92"/>
      <c r="CM747" s="92"/>
      <c r="CN747" s="92"/>
      <c r="CO747" s="92"/>
      <c r="CP747" s="92"/>
      <c r="CQ747" s="92"/>
      <c r="CR747" s="92"/>
      <c r="CS747" s="92"/>
      <c r="CT747" s="92"/>
      <c r="CU747" s="92"/>
      <c r="CV747" s="92"/>
      <c r="CW747" s="92"/>
      <c r="CX747" s="85"/>
      <c r="CY747" s="85"/>
      <c r="CZ747" s="85"/>
      <c r="DA747" s="85"/>
      <c r="DB747" s="85"/>
      <c r="DC747" s="85"/>
      <c r="DD747" s="85"/>
      <c r="DE747" s="85"/>
      <c r="DF747" s="85"/>
      <c r="DG747" s="85"/>
      <c r="DH747" s="85"/>
      <c r="DI747" s="85"/>
      <c r="DJ747" s="85"/>
      <c r="DK747" s="85"/>
      <c r="DL747" s="85"/>
      <c r="DM747" s="85"/>
      <c r="DN747" s="85"/>
      <c r="DO747" s="85"/>
      <c r="DP747" s="85"/>
    </row>
    <row r="748">
      <c r="A748" s="91"/>
      <c r="B748" s="91"/>
      <c r="C748" s="91"/>
      <c r="D748" s="91"/>
      <c r="E748" s="78"/>
      <c r="F748" s="15"/>
      <c r="G748" s="15"/>
      <c r="H748" s="91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  <c r="BD748" s="15"/>
      <c r="BE748" s="15"/>
      <c r="BF748" s="15"/>
      <c r="BG748" s="15"/>
      <c r="BH748" s="15"/>
      <c r="BI748" s="15"/>
      <c r="BJ748" s="15"/>
      <c r="BK748" s="15"/>
      <c r="BL748" s="15"/>
      <c r="BM748" s="15"/>
      <c r="BN748" s="92"/>
      <c r="BO748" s="92"/>
      <c r="BP748" s="92"/>
      <c r="BQ748" s="92"/>
      <c r="BR748" s="92"/>
      <c r="BS748" s="92"/>
      <c r="BT748" s="92"/>
      <c r="BU748" s="92"/>
      <c r="BV748" s="92"/>
      <c r="BW748" s="92"/>
      <c r="BX748" s="92"/>
      <c r="BY748" s="92"/>
      <c r="BZ748" s="92"/>
      <c r="CA748" s="92"/>
      <c r="CB748" s="92"/>
      <c r="CC748" s="92"/>
      <c r="CD748" s="92"/>
      <c r="CE748" s="92"/>
      <c r="CF748" s="92"/>
      <c r="CG748" s="92"/>
      <c r="CH748" s="92"/>
      <c r="CI748" s="92"/>
      <c r="CJ748" s="92"/>
      <c r="CK748" s="92"/>
      <c r="CL748" s="92"/>
      <c r="CM748" s="92"/>
      <c r="CN748" s="92"/>
      <c r="CO748" s="92"/>
      <c r="CP748" s="92"/>
      <c r="CQ748" s="92"/>
      <c r="CR748" s="92"/>
      <c r="CS748" s="92"/>
      <c r="CT748" s="92"/>
      <c r="CU748" s="92"/>
      <c r="CV748" s="92"/>
      <c r="CW748" s="92"/>
      <c r="CX748" s="85"/>
      <c r="CY748" s="85"/>
      <c r="CZ748" s="85"/>
      <c r="DA748" s="85"/>
      <c r="DB748" s="85"/>
      <c r="DC748" s="85"/>
      <c r="DD748" s="85"/>
      <c r="DE748" s="85"/>
      <c r="DF748" s="85"/>
      <c r="DG748" s="85"/>
      <c r="DH748" s="85"/>
      <c r="DI748" s="85"/>
      <c r="DJ748" s="85"/>
      <c r="DK748" s="85"/>
      <c r="DL748" s="85"/>
      <c r="DM748" s="85"/>
      <c r="DN748" s="85"/>
      <c r="DO748" s="85"/>
      <c r="DP748" s="85"/>
    </row>
    <row r="749">
      <c r="A749" s="91"/>
      <c r="B749" s="91"/>
      <c r="C749" s="91"/>
      <c r="D749" s="91"/>
      <c r="E749" s="78"/>
      <c r="F749" s="15"/>
      <c r="G749" s="15"/>
      <c r="H749" s="91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  <c r="BH749" s="15"/>
      <c r="BI749" s="15"/>
      <c r="BJ749" s="15"/>
      <c r="BK749" s="15"/>
      <c r="BL749" s="15"/>
      <c r="BM749" s="15"/>
      <c r="BN749" s="92"/>
      <c r="BO749" s="92"/>
      <c r="BP749" s="92"/>
      <c r="BQ749" s="92"/>
      <c r="BR749" s="92"/>
      <c r="BS749" s="92"/>
      <c r="BT749" s="92"/>
      <c r="BU749" s="92"/>
      <c r="BV749" s="92"/>
      <c r="BW749" s="92"/>
      <c r="BX749" s="92"/>
      <c r="BY749" s="92"/>
      <c r="BZ749" s="92"/>
      <c r="CA749" s="92"/>
      <c r="CB749" s="92"/>
      <c r="CC749" s="92"/>
      <c r="CD749" s="92"/>
      <c r="CE749" s="92"/>
      <c r="CF749" s="92"/>
      <c r="CG749" s="92"/>
      <c r="CH749" s="92"/>
      <c r="CI749" s="92"/>
      <c r="CJ749" s="92"/>
      <c r="CK749" s="92"/>
      <c r="CL749" s="92"/>
      <c r="CM749" s="92"/>
      <c r="CN749" s="92"/>
      <c r="CO749" s="92"/>
      <c r="CP749" s="92"/>
      <c r="CQ749" s="92"/>
      <c r="CR749" s="92"/>
      <c r="CS749" s="92"/>
      <c r="CT749" s="92"/>
      <c r="CU749" s="92"/>
      <c r="CV749" s="92"/>
      <c r="CW749" s="92"/>
      <c r="CX749" s="85"/>
      <c r="CY749" s="85"/>
      <c r="CZ749" s="85"/>
      <c r="DA749" s="85"/>
      <c r="DB749" s="85"/>
      <c r="DC749" s="85"/>
      <c r="DD749" s="85"/>
      <c r="DE749" s="85"/>
      <c r="DF749" s="85"/>
      <c r="DG749" s="85"/>
      <c r="DH749" s="85"/>
      <c r="DI749" s="85"/>
      <c r="DJ749" s="85"/>
      <c r="DK749" s="85"/>
      <c r="DL749" s="85"/>
      <c r="DM749" s="85"/>
      <c r="DN749" s="85"/>
      <c r="DO749" s="85"/>
      <c r="DP749" s="85"/>
    </row>
    <row r="750">
      <c r="A750" s="91"/>
      <c r="B750" s="91"/>
      <c r="C750" s="91"/>
      <c r="D750" s="91"/>
      <c r="E750" s="78"/>
      <c r="F750" s="15"/>
      <c r="G750" s="15"/>
      <c r="H750" s="91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  <c r="BD750" s="15"/>
      <c r="BE750" s="15"/>
      <c r="BF750" s="15"/>
      <c r="BG750" s="15"/>
      <c r="BH750" s="15"/>
      <c r="BI750" s="15"/>
      <c r="BJ750" s="15"/>
      <c r="BK750" s="15"/>
      <c r="BL750" s="15"/>
      <c r="BM750" s="15"/>
      <c r="BN750" s="92"/>
      <c r="BO750" s="92"/>
      <c r="BP750" s="92"/>
      <c r="BQ750" s="92"/>
      <c r="BR750" s="92"/>
      <c r="BS750" s="92"/>
      <c r="BT750" s="92"/>
      <c r="BU750" s="92"/>
      <c r="BV750" s="92"/>
      <c r="BW750" s="92"/>
      <c r="BX750" s="92"/>
      <c r="BY750" s="92"/>
      <c r="BZ750" s="92"/>
      <c r="CA750" s="92"/>
      <c r="CB750" s="92"/>
      <c r="CC750" s="92"/>
      <c r="CD750" s="92"/>
      <c r="CE750" s="92"/>
      <c r="CF750" s="92"/>
      <c r="CG750" s="92"/>
      <c r="CH750" s="92"/>
      <c r="CI750" s="92"/>
      <c r="CJ750" s="92"/>
      <c r="CK750" s="92"/>
      <c r="CL750" s="92"/>
      <c r="CM750" s="92"/>
      <c r="CN750" s="92"/>
      <c r="CO750" s="92"/>
      <c r="CP750" s="92"/>
      <c r="CQ750" s="92"/>
      <c r="CR750" s="92"/>
      <c r="CS750" s="92"/>
      <c r="CT750" s="92"/>
      <c r="CU750" s="92"/>
      <c r="CV750" s="92"/>
      <c r="CW750" s="92"/>
      <c r="CX750" s="85"/>
      <c r="CY750" s="85"/>
      <c r="CZ750" s="85"/>
      <c r="DA750" s="85"/>
      <c r="DB750" s="85"/>
      <c r="DC750" s="85"/>
      <c r="DD750" s="85"/>
      <c r="DE750" s="85"/>
      <c r="DF750" s="85"/>
      <c r="DG750" s="85"/>
      <c r="DH750" s="85"/>
      <c r="DI750" s="85"/>
      <c r="DJ750" s="85"/>
      <c r="DK750" s="85"/>
      <c r="DL750" s="85"/>
      <c r="DM750" s="85"/>
      <c r="DN750" s="85"/>
      <c r="DO750" s="85"/>
      <c r="DP750" s="85"/>
    </row>
    <row r="751">
      <c r="A751" s="91"/>
      <c r="B751" s="91"/>
      <c r="C751" s="91"/>
      <c r="D751" s="91"/>
      <c r="E751" s="78"/>
      <c r="F751" s="15"/>
      <c r="G751" s="15"/>
      <c r="H751" s="91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  <c r="BH751" s="15"/>
      <c r="BI751" s="15"/>
      <c r="BJ751" s="15"/>
      <c r="BK751" s="15"/>
      <c r="BL751" s="15"/>
      <c r="BM751" s="15"/>
      <c r="BN751" s="92"/>
      <c r="BO751" s="92"/>
      <c r="BP751" s="92"/>
      <c r="BQ751" s="92"/>
      <c r="BR751" s="92"/>
      <c r="BS751" s="92"/>
      <c r="BT751" s="92"/>
      <c r="BU751" s="92"/>
      <c r="BV751" s="92"/>
      <c r="BW751" s="92"/>
      <c r="BX751" s="92"/>
      <c r="BY751" s="92"/>
      <c r="BZ751" s="92"/>
      <c r="CA751" s="92"/>
      <c r="CB751" s="92"/>
      <c r="CC751" s="92"/>
      <c r="CD751" s="92"/>
      <c r="CE751" s="92"/>
      <c r="CF751" s="92"/>
      <c r="CG751" s="92"/>
      <c r="CH751" s="92"/>
      <c r="CI751" s="92"/>
      <c r="CJ751" s="92"/>
      <c r="CK751" s="92"/>
      <c r="CL751" s="92"/>
      <c r="CM751" s="92"/>
      <c r="CN751" s="92"/>
      <c r="CO751" s="92"/>
      <c r="CP751" s="92"/>
      <c r="CQ751" s="92"/>
      <c r="CR751" s="92"/>
      <c r="CS751" s="92"/>
      <c r="CT751" s="92"/>
      <c r="CU751" s="92"/>
      <c r="CV751" s="92"/>
      <c r="CW751" s="92"/>
      <c r="CX751" s="85"/>
      <c r="CY751" s="85"/>
      <c r="CZ751" s="85"/>
      <c r="DA751" s="85"/>
      <c r="DB751" s="85"/>
      <c r="DC751" s="85"/>
      <c r="DD751" s="85"/>
      <c r="DE751" s="85"/>
      <c r="DF751" s="85"/>
      <c r="DG751" s="85"/>
      <c r="DH751" s="85"/>
      <c r="DI751" s="85"/>
      <c r="DJ751" s="85"/>
      <c r="DK751" s="85"/>
      <c r="DL751" s="85"/>
      <c r="DM751" s="85"/>
      <c r="DN751" s="85"/>
      <c r="DO751" s="85"/>
      <c r="DP751" s="85"/>
    </row>
    <row r="752">
      <c r="A752" s="91"/>
      <c r="B752" s="91"/>
      <c r="C752" s="91"/>
      <c r="D752" s="91"/>
      <c r="E752" s="78"/>
      <c r="F752" s="15"/>
      <c r="G752" s="15"/>
      <c r="H752" s="91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  <c r="BD752" s="15"/>
      <c r="BE752" s="15"/>
      <c r="BF752" s="15"/>
      <c r="BG752" s="15"/>
      <c r="BH752" s="15"/>
      <c r="BI752" s="15"/>
      <c r="BJ752" s="15"/>
      <c r="BK752" s="15"/>
      <c r="BL752" s="15"/>
      <c r="BM752" s="15"/>
      <c r="BN752" s="92"/>
      <c r="BO752" s="92"/>
      <c r="BP752" s="92"/>
      <c r="BQ752" s="92"/>
      <c r="BR752" s="92"/>
      <c r="BS752" s="92"/>
      <c r="BT752" s="92"/>
      <c r="BU752" s="92"/>
      <c r="BV752" s="92"/>
      <c r="BW752" s="92"/>
      <c r="BX752" s="92"/>
      <c r="BY752" s="92"/>
      <c r="BZ752" s="92"/>
      <c r="CA752" s="92"/>
      <c r="CB752" s="92"/>
      <c r="CC752" s="92"/>
      <c r="CD752" s="92"/>
      <c r="CE752" s="92"/>
      <c r="CF752" s="92"/>
      <c r="CG752" s="92"/>
      <c r="CH752" s="92"/>
      <c r="CI752" s="92"/>
      <c r="CJ752" s="92"/>
      <c r="CK752" s="92"/>
      <c r="CL752" s="92"/>
      <c r="CM752" s="92"/>
      <c r="CN752" s="92"/>
      <c r="CO752" s="92"/>
      <c r="CP752" s="92"/>
      <c r="CQ752" s="92"/>
      <c r="CR752" s="92"/>
      <c r="CS752" s="92"/>
      <c r="CT752" s="92"/>
      <c r="CU752" s="92"/>
      <c r="CV752" s="92"/>
      <c r="CW752" s="92"/>
      <c r="CX752" s="85"/>
      <c r="CY752" s="85"/>
      <c r="CZ752" s="85"/>
      <c r="DA752" s="85"/>
      <c r="DB752" s="85"/>
      <c r="DC752" s="85"/>
      <c r="DD752" s="85"/>
      <c r="DE752" s="85"/>
      <c r="DF752" s="85"/>
      <c r="DG752" s="85"/>
      <c r="DH752" s="85"/>
      <c r="DI752" s="85"/>
      <c r="DJ752" s="85"/>
      <c r="DK752" s="85"/>
      <c r="DL752" s="85"/>
      <c r="DM752" s="85"/>
      <c r="DN752" s="85"/>
      <c r="DO752" s="85"/>
      <c r="DP752" s="85"/>
    </row>
    <row r="753">
      <c r="A753" s="91"/>
      <c r="B753" s="91"/>
      <c r="C753" s="91"/>
      <c r="D753" s="91"/>
      <c r="E753" s="78"/>
      <c r="F753" s="15"/>
      <c r="G753" s="15"/>
      <c r="H753" s="91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  <c r="BH753" s="15"/>
      <c r="BI753" s="15"/>
      <c r="BJ753" s="15"/>
      <c r="BK753" s="15"/>
      <c r="BL753" s="15"/>
      <c r="BM753" s="15"/>
      <c r="BN753" s="92"/>
      <c r="BO753" s="92"/>
      <c r="BP753" s="92"/>
      <c r="BQ753" s="92"/>
      <c r="BR753" s="92"/>
      <c r="BS753" s="92"/>
      <c r="BT753" s="92"/>
      <c r="BU753" s="92"/>
      <c r="BV753" s="92"/>
      <c r="BW753" s="92"/>
      <c r="BX753" s="92"/>
      <c r="BY753" s="92"/>
      <c r="BZ753" s="92"/>
      <c r="CA753" s="92"/>
      <c r="CB753" s="92"/>
      <c r="CC753" s="92"/>
      <c r="CD753" s="92"/>
      <c r="CE753" s="92"/>
      <c r="CF753" s="92"/>
      <c r="CG753" s="92"/>
      <c r="CH753" s="92"/>
      <c r="CI753" s="92"/>
      <c r="CJ753" s="92"/>
      <c r="CK753" s="92"/>
      <c r="CL753" s="92"/>
      <c r="CM753" s="92"/>
      <c r="CN753" s="92"/>
      <c r="CO753" s="92"/>
      <c r="CP753" s="92"/>
      <c r="CQ753" s="92"/>
      <c r="CR753" s="92"/>
      <c r="CS753" s="92"/>
      <c r="CT753" s="92"/>
      <c r="CU753" s="92"/>
      <c r="CV753" s="92"/>
      <c r="CW753" s="92"/>
      <c r="CX753" s="85"/>
      <c r="CY753" s="85"/>
      <c r="CZ753" s="85"/>
      <c r="DA753" s="85"/>
      <c r="DB753" s="85"/>
      <c r="DC753" s="85"/>
      <c r="DD753" s="85"/>
      <c r="DE753" s="85"/>
      <c r="DF753" s="85"/>
      <c r="DG753" s="85"/>
      <c r="DH753" s="85"/>
      <c r="DI753" s="85"/>
      <c r="DJ753" s="85"/>
      <c r="DK753" s="85"/>
      <c r="DL753" s="85"/>
      <c r="DM753" s="85"/>
      <c r="DN753" s="85"/>
      <c r="DO753" s="85"/>
      <c r="DP753" s="85"/>
    </row>
    <row r="754">
      <c r="A754" s="91"/>
      <c r="B754" s="91"/>
      <c r="C754" s="91"/>
      <c r="D754" s="91"/>
      <c r="E754" s="78"/>
      <c r="F754" s="15"/>
      <c r="G754" s="15"/>
      <c r="H754" s="91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  <c r="BD754" s="15"/>
      <c r="BE754" s="15"/>
      <c r="BF754" s="15"/>
      <c r="BG754" s="15"/>
      <c r="BH754" s="15"/>
      <c r="BI754" s="15"/>
      <c r="BJ754" s="15"/>
      <c r="BK754" s="15"/>
      <c r="BL754" s="15"/>
      <c r="BM754" s="15"/>
      <c r="BN754" s="92"/>
      <c r="BO754" s="92"/>
      <c r="BP754" s="92"/>
      <c r="BQ754" s="92"/>
      <c r="BR754" s="92"/>
      <c r="BS754" s="92"/>
      <c r="BT754" s="92"/>
      <c r="BU754" s="92"/>
      <c r="BV754" s="92"/>
      <c r="BW754" s="92"/>
      <c r="BX754" s="92"/>
      <c r="BY754" s="92"/>
      <c r="BZ754" s="92"/>
      <c r="CA754" s="92"/>
      <c r="CB754" s="92"/>
      <c r="CC754" s="92"/>
      <c r="CD754" s="92"/>
      <c r="CE754" s="92"/>
      <c r="CF754" s="92"/>
      <c r="CG754" s="92"/>
      <c r="CH754" s="92"/>
      <c r="CI754" s="92"/>
      <c r="CJ754" s="92"/>
      <c r="CK754" s="92"/>
      <c r="CL754" s="92"/>
      <c r="CM754" s="92"/>
      <c r="CN754" s="92"/>
      <c r="CO754" s="92"/>
      <c r="CP754" s="92"/>
      <c r="CQ754" s="92"/>
      <c r="CR754" s="92"/>
      <c r="CS754" s="92"/>
      <c r="CT754" s="92"/>
      <c r="CU754" s="92"/>
      <c r="CV754" s="92"/>
      <c r="CW754" s="92"/>
      <c r="CX754" s="85"/>
      <c r="CY754" s="85"/>
      <c r="CZ754" s="85"/>
      <c r="DA754" s="85"/>
      <c r="DB754" s="85"/>
      <c r="DC754" s="85"/>
      <c r="DD754" s="85"/>
      <c r="DE754" s="85"/>
      <c r="DF754" s="85"/>
      <c r="DG754" s="85"/>
      <c r="DH754" s="85"/>
      <c r="DI754" s="85"/>
      <c r="DJ754" s="85"/>
      <c r="DK754" s="85"/>
      <c r="DL754" s="85"/>
      <c r="DM754" s="85"/>
      <c r="DN754" s="85"/>
      <c r="DO754" s="85"/>
      <c r="DP754" s="85"/>
    </row>
    <row r="755">
      <c r="A755" s="91"/>
      <c r="B755" s="91"/>
      <c r="C755" s="91"/>
      <c r="D755" s="91"/>
      <c r="E755" s="78"/>
      <c r="F755" s="15"/>
      <c r="G755" s="15"/>
      <c r="H755" s="91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  <c r="BH755" s="15"/>
      <c r="BI755" s="15"/>
      <c r="BJ755" s="15"/>
      <c r="BK755" s="15"/>
      <c r="BL755" s="15"/>
      <c r="BM755" s="15"/>
      <c r="BN755" s="92"/>
      <c r="BO755" s="92"/>
      <c r="BP755" s="92"/>
      <c r="BQ755" s="92"/>
      <c r="BR755" s="92"/>
      <c r="BS755" s="92"/>
      <c r="BT755" s="92"/>
      <c r="BU755" s="92"/>
      <c r="BV755" s="92"/>
      <c r="BW755" s="92"/>
      <c r="BX755" s="92"/>
      <c r="BY755" s="92"/>
      <c r="BZ755" s="92"/>
      <c r="CA755" s="92"/>
      <c r="CB755" s="92"/>
      <c r="CC755" s="92"/>
      <c r="CD755" s="92"/>
      <c r="CE755" s="92"/>
      <c r="CF755" s="92"/>
      <c r="CG755" s="92"/>
      <c r="CH755" s="92"/>
      <c r="CI755" s="92"/>
      <c r="CJ755" s="92"/>
      <c r="CK755" s="92"/>
      <c r="CL755" s="92"/>
      <c r="CM755" s="92"/>
      <c r="CN755" s="92"/>
      <c r="CO755" s="92"/>
      <c r="CP755" s="92"/>
      <c r="CQ755" s="92"/>
      <c r="CR755" s="92"/>
      <c r="CS755" s="92"/>
      <c r="CT755" s="92"/>
      <c r="CU755" s="92"/>
      <c r="CV755" s="92"/>
      <c r="CW755" s="92"/>
      <c r="CX755" s="85"/>
      <c r="CY755" s="85"/>
      <c r="CZ755" s="85"/>
      <c r="DA755" s="85"/>
      <c r="DB755" s="85"/>
      <c r="DC755" s="85"/>
      <c r="DD755" s="85"/>
      <c r="DE755" s="85"/>
      <c r="DF755" s="85"/>
      <c r="DG755" s="85"/>
      <c r="DH755" s="85"/>
      <c r="DI755" s="85"/>
      <c r="DJ755" s="85"/>
      <c r="DK755" s="85"/>
      <c r="DL755" s="85"/>
      <c r="DM755" s="85"/>
      <c r="DN755" s="85"/>
      <c r="DO755" s="85"/>
      <c r="DP755" s="85"/>
    </row>
    <row r="756">
      <c r="A756" s="91"/>
      <c r="B756" s="91"/>
      <c r="C756" s="91"/>
      <c r="D756" s="91"/>
      <c r="E756" s="78"/>
      <c r="F756" s="15"/>
      <c r="G756" s="15"/>
      <c r="H756" s="91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  <c r="BD756" s="15"/>
      <c r="BE756" s="15"/>
      <c r="BF756" s="15"/>
      <c r="BG756" s="15"/>
      <c r="BH756" s="15"/>
      <c r="BI756" s="15"/>
      <c r="BJ756" s="15"/>
      <c r="BK756" s="15"/>
      <c r="BL756" s="15"/>
      <c r="BM756" s="15"/>
      <c r="BN756" s="92"/>
      <c r="BO756" s="92"/>
      <c r="BP756" s="92"/>
      <c r="BQ756" s="92"/>
      <c r="BR756" s="92"/>
      <c r="BS756" s="92"/>
      <c r="BT756" s="92"/>
      <c r="BU756" s="92"/>
      <c r="BV756" s="92"/>
      <c r="BW756" s="92"/>
      <c r="BX756" s="92"/>
      <c r="BY756" s="92"/>
      <c r="BZ756" s="92"/>
      <c r="CA756" s="92"/>
      <c r="CB756" s="92"/>
      <c r="CC756" s="92"/>
      <c r="CD756" s="92"/>
      <c r="CE756" s="92"/>
      <c r="CF756" s="92"/>
      <c r="CG756" s="92"/>
      <c r="CH756" s="92"/>
      <c r="CI756" s="92"/>
      <c r="CJ756" s="92"/>
      <c r="CK756" s="92"/>
      <c r="CL756" s="92"/>
      <c r="CM756" s="92"/>
      <c r="CN756" s="92"/>
      <c r="CO756" s="92"/>
      <c r="CP756" s="92"/>
      <c r="CQ756" s="92"/>
      <c r="CR756" s="92"/>
      <c r="CS756" s="92"/>
      <c r="CT756" s="92"/>
      <c r="CU756" s="92"/>
      <c r="CV756" s="92"/>
      <c r="CW756" s="92"/>
      <c r="CX756" s="85"/>
      <c r="CY756" s="85"/>
      <c r="CZ756" s="85"/>
      <c r="DA756" s="85"/>
      <c r="DB756" s="85"/>
      <c r="DC756" s="85"/>
      <c r="DD756" s="85"/>
      <c r="DE756" s="85"/>
      <c r="DF756" s="85"/>
      <c r="DG756" s="85"/>
      <c r="DH756" s="85"/>
      <c r="DI756" s="85"/>
      <c r="DJ756" s="85"/>
      <c r="DK756" s="85"/>
      <c r="DL756" s="85"/>
      <c r="DM756" s="85"/>
      <c r="DN756" s="85"/>
      <c r="DO756" s="85"/>
      <c r="DP756" s="85"/>
    </row>
    <row r="757">
      <c r="A757" s="91"/>
      <c r="B757" s="91"/>
      <c r="C757" s="91"/>
      <c r="D757" s="91"/>
      <c r="E757" s="78"/>
      <c r="F757" s="15"/>
      <c r="G757" s="15"/>
      <c r="H757" s="91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15"/>
      <c r="BH757" s="15"/>
      <c r="BI757" s="15"/>
      <c r="BJ757" s="15"/>
      <c r="BK757" s="15"/>
      <c r="BL757" s="15"/>
      <c r="BM757" s="15"/>
      <c r="BN757" s="92"/>
      <c r="BO757" s="92"/>
      <c r="BP757" s="92"/>
      <c r="BQ757" s="92"/>
      <c r="BR757" s="92"/>
      <c r="BS757" s="92"/>
      <c r="BT757" s="92"/>
      <c r="BU757" s="92"/>
      <c r="BV757" s="92"/>
      <c r="BW757" s="92"/>
      <c r="BX757" s="92"/>
      <c r="BY757" s="92"/>
      <c r="BZ757" s="92"/>
      <c r="CA757" s="92"/>
      <c r="CB757" s="92"/>
      <c r="CC757" s="92"/>
      <c r="CD757" s="92"/>
      <c r="CE757" s="92"/>
      <c r="CF757" s="92"/>
      <c r="CG757" s="92"/>
      <c r="CH757" s="92"/>
      <c r="CI757" s="92"/>
      <c r="CJ757" s="92"/>
      <c r="CK757" s="92"/>
      <c r="CL757" s="92"/>
      <c r="CM757" s="92"/>
      <c r="CN757" s="92"/>
      <c r="CO757" s="92"/>
      <c r="CP757" s="92"/>
      <c r="CQ757" s="92"/>
      <c r="CR757" s="92"/>
      <c r="CS757" s="92"/>
      <c r="CT757" s="92"/>
      <c r="CU757" s="92"/>
      <c r="CV757" s="92"/>
      <c r="CW757" s="92"/>
      <c r="CX757" s="85"/>
      <c r="CY757" s="85"/>
      <c r="CZ757" s="85"/>
      <c r="DA757" s="85"/>
      <c r="DB757" s="85"/>
      <c r="DC757" s="85"/>
      <c r="DD757" s="85"/>
      <c r="DE757" s="85"/>
      <c r="DF757" s="85"/>
      <c r="DG757" s="85"/>
      <c r="DH757" s="85"/>
      <c r="DI757" s="85"/>
      <c r="DJ757" s="85"/>
      <c r="DK757" s="85"/>
      <c r="DL757" s="85"/>
      <c r="DM757" s="85"/>
      <c r="DN757" s="85"/>
      <c r="DO757" s="85"/>
      <c r="DP757" s="85"/>
    </row>
    <row r="758">
      <c r="A758" s="91"/>
      <c r="B758" s="91"/>
      <c r="C758" s="91"/>
      <c r="D758" s="91"/>
      <c r="E758" s="78"/>
      <c r="F758" s="15"/>
      <c r="G758" s="15"/>
      <c r="H758" s="91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s="15"/>
      <c r="BE758" s="15"/>
      <c r="BF758" s="15"/>
      <c r="BG758" s="15"/>
      <c r="BH758" s="15"/>
      <c r="BI758" s="15"/>
      <c r="BJ758" s="15"/>
      <c r="BK758" s="15"/>
      <c r="BL758" s="15"/>
      <c r="BM758" s="15"/>
      <c r="BN758" s="92"/>
      <c r="BO758" s="92"/>
      <c r="BP758" s="92"/>
      <c r="BQ758" s="92"/>
      <c r="BR758" s="92"/>
      <c r="BS758" s="92"/>
      <c r="BT758" s="92"/>
      <c r="BU758" s="92"/>
      <c r="BV758" s="92"/>
      <c r="BW758" s="92"/>
      <c r="BX758" s="92"/>
      <c r="BY758" s="92"/>
      <c r="BZ758" s="92"/>
      <c r="CA758" s="92"/>
      <c r="CB758" s="92"/>
      <c r="CC758" s="92"/>
      <c r="CD758" s="92"/>
      <c r="CE758" s="92"/>
      <c r="CF758" s="92"/>
      <c r="CG758" s="92"/>
      <c r="CH758" s="92"/>
      <c r="CI758" s="92"/>
      <c r="CJ758" s="92"/>
      <c r="CK758" s="92"/>
      <c r="CL758" s="92"/>
      <c r="CM758" s="92"/>
      <c r="CN758" s="92"/>
      <c r="CO758" s="92"/>
      <c r="CP758" s="92"/>
      <c r="CQ758" s="92"/>
      <c r="CR758" s="92"/>
      <c r="CS758" s="92"/>
      <c r="CT758" s="92"/>
      <c r="CU758" s="92"/>
      <c r="CV758" s="92"/>
      <c r="CW758" s="92"/>
      <c r="CX758" s="85"/>
      <c r="CY758" s="85"/>
      <c r="CZ758" s="85"/>
      <c r="DA758" s="85"/>
      <c r="DB758" s="85"/>
      <c r="DC758" s="85"/>
      <c r="DD758" s="85"/>
      <c r="DE758" s="85"/>
      <c r="DF758" s="85"/>
      <c r="DG758" s="85"/>
      <c r="DH758" s="85"/>
      <c r="DI758" s="85"/>
      <c r="DJ758" s="85"/>
      <c r="DK758" s="85"/>
      <c r="DL758" s="85"/>
      <c r="DM758" s="85"/>
      <c r="DN758" s="85"/>
      <c r="DO758" s="85"/>
      <c r="DP758" s="85"/>
    </row>
    <row r="759">
      <c r="A759" s="91"/>
      <c r="B759" s="91"/>
      <c r="C759" s="91"/>
      <c r="D759" s="91"/>
      <c r="E759" s="78"/>
      <c r="F759" s="15"/>
      <c r="G759" s="15"/>
      <c r="H759" s="91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  <c r="BH759" s="15"/>
      <c r="BI759" s="15"/>
      <c r="BJ759" s="15"/>
      <c r="BK759" s="15"/>
      <c r="BL759" s="15"/>
      <c r="BM759" s="15"/>
      <c r="BN759" s="92"/>
      <c r="BO759" s="92"/>
      <c r="BP759" s="92"/>
      <c r="BQ759" s="92"/>
      <c r="BR759" s="92"/>
      <c r="BS759" s="92"/>
      <c r="BT759" s="92"/>
      <c r="BU759" s="92"/>
      <c r="BV759" s="92"/>
      <c r="BW759" s="92"/>
      <c r="BX759" s="92"/>
      <c r="BY759" s="92"/>
      <c r="BZ759" s="92"/>
      <c r="CA759" s="92"/>
      <c r="CB759" s="92"/>
      <c r="CC759" s="92"/>
      <c r="CD759" s="92"/>
      <c r="CE759" s="92"/>
      <c r="CF759" s="92"/>
      <c r="CG759" s="92"/>
      <c r="CH759" s="92"/>
      <c r="CI759" s="92"/>
      <c r="CJ759" s="92"/>
      <c r="CK759" s="92"/>
      <c r="CL759" s="92"/>
      <c r="CM759" s="92"/>
      <c r="CN759" s="92"/>
      <c r="CO759" s="92"/>
      <c r="CP759" s="92"/>
      <c r="CQ759" s="92"/>
      <c r="CR759" s="92"/>
      <c r="CS759" s="92"/>
      <c r="CT759" s="92"/>
      <c r="CU759" s="92"/>
      <c r="CV759" s="92"/>
      <c r="CW759" s="92"/>
      <c r="CX759" s="85"/>
      <c r="CY759" s="85"/>
      <c r="CZ759" s="85"/>
      <c r="DA759" s="85"/>
      <c r="DB759" s="85"/>
      <c r="DC759" s="85"/>
      <c r="DD759" s="85"/>
      <c r="DE759" s="85"/>
      <c r="DF759" s="85"/>
      <c r="DG759" s="85"/>
      <c r="DH759" s="85"/>
      <c r="DI759" s="85"/>
      <c r="DJ759" s="85"/>
      <c r="DK759" s="85"/>
      <c r="DL759" s="85"/>
      <c r="DM759" s="85"/>
      <c r="DN759" s="85"/>
      <c r="DO759" s="85"/>
      <c r="DP759" s="85"/>
    </row>
    <row r="760">
      <c r="A760" s="91"/>
      <c r="B760" s="91"/>
      <c r="C760" s="91"/>
      <c r="D760" s="91"/>
      <c r="E760" s="78"/>
      <c r="F760" s="15"/>
      <c r="G760" s="15"/>
      <c r="H760" s="91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  <c r="BD760" s="15"/>
      <c r="BE760" s="15"/>
      <c r="BF760" s="15"/>
      <c r="BG760" s="15"/>
      <c r="BH760" s="15"/>
      <c r="BI760" s="15"/>
      <c r="BJ760" s="15"/>
      <c r="BK760" s="15"/>
      <c r="BL760" s="15"/>
      <c r="BM760" s="15"/>
      <c r="BN760" s="92"/>
      <c r="BO760" s="92"/>
      <c r="BP760" s="92"/>
      <c r="BQ760" s="92"/>
      <c r="BR760" s="92"/>
      <c r="BS760" s="92"/>
      <c r="BT760" s="92"/>
      <c r="BU760" s="92"/>
      <c r="BV760" s="92"/>
      <c r="BW760" s="92"/>
      <c r="BX760" s="92"/>
      <c r="BY760" s="92"/>
      <c r="BZ760" s="92"/>
      <c r="CA760" s="92"/>
      <c r="CB760" s="92"/>
      <c r="CC760" s="92"/>
      <c r="CD760" s="92"/>
      <c r="CE760" s="92"/>
      <c r="CF760" s="92"/>
      <c r="CG760" s="92"/>
      <c r="CH760" s="92"/>
      <c r="CI760" s="92"/>
      <c r="CJ760" s="92"/>
      <c r="CK760" s="92"/>
      <c r="CL760" s="92"/>
      <c r="CM760" s="92"/>
      <c r="CN760" s="92"/>
      <c r="CO760" s="92"/>
      <c r="CP760" s="92"/>
      <c r="CQ760" s="92"/>
      <c r="CR760" s="92"/>
      <c r="CS760" s="92"/>
      <c r="CT760" s="92"/>
      <c r="CU760" s="92"/>
      <c r="CV760" s="92"/>
      <c r="CW760" s="92"/>
      <c r="CX760" s="85"/>
      <c r="CY760" s="85"/>
      <c r="CZ760" s="85"/>
      <c r="DA760" s="85"/>
      <c r="DB760" s="85"/>
      <c r="DC760" s="85"/>
      <c r="DD760" s="85"/>
      <c r="DE760" s="85"/>
      <c r="DF760" s="85"/>
      <c r="DG760" s="85"/>
      <c r="DH760" s="85"/>
      <c r="DI760" s="85"/>
      <c r="DJ760" s="85"/>
      <c r="DK760" s="85"/>
      <c r="DL760" s="85"/>
      <c r="DM760" s="85"/>
      <c r="DN760" s="85"/>
      <c r="DO760" s="85"/>
      <c r="DP760" s="85"/>
    </row>
    <row r="761">
      <c r="A761" s="91"/>
      <c r="B761" s="91"/>
      <c r="C761" s="91"/>
      <c r="D761" s="91"/>
      <c r="E761" s="78"/>
      <c r="F761" s="15"/>
      <c r="G761" s="15"/>
      <c r="H761" s="91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15"/>
      <c r="BH761" s="15"/>
      <c r="BI761" s="15"/>
      <c r="BJ761" s="15"/>
      <c r="BK761" s="15"/>
      <c r="BL761" s="15"/>
      <c r="BM761" s="15"/>
      <c r="BN761" s="92"/>
      <c r="BO761" s="92"/>
      <c r="BP761" s="92"/>
      <c r="BQ761" s="92"/>
      <c r="BR761" s="92"/>
      <c r="BS761" s="92"/>
      <c r="BT761" s="92"/>
      <c r="BU761" s="92"/>
      <c r="BV761" s="92"/>
      <c r="BW761" s="92"/>
      <c r="BX761" s="92"/>
      <c r="BY761" s="92"/>
      <c r="BZ761" s="92"/>
      <c r="CA761" s="92"/>
      <c r="CB761" s="92"/>
      <c r="CC761" s="92"/>
      <c r="CD761" s="92"/>
      <c r="CE761" s="92"/>
      <c r="CF761" s="92"/>
      <c r="CG761" s="92"/>
      <c r="CH761" s="92"/>
      <c r="CI761" s="92"/>
      <c r="CJ761" s="92"/>
      <c r="CK761" s="92"/>
      <c r="CL761" s="92"/>
      <c r="CM761" s="92"/>
      <c r="CN761" s="92"/>
      <c r="CO761" s="92"/>
      <c r="CP761" s="92"/>
      <c r="CQ761" s="92"/>
      <c r="CR761" s="92"/>
      <c r="CS761" s="92"/>
      <c r="CT761" s="92"/>
      <c r="CU761" s="92"/>
      <c r="CV761" s="92"/>
      <c r="CW761" s="92"/>
      <c r="CX761" s="85"/>
      <c r="CY761" s="85"/>
      <c r="CZ761" s="85"/>
      <c r="DA761" s="85"/>
      <c r="DB761" s="85"/>
      <c r="DC761" s="85"/>
      <c r="DD761" s="85"/>
      <c r="DE761" s="85"/>
      <c r="DF761" s="85"/>
      <c r="DG761" s="85"/>
      <c r="DH761" s="85"/>
      <c r="DI761" s="85"/>
      <c r="DJ761" s="85"/>
      <c r="DK761" s="85"/>
      <c r="DL761" s="85"/>
      <c r="DM761" s="85"/>
      <c r="DN761" s="85"/>
      <c r="DO761" s="85"/>
      <c r="DP761" s="85"/>
    </row>
    <row r="762">
      <c r="A762" s="91"/>
      <c r="B762" s="91"/>
      <c r="C762" s="91"/>
      <c r="D762" s="91"/>
      <c r="E762" s="78"/>
      <c r="F762" s="15"/>
      <c r="G762" s="15"/>
      <c r="H762" s="91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  <c r="BD762" s="15"/>
      <c r="BE762" s="15"/>
      <c r="BF762" s="15"/>
      <c r="BG762" s="15"/>
      <c r="BH762" s="15"/>
      <c r="BI762" s="15"/>
      <c r="BJ762" s="15"/>
      <c r="BK762" s="15"/>
      <c r="BL762" s="15"/>
      <c r="BM762" s="15"/>
      <c r="BN762" s="92"/>
      <c r="BO762" s="92"/>
      <c r="BP762" s="92"/>
      <c r="BQ762" s="92"/>
      <c r="BR762" s="92"/>
      <c r="BS762" s="92"/>
      <c r="BT762" s="92"/>
      <c r="BU762" s="92"/>
      <c r="BV762" s="92"/>
      <c r="BW762" s="92"/>
      <c r="BX762" s="92"/>
      <c r="BY762" s="92"/>
      <c r="BZ762" s="92"/>
      <c r="CA762" s="92"/>
      <c r="CB762" s="92"/>
      <c r="CC762" s="92"/>
      <c r="CD762" s="92"/>
      <c r="CE762" s="92"/>
      <c r="CF762" s="92"/>
      <c r="CG762" s="92"/>
      <c r="CH762" s="92"/>
      <c r="CI762" s="92"/>
      <c r="CJ762" s="92"/>
      <c r="CK762" s="92"/>
      <c r="CL762" s="92"/>
      <c r="CM762" s="92"/>
      <c r="CN762" s="92"/>
      <c r="CO762" s="92"/>
      <c r="CP762" s="92"/>
      <c r="CQ762" s="92"/>
      <c r="CR762" s="92"/>
      <c r="CS762" s="92"/>
      <c r="CT762" s="92"/>
      <c r="CU762" s="92"/>
      <c r="CV762" s="92"/>
      <c r="CW762" s="92"/>
      <c r="CX762" s="85"/>
      <c r="CY762" s="85"/>
      <c r="CZ762" s="85"/>
      <c r="DA762" s="85"/>
      <c r="DB762" s="85"/>
      <c r="DC762" s="85"/>
      <c r="DD762" s="85"/>
      <c r="DE762" s="85"/>
      <c r="DF762" s="85"/>
      <c r="DG762" s="85"/>
      <c r="DH762" s="85"/>
      <c r="DI762" s="85"/>
      <c r="DJ762" s="85"/>
      <c r="DK762" s="85"/>
      <c r="DL762" s="85"/>
      <c r="DM762" s="85"/>
      <c r="DN762" s="85"/>
      <c r="DO762" s="85"/>
      <c r="DP762" s="85"/>
    </row>
    <row r="763">
      <c r="A763" s="91"/>
      <c r="B763" s="91"/>
      <c r="C763" s="91"/>
      <c r="D763" s="91"/>
      <c r="E763" s="78"/>
      <c r="F763" s="15"/>
      <c r="G763" s="15"/>
      <c r="H763" s="91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  <c r="BH763" s="15"/>
      <c r="BI763" s="15"/>
      <c r="BJ763" s="15"/>
      <c r="BK763" s="15"/>
      <c r="BL763" s="15"/>
      <c r="BM763" s="15"/>
      <c r="BN763" s="92"/>
      <c r="BO763" s="92"/>
      <c r="BP763" s="92"/>
      <c r="BQ763" s="92"/>
      <c r="BR763" s="92"/>
      <c r="BS763" s="92"/>
      <c r="BT763" s="92"/>
      <c r="BU763" s="92"/>
      <c r="BV763" s="92"/>
      <c r="BW763" s="92"/>
      <c r="BX763" s="92"/>
      <c r="BY763" s="92"/>
      <c r="BZ763" s="92"/>
      <c r="CA763" s="92"/>
      <c r="CB763" s="92"/>
      <c r="CC763" s="92"/>
      <c r="CD763" s="92"/>
      <c r="CE763" s="92"/>
      <c r="CF763" s="92"/>
      <c r="CG763" s="92"/>
      <c r="CH763" s="92"/>
      <c r="CI763" s="92"/>
      <c r="CJ763" s="92"/>
      <c r="CK763" s="92"/>
      <c r="CL763" s="92"/>
      <c r="CM763" s="92"/>
      <c r="CN763" s="92"/>
      <c r="CO763" s="92"/>
      <c r="CP763" s="92"/>
      <c r="CQ763" s="92"/>
      <c r="CR763" s="92"/>
      <c r="CS763" s="92"/>
      <c r="CT763" s="92"/>
      <c r="CU763" s="92"/>
      <c r="CV763" s="92"/>
      <c r="CW763" s="92"/>
      <c r="CX763" s="85"/>
      <c r="CY763" s="85"/>
      <c r="CZ763" s="85"/>
      <c r="DA763" s="85"/>
      <c r="DB763" s="85"/>
      <c r="DC763" s="85"/>
      <c r="DD763" s="85"/>
      <c r="DE763" s="85"/>
      <c r="DF763" s="85"/>
      <c r="DG763" s="85"/>
      <c r="DH763" s="85"/>
      <c r="DI763" s="85"/>
      <c r="DJ763" s="85"/>
      <c r="DK763" s="85"/>
      <c r="DL763" s="85"/>
      <c r="DM763" s="85"/>
      <c r="DN763" s="85"/>
      <c r="DO763" s="85"/>
      <c r="DP763" s="85"/>
    </row>
    <row r="764">
      <c r="A764" s="91"/>
      <c r="B764" s="91"/>
      <c r="C764" s="91"/>
      <c r="D764" s="91"/>
      <c r="E764" s="78"/>
      <c r="F764" s="15"/>
      <c r="G764" s="15"/>
      <c r="H764" s="91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  <c r="BD764" s="15"/>
      <c r="BE764" s="15"/>
      <c r="BF764" s="15"/>
      <c r="BG764" s="15"/>
      <c r="BH764" s="15"/>
      <c r="BI764" s="15"/>
      <c r="BJ764" s="15"/>
      <c r="BK764" s="15"/>
      <c r="BL764" s="15"/>
      <c r="BM764" s="15"/>
      <c r="BN764" s="92"/>
      <c r="BO764" s="92"/>
      <c r="BP764" s="92"/>
      <c r="BQ764" s="92"/>
      <c r="BR764" s="92"/>
      <c r="BS764" s="92"/>
      <c r="BT764" s="92"/>
      <c r="BU764" s="92"/>
      <c r="BV764" s="92"/>
      <c r="BW764" s="92"/>
      <c r="BX764" s="92"/>
      <c r="BY764" s="92"/>
      <c r="BZ764" s="92"/>
      <c r="CA764" s="92"/>
      <c r="CB764" s="92"/>
      <c r="CC764" s="92"/>
      <c r="CD764" s="92"/>
      <c r="CE764" s="92"/>
      <c r="CF764" s="92"/>
      <c r="CG764" s="92"/>
      <c r="CH764" s="92"/>
      <c r="CI764" s="92"/>
      <c r="CJ764" s="92"/>
      <c r="CK764" s="92"/>
      <c r="CL764" s="92"/>
      <c r="CM764" s="92"/>
      <c r="CN764" s="92"/>
      <c r="CO764" s="92"/>
      <c r="CP764" s="92"/>
      <c r="CQ764" s="92"/>
      <c r="CR764" s="92"/>
      <c r="CS764" s="92"/>
      <c r="CT764" s="92"/>
      <c r="CU764" s="92"/>
      <c r="CV764" s="92"/>
      <c r="CW764" s="92"/>
      <c r="CX764" s="85"/>
      <c r="CY764" s="85"/>
      <c r="CZ764" s="85"/>
      <c r="DA764" s="85"/>
      <c r="DB764" s="85"/>
      <c r="DC764" s="85"/>
      <c r="DD764" s="85"/>
      <c r="DE764" s="85"/>
      <c r="DF764" s="85"/>
      <c r="DG764" s="85"/>
      <c r="DH764" s="85"/>
      <c r="DI764" s="85"/>
      <c r="DJ764" s="85"/>
      <c r="DK764" s="85"/>
      <c r="DL764" s="85"/>
      <c r="DM764" s="85"/>
      <c r="DN764" s="85"/>
      <c r="DO764" s="85"/>
      <c r="DP764" s="85"/>
    </row>
    <row r="765">
      <c r="A765" s="91"/>
      <c r="B765" s="91"/>
      <c r="C765" s="91"/>
      <c r="D765" s="91"/>
      <c r="E765" s="78"/>
      <c r="F765" s="15"/>
      <c r="G765" s="15"/>
      <c r="H765" s="91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  <c r="BH765" s="15"/>
      <c r="BI765" s="15"/>
      <c r="BJ765" s="15"/>
      <c r="BK765" s="15"/>
      <c r="BL765" s="15"/>
      <c r="BM765" s="15"/>
      <c r="BN765" s="92"/>
      <c r="BO765" s="92"/>
      <c r="BP765" s="92"/>
      <c r="BQ765" s="92"/>
      <c r="BR765" s="92"/>
      <c r="BS765" s="92"/>
      <c r="BT765" s="92"/>
      <c r="BU765" s="92"/>
      <c r="BV765" s="92"/>
      <c r="BW765" s="92"/>
      <c r="BX765" s="92"/>
      <c r="BY765" s="92"/>
      <c r="BZ765" s="92"/>
      <c r="CA765" s="92"/>
      <c r="CB765" s="92"/>
      <c r="CC765" s="92"/>
      <c r="CD765" s="92"/>
      <c r="CE765" s="92"/>
      <c r="CF765" s="92"/>
      <c r="CG765" s="92"/>
      <c r="CH765" s="92"/>
      <c r="CI765" s="92"/>
      <c r="CJ765" s="92"/>
      <c r="CK765" s="92"/>
      <c r="CL765" s="92"/>
      <c r="CM765" s="92"/>
      <c r="CN765" s="92"/>
      <c r="CO765" s="92"/>
      <c r="CP765" s="92"/>
      <c r="CQ765" s="92"/>
      <c r="CR765" s="92"/>
      <c r="CS765" s="92"/>
      <c r="CT765" s="92"/>
      <c r="CU765" s="92"/>
      <c r="CV765" s="92"/>
      <c r="CW765" s="92"/>
      <c r="CX765" s="85"/>
      <c r="CY765" s="85"/>
      <c r="CZ765" s="85"/>
      <c r="DA765" s="85"/>
      <c r="DB765" s="85"/>
      <c r="DC765" s="85"/>
      <c r="DD765" s="85"/>
      <c r="DE765" s="85"/>
      <c r="DF765" s="85"/>
      <c r="DG765" s="85"/>
      <c r="DH765" s="85"/>
      <c r="DI765" s="85"/>
      <c r="DJ765" s="85"/>
      <c r="DK765" s="85"/>
      <c r="DL765" s="85"/>
      <c r="DM765" s="85"/>
      <c r="DN765" s="85"/>
      <c r="DO765" s="85"/>
      <c r="DP765" s="85"/>
    </row>
    <row r="766">
      <c r="A766" s="91"/>
      <c r="B766" s="91"/>
      <c r="C766" s="91"/>
      <c r="D766" s="91"/>
      <c r="E766" s="78"/>
      <c r="F766" s="15"/>
      <c r="G766" s="15"/>
      <c r="H766" s="91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  <c r="BD766" s="15"/>
      <c r="BE766" s="15"/>
      <c r="BF766" s="15"/>
      <c r="BG766" s="15"/>
      <c r="BH766" s="15"/>
      <c r="BI766" s="15"/>
      <c r="BJ766" s="15"/>
      <c r="BK766" s="15"/>
      <c r="BL766" s="15"/>
      <c r="BM766" s="15"/>
      <c r="BN766" s="92"/>
      <c r="BO766" s="92"/>
      <c r="BP766" s="92"/>
      <c r="BQ766" s="92"/>
      <c r="BR766" s="92"/>
      <c r="BS766" s="92"/>
      <c r="BT766" s="92"/>
      <c r="BU766" s="92"/>
      <c r="BV766" s="92"/>
      <c r="BW766" s="92"/>
      <c r="BX766" s="92"/>
      <c r="BY766" s="92"/>
      <c r="BZ766" s="92"/>
      <c r="CA766" s="92"/>
      <c r="CB766" s="92"/>
      <c r="CC766" s="92"/>
      <c r="CD766" s="92"/>
      <c r="CE766" s="92"/>
      <c r="CF766" s="92"/>
      <c r="CG766" s="92"/>
      <c r="CH766" s="92"/>
      <c r="CI766" s="92"/>
      <c r="CJ766" s="92"/>
      <c r="CK766" s="92"/>
      <c r="CL766" s="92"/>
      <c r="CM766" s="92"/>
      <c r="CN766" s="92"/>
      <c r="CO766" s="92"/>
      <c r="CP766" s="92"/>
      <c r="CQ766" s="92"/>
      <c r="CR766" s="92"/>
      <c r="CS766" s="92"/>
      <c r="CT766" s="92"/>
      <c r="CU766" s="92"/>
      <c r="CV766" s="92"/>
      <c r="CW766" s="92"/>
      <c r="CX766" s="85"/>
      <c r="CY766" s="85"/>
      <c r="CZ766" s="85"/>
      <c r="DA766" s="85"/>
      <c r="DB766" s="85"/>
      <c r="DC766" s="85"/>
      <c r="DD766" s="85"/>
      <c r="DE766" s="85"/>
      <c r="DF766" s="85"/>
      <c r="DG766" s="85"/>
      <c r="DH766" s="85"/>
      <c r="DI766" s="85"/>
      <c r="DJ766" s="85"/>
      <c r="DK766" s="85"/>
      <c r="DL766" s="85"/>
      <c r="DM766" s="85"/>
      <c r="DN766" s="85"/>
      <c r="DO766" s="85"/>
      <c r="DP766" s="85"/>
    </row>
    <row r="767">
      <c r="A767" s="91"/>
      <c r="B767" s="91"/>
      <c r="C767" s="91"/>
      <c r="D767" s="91"/>
      <c r="E767" s="78"/>
      <c r="F767" s="15"/>
      <c r="G767" s="15"/>
      <c r="H767" s="91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  <c r="BH767" s="15"/>
      <c r="BI767" s="15"/>
      <c r="BJ767" s="15"/>
      <c r="BK767" s="15"/>
      <c r="BL767" s="15"/>
      <c r="BM767" s="15"/>
      <c r="BN767" s="92"/>
      <c r="BO767" s="92"/>
      <c r="BP767" s="92"/>
      <c r="BQ767" s="92"/>
      <c r="BR767" s="92"/>
      <c r="BS767" s="92"/>
      <c r="BT767" s="92"/>
      <c r="BU767" s="92"/>
      <c r="BV767" s="92"/>
      <c r="BW767" s="92"/>
      <c r="BX767" s="92"/>
      <c r="BY767" s="92"/>
      <c r="BZ767" s="92"/>
      <c r="CA767" s="92"/>
      <c r="CB767" s="92"/>
      <c r="CC767" s="92"/>
      <c r="CD767" s="92"/>
      <c r="CE767" s="92"/>
      <c r="CF767" s="92"/>
      <c r="CG767" s="92"/>
      <c r="CH767" s="92"/>
      <c r="CI767" s="92"/>
      <c r="CJ767" s="92"/>
      <c r="CK767" s="92"/>
      <c r="CL767" s="92"/>
      <c r="CM767" s="92"/>
      <c r="CN767" s="92"/>
      <c r="CO767" s="92"/>
      <c r="CP767" s="92"/>
      <c r="CQ767" s="92"/>
      <c r="CR767" s="92"/>
      <c r="CS767" s="92"/>
      <c r="CT767" s="92"/>
      <c r="CU767" s="92"/>
      <c r="CV767" s="92"/>
      <c r="CW767" s="92"/>
      <c r="CX767" s="85"/>
      <c r="CY767" s="85"/>
      <c r="CZ767" s="85"/>
      <c r="DA767" s="85"/>
      <c r="DB767" s="85"/>
      <c r="DC767" s="85"/>
      <c r="DD767" s="85"/>
      <c r="DE767" s="85"/>
      <c r="DF767" s="85"/>
      <c r="DG767" s="85"/>
      <c r="DH767" s="85"/>
      <c r="DI767" s="85"/>
      <c r="DJ767" s="85"/>
      <c r="DK767" s="85"/>
      <c r="DL767" s="85"/>
      <c r="DM767" s="85"/>
      <c r="DN767" s="85"/>
      <c r="DO767" s="85"/>
      <c r="DP767" s="85"/>
    </row>
    <row r="768">
      <c r="A768" s="91"/>
      <c r="B768" s="91"/>
      <c r="C768" s="91"/>
      <c r="D768" s="91"/>
      <c r="E768" s="78"/>
      <c r="F768" s="15"/>
      <c r="G768" s="15"/>
      <c r="H768" s="91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15"/>
      <c r="BE768" s="15"/>
      <c r="BF768" s="15"/>
      <c r="BG768" s="15"/>
      <c r="BH768" s="15"/>
      <c r="BI768" s="15"/>
      <c r="BJ768" s="15"/>
      <c r="BK768" s="15"/>
      <c r="BL768" s="15"/>
      <c r="BM768" s="15"/>
      <c r="BN768" s="92"/>
      <c r="BO768" s="92"/>
      <c r="BP768" s="92"/>
      <c r="BQ768" s="92"/>
      <c r="BR768" s="92"/>
      <c r="BS768" s="92"/>
      <c r="BT768" s="92"/>
      <c r="BU768" s="92"/>
      <c r="BV768" s="92"/>
      <c r="BW768" s="92"/>
      <c r="BX768" s="92"/>
      <c r="BY768" s="92"/>
      <c r="BZ768" s="92"/>
      <c r="CA768" s="92"/>
      <c r="CB768" s="92"/>
      <c r="CC768" s="92"/>
      <c r="CD768" s="92"/>
      <c r="CE768" s="92"/>
      <c r="CF768" s="92"/>
      <c r="CG768" s="92"/>
      <c r="CH768" s="92"/>
      <c r="CI768" s="92"/>
      <c r="CJ768" s="92"/>
      <c r="CK768" s="92"/>
      <c r="CL768" s="92"/>
      <c r="CM768" s="92"/>
      <c r="CN768" s="92"/>
      <c r="CO768" s="92"/>
      <c r="CP768" s="92"/>
      <c r="CQ768" s="92"/>
      <c r="CR768" s="92"/>
      <c r="CS768" s="92"/>
      <c r="CT768" s="92"/>
      <c r="CU768" s="92"/>
      <c r="CV768" s="92"/>
      <c r="CW768" s="92"/>
      <c r="CX768" s="85"/>
      <c r="CY768" s="85"/>
      <c r="CZ768" s="85"/>
      <c r="DA768" s="85"/>
      <c r="DB768" s="85"/>
      <c r="DC768" s="85"/>
      <c r="DD768" s="85"/>
      <c r="DE768" s="85"/>
      <c r="DF768" s="85"/>
      <c r="DG768" s="85"/>
      <c r="DH768" s="85"/>
      <c r="DI768" s="85"/>
      <c r="DJ768" s="85"/>
      <c r="DK768" s="85"/>
      <c r="DL768" s="85"/>
      <c r="DM768" s="85"/>
      <c r="DN768" s="85"/>
      <c r="DO768" s="85"/>
      <c r="DP768" s="85"/>
    </row>
    <row r="769">
      <c r="A769" s="91"/>
      <c r="B769" s="91"/>
      <c r="C769" s="91"/>
      <c r="D769" s="91"/>
      <c r="E769" s="78"/>
      <c r="F769" s="15"/>
      <c r="G769" s="15"/>
      <c r="H769" s="91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  <c r="BH769" s="15"/>
      <c r="BI769" s="15"/>
      <c r="BJ769" s="15"/>
      <c r="BK769" s="15"/>
      <c r="BL769" s="15"/>
      <c r="BM769" s="15"/>
      <c r="BN769" s="92"/>
      <c r="BO769" s="92"/>
      <c r="BP769" s="92"/>
      <c r="BQ769" s="92"/>
      <c r="BR769" s="92"/>
      <c r="BS769" s="92"/>
      <c r="BT769" s="92"/>
      <c r="BU769" s="92"/>
      <c r="BV769" s="92"/>
      <c r="BW769" s="92"/>
      <c r="BX769" s="92"/>
      <c r="BY769" s="92"/>
      <c r="BZ769" s="92"/>
      <c r="CA769" s="92"/>
      <c r="CB769" s="92"/>
      <c r="CC769" s="92"/>
      <c r="CD769" s="92"/>
      <c r="CE769" s="92"/>
      <c r="CF769" s="92"/>
      <c r="CG769" s="92"/>
      <c r="CH769" s="92"/>
      <c r="CI769" s="92"/>
      <c r="CJ769" s="92"/>
      <c r="CK769" s="92"/>
      <c r="CL769" s="92"/>
      <c r="CM769" s="92"/>
      <c r="CN769" s="92"/>
      <c r="CO769" s="92"/>
      <c r="CP769" s="92"/>
      <c r="CQ769" s="92"/>
      <c r="CR769" s="92"/>
      <c r="CS769" s="92"/>
      <c r="CT769" s="92"/>
      <c r="CU769" s="92"/>
      <c r="CV769" s="92"/>
      <c r="CW769" s="92"/>
      <c r="CX769" s="85"/>
      <c r="CY769" s="85"/>
      <c r="CZ769" s="85"/>
      <c r="DA769" s="85"/>
      <c r="DB769" s="85"/>
      <c r="DC769" s="85"/>
      <c r="DD769" s="85"/>
      <c r="DE769" s="85"/>
      <c r="DF769" s="85"/>
      <c r="DG769" s="85"/>
      <c r="DH769" s="85"/>
      <c r="DI769" s="85"/>
      <c r="DJ769" s="85"/>
      <c r="DK769" s="85"/>
      <c r="DL769" s="85"/>
      <c r="DM769" s="85"/>
      <c r="DN769" s="85"/>
      <c r="DO769" s="85"/>
      <c r="DP769" s="85"/>
    </row>
    <row r="770">
      <c r="A770" s="91"/>
      <c r="B770" s="91"/>
      <c r="C770" s="91"/>
      <c r="D770" s="91"/>
      <c r="E770" s="78"/>
      <c r="F770" s="15"/>
      <c r="G770" s="15"/>
      <c r="H770" s="91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  <c r="BD770" s="15"/>
      <c r="BE770" s="15"/>
      <c r="BF770" s="15"/>
      <c r="BG770" s="15"/>
      <c r="BH770" s="15"/>
      <c r="BI770" s="15"/>
      <c r="BJ770" s="15"/>
      <c r="BK770" s="15"/>
      <c r="BL770" s="15"/>
      <c r="BM770" s="15"/>
      <c r="BN770" s="92"/>
      <c r="BO770" s="92"/>
      <c r="BP770" s="92"/>
      <c r="BQ770" s="92"/>
      <c r="BR770" s="92"/>
      <c r="BS770" s="92"/>
      <c r="BT770" s="92"/>
      <c r="BU770" s="92"/>
      <c r="BV770" s="92"/>
      <c r="BW770" s="92"/>
      <c r="BX770" s="92"/>
      <c r="BY770" s="92"/>
      <c r="BZ770" s="92"/>
      <c r="CA770" s="92"/>
      <c r="CB770" s="92"/>
      <c r="CC770" s="92"/>
      <c r="CD770" s="92"/>
      <c r="CE770" s="92"/>
      <c r="CF770" s="92"/>
      <c r="CG770" s="92"/>
      <c r="CH770" s="92"/>
      <c r="CI770" s="92"/>
      <c r="CJ770" s="92"/>
      <c r="CK770" s="92"/>
      <c r="CL770" s="92"/>
      <c r="CM770" s="92"/>
      <c r="CN770" s="92"/>
      <c r="CO770" s="92"/>
      <c r="CP770" s="92"/>
      <c r="CQ770" s="92"/>
      <c r="CR770" s="92"/>
      <c r="CS770" s="92"/>
      <c r="CT770" s="92"/>
      <c r="CU770" s="92"/>
      <c r="CV770" s="92"/>
      <c r="CW770" s="92"/>
      <c r="CX770" s="85"/>
      <c r="CY770" s="85"/>
      <c r="CZ770" s="85"/>
      <c r="DA770" s="85"/>
      <c r="DB770" s="85"/>
      <c r="DC770" s="85"/>
      <c r="DD770" s="85"/>
      <c r="DE770" s="85"/>
      <c r="DF770" s="85"/>
      <c r="DG770" s="85"/>
      <c r="DH770" s="85"/>
      <c r="DI770" s="85"/>
      <c r="DJ770" s="85"/>
      <c r="DK770" s="85"/>
      <c r="DL770" s="85"/>
      <c r="DM770" s="85"/>
      <c r="DN770" s="85"/>
      <c r="DO770" s="85"/>
      <c r="DP770" s="85"/>
    </row>
    <row r="771">
      <c r="A771" s="91"/>
      <c r="B771" s="91"/>
      <c r="C771" s="91"/>
      <c r="D771" s="91"/>
      <c r="E771" s="78"/>
      <c r="F771" s="15"/>
      <c r="G771" s="15"/>
      <c r="H771" s="91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15"/>
      <c r="BH771" s="15"/>
      <c r="BI771" s="15"/>
      <c r="BJ771" s="15"/>
      <c r="BK771" s="15"/>
      <c r="BL771" s="15"/>
      <c r="BM771" s="15"/>
      <c r="BN771" s="92"/>
      <c r="BO771" s="92"/>
      <c r="BP771" s="92"/>
      <c r="BQ771" s="92"/>
      <c r="BR771" s="92"/>
      <c r="BS771" s="92"/>
      <c r="BT771" s="92"/>
      <c r="BU771" s="92"/>
      <c r="BV771" s="92"/>
      <c r="BW771" s="92"/>
      <c r="BX771" s="92"/>
      <c r="BY771" s="92"/>
      <c r="BZ771" s="92"/>
      <c r="CA771" s="92"/>
      <c r="CB771" s="92"/>
      <c r="CC771" s="92"/>
      <c r="CD771" s="92"/>
      <c r="CE771" s="92"/>
      <c r="CF771" s="92"/>
      <c r="CG771" s="92"/>
      <c r="CH771" s="92"/>
      <c r="CI771" s="92"/>
      <c r="CJ771" s="92"/>
      <c r="CK771" s="92"/>
      <c r="CL771" s="92"/>
      <c r="CM771" s="92"/>
      <c r="CN771" s="92"/>
      <c r="CO771" s="92"/>
      <c r="CP771" s="92"/>
      <c r="CQ771" s="92"/>
      <c r="CR771" s="92"/>
      <c r="CS771" s="92"/>
      <c r="CT771" s="92"/>
      <c r="CU771" s="92"/>
      <c r="CV771" s="92"/>
      <c r="CW771" s="92"/>
      <c r="CX771" s="85"/>
      <c r="CY771" s="85"/>
      <c r="CZ771" s="85"/>
      <c r="DA771" s="85"/>
      <c r="DB771" s="85"/>
      <c r="DC771" s="85"/>
      <c r="DD771" s="85"/>
      <c r="DE771" s="85"/>
      <c r="DF771" s="85"/>
      <c r="DG771" s="85"/>
      <c r="DH771" s="85"/>
      <c r="DI771" s="85"/>
      <c r="DJ771" s="85"/>
      <c r="DK771" s="85"/>
      <c r="DL771" s="85"/>
      <c r="DM771" s="85"/>
      <c r="DN771" s="85"/>
      <c r="DO771" s="85"/>
      <c r="DP771" s="85"/>
    </row>
    <row r="772">
      <c r="A772" s="91"/>
      <c r="B772" s="91"/>
      <c r="C772" s="91"/>
      <c r="D772" s="91"/>
      <c r="E772" s="78"/>
      <c r="F772" s="15"/>
      <c r="G772" s="15"/>
      <c r="H772" s="91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  <c r="BD772" s="15"/>
      <c r="BE772" s="15"/>
      <c r="BF772" s="15"/>
      <c r="BG772" s="15"/>
      <c r="BH772" s="15"/>
      <c r="BI772" s="15"/>
      <c r="BJ772" s="15"/>
      <c r="BK772" s="15"/>
      <c r="BL772" s="15"/>
      <c r="BM772" s="15"/>
      <c r="BN772" s="92"/>
      <c r="BO772" s="92"/>
      <c r="BP772" s="92"/>
      <c r="BQ772" s="92"/>
      <c r="BR772" s="92"/>
      <c r="BS772" s="92"/>
      <c r="BT772" s="92"/>
      <c r="BU772" s="92"/>
      <c r="BV772" s="92"/>
      <c r="BW772" s="92"/>
      <c r="BX772" s="92"/>
      <c r="BY772" s="92"/>
      <c r="BZ772" s="92"/>
      <c r="CA772" s="92"/>
      <c r="CB772" s="92"/>
      <c r="CC772" s="92"/>
      <c r="CD772" s="92"/>
      <c r="CE772" s="92"/>
      <c r="CF772" s="92"/>
      <c r="CG772" s="92"/>
      <c r="CH772" s="92"/>
      <c r="CI772" s="92"/>
      <c r="CJ772" s="92"/>
      <c r="CK772" s="92"/>
      <c r="CL772" s="92"/>
      <c r="CM772" s="92"/>
      <c r="CN772" s="92"/>
      <c r="CO772" s="92"/>
      <c r="CP772" s="92"/>
      <c r="CQ772" s="92"/>
      <c r="CR772" s="92"/>
      <c r="CS772" s="92"/>
      <c r="CT772" s="92"/>
      <c r="CU772" s="92"/>
      <c r="CV772" s="92"/>
      <c r="CW772" s="92"/>
      <c r="CX772" s="85"/>
      <c r="CY772" s="85"/>
      <c r="CZ772" s="85"/>
      <c r="DA772" s="85"/>
      <c r="DB772" s="85"/>
      <c r="DC772" s="85"/>
      <c r="DD772" s="85"/>
      <c r="DE772" s="85"/>
      <c r="DF772" s="85"/>
      <c r="DG772" s="85"/>
      <c r="DH772" s="85"/>
      <c r="DI772" s="85"/>
      <c r="DJ772" s="85"/>
      <c r="DK772" s="85"/>
      <c r="DL772" s="85"/>
      <c r="DM772" s="85"/>
      <c r="DN772" s="85"/>
      <c r="DO772" s="85"/>
      <c r="DP772" s="85"/>
    </row>
    <row r="773">
      <c r="A773" s="91"/>
      <c r="B773" s="91"/>
      <c r="C773" s="91"/>
      <c r="D773" s="91"/>
      <c r="E773" s="78"/>
      <c r="F773" s="15"/>
      <c r="G773" s="15"/>
      <c r="H773" s="91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  <c r="BG773" s="15"/>
      <c r="BH773" s="15"/>
      <c r="BI773" s="15"/>
      <c r="BJ773" s="15"/>
      <c r="BK773" s="15"/>
      <c r="BL773" s="15"/>
      <c r="BM773" s="15"/>
      <c r="BN773" s="92"/>
      <c r="BO773" s="92"/>
      <c r="BP773" s="92"/>
      <c r="BQ773" s="92"/>
      <c r="BR773" s="92"/>
      <c r="BS773" s="92"/>
      <c r="BT773" s="92"/>
      <c r="BU773" s="92"/>
      <c r="BV773" s="92"/>
      <c r="BW773" s="92"/>
      <c r="BX773" s="92"/>
      <c r="BY773" s="92"/>
      <c r="BZ773" s="92"/>
      <c r="CA773" s="92"/>
      <c r="CB773" s="92"/>
      <c r="CC773" s="92"/>
      <c r="CD773" s="92"/>
      <c r="CE773" s="92"/>
      <c r="CF773" s="92"/>
      <c r="CG773" s="92"/>
      <c r="CH773" s="92"/>
      <c r="CI773" s="92"/>
      <c r="CJ773" s="92"/>
      <c r="CK773" s="92"/>
      <c r="CL773" s="92"/>
      <c r="CM773" s="92"/>
      <c r="CN773" s="92"/>
      <c r="CO773" s="92"/>
      <c r="CP773" s="92"/>
      <c r="CQ773" s="92"/>
      <c r="CR773" s="92"/>
      <c r="CS773" s="92"/>
      <c r="CT773" s="92"/>
      <c r="CU773" s="92"/>
      <c r="CV773" s="92"/>
      <c r="CW773" s="92"/>
      <c r="CX773" s="85"/>
      <c r="CY773" s="85"/>
      <c r="CZ773" s="85"/>
      <c r="DA773" s="85"/>
      <c r="DB773" s="85"/>
      <c r="DC773" s="85"/>
      <c r="DD773" s="85"/>
      <c r="DE773" s="85"/>
      <c r="DF773" s="85"/>
      <c r="DG773" s="85"/>
      <c r="DH773" s="85"/>
      <c r="DI773" s="85"/>
      <c r="DJ773" s="85"/>
      <c r="DK773" s="85"/>
      <c r="DL773" s="85"/>
      <c r="DM773" s="85"/>
      <c r="DN773" s="85"/>
      <c r="DO773" s="85"/>
      <c r="DP773" s="85"/>
    </row>
    <row r="774">
      <c r="A774" s="91"/>
      <c r="B774" s="91"/>
      <c r="C774" s="91"/>
      <c r="D774" s="91"/>
      <c r="E774" s="78"/>
      <c r="F774" s="15"/>
      <c r="G774" s="15"/>
      <c r="H774" s="91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  <c r="BD774" s="15"/>
      <c r="BE774" s="15"/>
      <c r="BF774" s="15"/>
      <c r="BG774" s="15"/>
      <c r="BH774" s="15"/>
      <c r="BI774" s="15"/>
      <c r="BJ774" s="15"/>
      <c r="BK774" s="15"/>
      <c r="BL774" s="15"/>
      <c r="BM774" s="15"/>
      <c r="BN774" s="92"/>
      <c r="BO774" s="92"/>
      <c r="BP774" s="92"/>
      <c r="BQ774" s="92"/>
      <c r="BR774" s="92"/>
      <c r="BS774" s="92"/>
      <c r="BT774" s="92"/>
      <c r="BU774" s="92"/>
      <c r="BV774" s="92"/>
      <c r="BW774" s="92"/>
      <c r="BX774" s="92"/>
      <c r="BY774" s="92"/>
      <c r="BZ774" s="92"/>
      <c r="CA774" s="92"/>
      <c r="CB774" s="92"/>
      <c r="CC774" s="92"/>
      <c r="CD774" s="92"/>
      <c r="CE774" s="92"/>
      <c r="CF774" s="92"/>
      <c r="CG774" s="92"/>
      <c r="CH774" s="92"/>
      <c r="CI774" s="92"/>
      <c r="CJ774" s="92"/>
      <c r="CK774" s="92"/>
      <c r="CL774" s="92"/>
      <c r="CM774" s="92"/>
      <c r="CN774" s="92"/>
      <c r="CO774" s="92"/>
      <c r="CP774" s="92"/>
      <c r="CQ774" s="92"/>
      <c r="CR774" s="92"/>
      <c r="CS774" s="92"/>
      <c r="CT774" s="92"/>
      <c r="CU774" s="92"/>
      <c r="CV774" s="92"/>
      <c r="CW774" s="92"/>
      <c r="CX774" s="85"/>
      <c r="CY774" s="85"/>
      <c r="CZ774" s="85"/>
      <c r="DA774" s="85"/>
      <c r="DB774" s="85"/>
      <c r="DC774" s="85"/>
      <c r="DD774" s="85"/>
      <c r="DE774" s="85"/>
      <c r="DF774" s="85"/>
      <c r="DG774" s="85"/>
      <c r="DH774" s="85"/>
      <c r="DI774" s="85"/>
      <c r="DJ774" s="85"/>
      <c r="DK774" s="85"/>
      <c r="DL774" s="85"/>
      <c r="DM774" s="85"/>
      <c r="DN774" s="85"/>
      <c r="DO774" s="85"/>
      <c r="DP774" s="85"/>
    </row>
    <row r="775">
      <c r="A775" s="91"/>
      <c r="B775" s="91"/>
      <c r="C775" s="91"/>
      <c r="D775" s="91"/>
      <c r="E775" s="78"/>
      <c r="F775" s="15"/>
      <c r="G775" s="15"/>
      <c r="H775" s="91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  <c r="BG775" s="15"/>
      <c r="BH775" s="15"/>
      <c r="BI775" s="15"/>
      <c r="BJ775" s="15"/>
      <c r="BK775" s="15"/>
      <c r="BL775" s="15"/>
      <c r="BM775" s="15"/>
      <c r="BN775" s="92"/>
      <c r="BO775" s="92"/>
      <c r="BP775" s="92"/>
      <c r="BQ775" s="92"/>
      <c r="BR775" s="92"/>
      <c r="BS775" s="92"/>
      <c r="BT775" s="92"/>
      <c r="BU775" s="92"/>
      <c r="BV775" s="92"/>
      <c r="BW775" s="92"/>
      <c r="BX775" s="92"/>
      <c r="BY775" s="92"/>
      <c r="BZ775" s="92"/>
      <c r="CA775" s="92"/>
      <c r="CB775" s="92"/>
      <c r="CC775" s="92"/>
      <c r="CD775" s="92"/>
      <c r="CE775" s="92"/>
      <c r="CF775" s="92"/>
      <c r="CG775" s="92"/>
      <c r="CH775" s="92"/>
      <c r="CI775" s="92"/>
      <c r="CJ775" s="92"/>
      <c r="CK775" s="92"/>
      <c r="CL775" s="92"/>
      <c r="CM775" s="92"/>
      <c r="CN775" s="92"/>
      <c r="CO775" s="92"/>
      <c r="CP775" s="92"/>
      <c r="CQ775" s="92"/>
      <c r="CR775" s="92"/>
      <c r="CS775" s="92"/>
      <c r="CT775" s="92"/>
      <c r="CU775" s="92"/>
      <c r="CV775" s="92"/>
      <c r="CW775" s="92"/>
      <c r="CX775" s="85"/>
      <c r="CY775" s="85"/>
      <c r="CZ775" s="85"/>
      <c r="DA775" s="85"/>
      <c r="DB775" s="85"/>
      <c r="DC775" s="85"/>
      <c r="DD775" s="85"/>
      <c r="DE775" s="85"/>
      <c r="DF775" s="85"/>
      <c r="DG775" s="85"/>
      <c r="DH775" s="85"/>
      <c r="DI775" s="85"/>
      <c r="DJ775" s="85"/>
      <c r="DK775" s="85"/>
      <c r="DL775" s="85"/>
      <c r="DM775" s="85"/>
      <c r="DN775" s="85"/>
      <c r="DO775" s="85"/>
      <c r="DP775" s="85"/>
    </row>
    <row r="776">
      <c r="A776" s="91"/>
      <c r="B776" s="91"/>
      <c r="C776" s="91"/>
      <c r="D776" s="91"/>
      <c r="E776" s="78"/>
      <c r="F776" s="15"/>
      <c r="G776" s="15"/>
      <c r="H776" s="91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  <c r="BC776" s="15"/>
      <c r="BD776" s="15"/>
      <c r="BE776" s="15"/>
      <c r="BF776" s="15"/>
      <c r="BG776" s="15"/>
      <c r="BH776" s="15"/>
      <c r="BI776" s="15"/>
      <c r="BJ776" s="15"/>
      <c r="BK776" s="15"/>
      <c r="BL776" s="15"/>
      <c r="BM776" s="15"/>
      <c r="BN776" s="92"/>
      <c r="BO776" s="92"/>
      <c r="BP776" s="92"/>
      <c r="BQ776" s="92"/>
      <c r="BR776" s="92"/>
      <c r="BS776" s="92"/>
      <c r="BT776" s="92"/>
      <c r="BU776" s="92"/>
      <c r="BV776" s="92"/>
      <c r="BW776" s="92"/>
      <c r="BX776" s="92"/>
      <c r="BY776" s="92"/>
      <c r="BZ776" s="92"/>
      <c r="CA776" s="92"/>
      <c r="CB776" s="92"/>
      <c r="CC776" s="92"/>
      <c r="CD776" s="92"/>
      <c r="CE776" s="92"/>
      <c r="CF776" s="92"/>
      <c r="CG776" s="92"/>
      <c r="CH776" s="92"/>
      <c r="CI776" s="92"/>
      <c r="CJ776" s="92"/>
      <c r="CK776" s="92"/>
      <c r="CL776" s="92"/>
      <c r="CM776" s="92"/>
      <c r="CN776" s="92"/>
      <c r="CO776" s="92"/>
      <c r="CP776" s="92"/>
      <c r="CQ776" s="92"/>
      <c r="CR776" s="92"/>
      <c r="CS776" s="92"/>
      <c r="CT776" s="92"/>
      <c r="CU776" s="92"/>
      <c r="CV776" s="92"/>
      <c r="CW776" s="92"/>
      <c r="CX776" s="85"/>
      <c r="CY776" s="85"/>
      <c r="CZ776" s="85"/>
      <c r="DA776" s="85"/>
      <c r="DB776" s="85"/>
      <c r="DC776" s="85"/>
      <c r="DD776" s="85"/>
      <c r="DE776" s="85"/>
      <c r="DF776" s="85"/>
      <c r="DG776" s="85"/>
      <c r="DH776" s="85"/>
      <c r="DI776" s="85"/>
      <c r="DJ776" s="85"/>
      <c r="DK776" s="85"/>
      <c r="DL776" s="85"/>
      <c r="DM776" s="85"/>
      <c r="DN776" s="85"/>
      <c r="DO776" s="85"/>
      <c r="DP776" s="85"/>
    </row>
    <row r="777">
      <c r="A777" s="91"/>
      <c r="B777" s="91"/>
      <c r="C777" s="91"/>
      <c r="D777" s="91"/>
      <c r="E777" s="78"/>
      <c r="F777" s="15"/>
      <c r="G777" s="15"/>
      <c r="H777" s="91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15"/>
      <c r="BH777" s="15"/>
      <c r="BI777" s="15"/>
      <c r="BJ777" s="15"/>
      <c r="BK777" s="15"/>
      <c r="BL777" s="15"/>
      <c r="BM777" s="15"/>
      <c r="BN777" s="92"/>
      <c r="BO777" s="92"/>
      <c r="BP777" s="92"/>
      <c r="BQ777" s="92"/>
      <c r="BR777" s="92"/>
      <c r="BS777" s="92"/>
      <c r="BT777" s="92"/>
      <c r="BU777" s="92"/>
      <c r="BV777" s="92"/>
      <c r="BW777" s="92"/>
      <c r="BX777" s="92"/>
      <c r="BY777" s="92"/>
      <c r="BZ777" s="92"/>
      <c r="CA777" s="92"/>
      <c r="CB777" s="92"/>
      <c r="CC777" s="92"/>
      <c r="CD777" s="92"/>
      <c r="CE777" s="92"/>
      <c r="CF777" s="92"/>
      <c r="CG777" s="92"/>
      <c r="CH777" s="92"/>
      <c r="CI777" s="92"/>
      <c r="CJ777" s="92"/>
      <c r="CK777" s="92"/>
      <c r="CL777" s="92"/>
      <c r="CM777" s="92"/>
      <c r="CN777" s="92"/>
      <c r="CO777" s="92"/>
      <c r="CP777" s="92"/>
      <c r="CQ777" s="92"/>
      <c r="CR777" s="92"/>
      <c r="CS777" s="92"/>
      <c r="CT777" s="92"/>
      <c r="CU777" s="92"/>
      <c r="CV777" s="92"/>
      <c r="CW777" s="92"/>
      <c r="CX777" s="85"/>
      <c r="CY777" s="85"/>
      <c r="CZ777" s="85"/>
      <c r="DA777" s="85"/>
      <c r="DB777" s="85"/>
      <c r="DC777" s="85"/>
      <c r="DD777" s="85"/>
      <c r="DE777" s="85"/>
      <c r="DF777" s="85"/>
      <c r="DG777" s="85"/>
      <c r="DH777" s="85"/>
      <c r="DI777" s="85"/>
      <c r="DJ777" s="85"/>
      <c r="DK777" s="85"/>
      <c r="DL777" s="85"/>
      <c r="DM777" s="85"/>
      <c r="DN777" s="85"/>
      <c r="DO777" s="85"/>
      <c r="DP777" s="85"/>
    </row>
    <row r="778">
      <c r="A778" s="91"/>
      <c r="B778" s="91"/>
      <c r="C778" s="91"/>
      <c r="D778" s="91"/>
      <c r="E778" s="78"/>
      <c r="F778" s="15"/>
      <c r="G778" s="15"/>
      <c r="H778" s="91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  <c r="BD778" s="15"/>
      <c r="BE778" s="15"/>
      <c r="BF778" s="15"/>
      <c r="BG778" s="15"/>
      <c r="BH778" s="15"/>
      <c r="BI778" s="15"/>
      <c r="BJ778" s="15"/>
      <c r="BK778" s="15"/>
      <c r="BL778" s="15"/>
      <c r="BM778" s="15"/>
      <c r="BN778" s="92"/>
      <c r="BO778" s="92"/>
      <c r="BP778" s="92"/>
      <c r="BQ778" s="92"/>
      <c r="BR778" s="92"/>
      <c r="BS778" s="92"/>
      <c r="BT778" s="92"/>
      <c r="BU778" s="92"/>
      <c r="BV778" s="92"/>
      <c r="BW778" s="92"/>
      <c r="BX778" s="92"/>
      <c r="BY778" s="92"/>
      <c r="BZ778" s="92"/>
      <c r="CA778" s="92"/>
      <c r="CB778" s="92"/>
      <c r="CC778" s="92"/>
      <c r="CD778" s="92"/>
      <c r="CE778" s="92"/>
      <c r="CF778" s="92"/>
      <c r="CG778" s="92"/>
      <c r="CH778" s="92"/>
      <c r="CI778" s="92"/>
      <c r="CJ778" s="92"/>
      <c r="CK778" s="92"/>
      <c r="CL778" s="92"/>
      <c r="CM778" s="92"/>
      <c r="CN778" s="92"/>
      <c r="CO778" s="92"/>
      <c r="CP778" s="92"/>
      <c r="CQ778" s="92"/>
      <c r="CR778" s="92"/>
      <c r="CS778" s="92"/>
      <c r="CT778" s="92"/>
      <c r="CU778" s="92"/>
      <c r="CV778" s="92"/>
      <c r="CW778" s="92"/>
      <c r="CX778" s="85"/>
      <c r="CY778" s="85"/>
      <c r="CZ778" s="85"/>
      <c r="DA778" s="85"/>
      <c r="DB778" s="85"/>
      <c r="DC778" s="85"/>
      <c r="DD778" s="85"/>
      <c r="DE778" s="85"/>
      <c r="DF778" s="85"/>
      <c r="DG778" s="85"/>
      <c r="DH778" s="85"/>
      <c r="DI778" s="85"/>
      <c r="DJ778" s="85"/>
      <c r="DK778" s="85"/>
      <c r="DL778" s="85"/>
      <c r="DM778" s="85"/>
      <c r="DN778" s="85"/>
      <c r="DO778" s="85"/>
      <c r="DP778" s="85"/>
    </row>
    <row r="779">
      <c r="A779" s="91"/>
      <c r="B779" s="91"/>
      <c r="C779" s="91"/>
      <c r="D779" s="91"/>
      <c r="E779" s="78"/>
      <c r="F779" s="15"/>
      <c r="G779" s="15"/>
      <c r="H779" s="91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  <c r="BG779" s="15"/>
      <c r="BH779" s="15"/>
      <c r="BI779" s="15"/>
      <c r="BJ779" s="15"/>
      <c r="BK779" s="15"/>
      <c r="BL779" s="15"/>
      <c r="BM779" s="15"/>
      <c r="BN779" s="92"/>
      <c r="BO779" s="92"/>
      <c r="BP779" s="92"/>
      <c r="BQ779" s="92"/>
      <c r="BR779" s="92"/>
      <c r="BS779" s="92"/>
      <c r="BT779" s="92"/>
      <c r="BU779" s="92"/>
      <c r="BV779" s="92"/>
      <c r="BW779" s="92"/>
      <c r="BX779" s="92"/>
      <c r="BY779" s="92"/>
      <c r="BZ779" s="92"/>
      <c r="CA779" s="92"/>
      <c r="CB779" s="92"/>
      <c r="CC779" s="92"/>
      <c r="CD779" s="92"/>
      <c r="CE779" s="92"/>
      <c r="CF779" s="92"/>
      <c r="CG779" s="92"/>
      <c r="CH779" s="92"/>
      <c r="CI779" s="92"/>
      <c r="CJ779" s="92"/>
      <c r="CK779" s="92"/>
      <c r="CL779" s="92"/>
      <c r="CM779" s="92"/>
      <c r="CN779" s="92"/>
      <c r="CO779" s="92"/>
      <c r="CP779" s="92"/>
      <c r="CQ779" s="92"/>
      <c r="CR779" s="92"/>
      <c r="CS779" s="92"/>
      <c r="CT779" s="92"/>
      <c r="CU779" s="92"/>
      <c r="CV779" s="92"/>
      <c r="CW779" s="92"/>
      <c r="CX779" s="85"/>
      <c r="CY779" s="85"/>
      <c r="CZ779" s="85"/>
      <c r="DA779" s="85"/>
      <c r="DB779" s="85"/>
      <c r="DC779" s="85"/>
      <c r="DD779" s="85"/>
      <c r="DE779" s="85"/>
      <c r="DF779" s="85"/>
      <c r="DG779" s="85"/>
      <c r="DH779" s="85"/>
      <c r="DI779" s="85"/>
      <c r="DJ779" s="85"/>
      <c r="DK779" s="85"/>
      <c r="DL779" s="85"/>
      <c r="DM779" s="85"/>
      <c r="DN779" s="85"/>
      <c r="DO779" s="85"/>
      <c r="DP779" s="85"/>
    </row>
    <row r="780">
      <c r="A780" s="91"/>
      <c r="B780" s="91"/>
      <c r="C780" s="91"/>
      <c r="D780" s="91"/>
      <c r="E780" s="78"/>
      <c r="F780" s="15"/>
      <c r="G780" s="15"/>
      <c r="H780" s="91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  <c r="BD780" s="15"/>
      <c r="BE780" s="15"/>
      <c r="BF780" s="15"/>
      <c r="BG780" s="15"/>
      <c r="BH780" s="15"/>
      <c r="BI780" s="15"/>
      <c r="BJ780" s="15"/>
      <c r="BK780" s="15"/>
      <c r="BL780" s="15"/>
      <c r="BM780" s="15"/>
      <c r="BN780" s="92"/>
      <c r="BO780" s="92"/>
      <c r="BP780" s="92"/>
      <c r="BQ780" s="92"/>
      <c r="BR780" s="92"/>
      <c r="BS780" s="92"/>
      <c r="BT780" s="92"/>
      <c r="BU780" s="92"/>
      <c r="BV780" s="92"/>
      <c r="BW780" s="92"/>
      <c r="BX780" s="92"/>
      <c r="BY780" s="92"/>
      <c r="BZ780" s="92"/>
      <c r="CA780" s="92"/>
      <c r="CB780" s="92"/>
      <c r="CC780" s="92"/>
      <c r="CD780" s="92"/>
      <c r="CE780" s="92"/>
      <c r="CF780" s="92"/>
      <c r="CG780" s="92"/>
      <c r="CH780" s="92"/>
      <c r="CI780" s="92"/>
      <c r="CJ780" s="92"/>
      <c r="CK780" s="92"/>
      <c r="CL780" s="92"/>
      <c r="CM780" s="92"/>
      <c r="CN780" s="92"/>
      <c r="CO780" s="92"/>
      <c r="CP780" s="92"/>
      <c r="CQ780" s="92"/>
      <c r="CR780" s="92"/>
      <c r="CS780" s="92"/>
      <c r="CT780" s="92"/>
      <c r="CU780" s="92"/>
      <c r="CV780" s="92"/>
      <c r="CW780" s="92"/>
      <c r="CX780" s="85"/>
      <c r="CY780" s="85"/>
      <c r="CZ780" s="85"/>
      <c r="DA780" s="85"/>
      <c r="DB780" s="85"/>
      <c r="DC780" s="85"/>
      <c r="DD780" s="85"/>
      <c r="DE780" s="85"/>
      <c r="DF780" s="85"/>
      <c r="DG780" s="85"/>
      <c r="DH780" s="85"/>
      <c r="DI780" s="85"/>
      <c r="DJ780" s="85"/>
      <c r="DK780" s="85"/>
      <c r="DL780" s="85"/>
      <c r="DM780" s="85"/>
      <c r="DN780" s="85"/>
      <c r="DO780" s="85"/>
      <c r="DP780" s="85"/>
    </row>
    <row r="781">
      <c r="A781" s="91"/>
      <c r="B781" s="91"/>
      <c r="C781" s="91"/>
      <c r="D781" s="91"/>
      <c r="E781" s="78"/>
      <c r="F781" s="15"/>
      <c r="G781" s="15"/>
      <c r="H781" s="91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  <c r="BH781" s="15"/>
      <c r="BI781" s="15"/>
      <c r="BJ781" s="15"/>
      <c r="BK781" s="15"/>
      <c r="BL781" s="15"/>
      <c r="BM781" s="15"/>
      <c r="BN781" s="92"/>
      <c r="BO781" s="92"/>
      <c r="BP781" s="92"/>
      <c r="BQ781" s="92"/>
      <c r="BR781" s="92"/>
      <c r="BS781" s="92"/>
      <c r="BT781" s="92"/>
      <c r="BU781" s="92"/>
      <c r="BV781" s="92"/>
      <c r="BW781" s="92"/>
      <c r="BX781" s="92"/>
      <c r="BY781" s="92"/>
      <c r="BZ781" s="92"/>
      <c r="CA781" s="92"/>
      <c r="CB781" s="92"/>
      <c r="CC781" s="92"/>
      <c r="CD781" s="92"/>
      <c r="CE781" s="92"/>
      <c r="CF781" s="92"/>
      <c r="CG781" s="92"/>
      <c r="CH781" s="92"/>
      <c r="CI781" s="92"/>
      <c r="CJ781" s="92"/>
      <c r="CK781" s="92"/>
      <c r="CL781" s="92"/>
      <c r="CM781" s="92"/>
      <c r="CN781" s="92"/>
      <c r="CO781" s="92"/>
      <c r="CP781" s="92"/>
      <c r="CQ781" s="92"/>
      <c r="CR781" s="92"/>
      <c r="CS781" s="92"/>
      <c r="CT781" s="92"/>
      <c r="CU781" s="92"/>
      <c r="CV781" s="92"/>
      <c r="CW781" s="92"/>
      <c r="CX781" s="85"/>
      <c r="CY781" s="85"/>
      <c r="CZ781" s="85"/>
      <c r="DA781" s="85"/>
      <c r="DB781" s="85"/>
      <c r="DC781" s="85"/>
      <c r="DD781" s="85"/>
      <c r="DE781" s="85"/>
      <c r="DF781" s="85"/>
      <c r="DG781" s="85"/>
      <c r="DH781" s="85"/>
      <c r="DI781" s="85"/>
      <c r="DJ781" s="85"/>
      <c r="DK781" s="85"/>
      <c r="DL781" s="85"/>
      <c r="DM781" s="85"/>
      <c r="DN781" s="85"/>
      <c r="DO781" s="85"/>
      <c r="DP781" s="85"/>
    </row>
    <row r="782">
      <c r="A782" s="91"/>
      <c r="B782" s="91"/>
      <c r="C782" s="91"/>
      <c r="D782" s="91"/>
      <c r="E782" s="78"/>
      <c r="F782" s="15"/>
      <c r="G782" s="15"/>
      <c r="H782" s="91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  <c r="BD782" s="15"/>
      <c r="BE782" s="15"/>
      <c r="BF782" s="15"/>
      <c r="BG782" s="15"/>
      <c r="BH782" s="15"/>
      <c r="BI782" s="15"/>
      <c r="BJ782" s="15"/>
      <c r="BK782" s="15"/>
      <c r="BL782" s="15"/>
      <c r="BM782" s="15"/>
      <c r="BN782" s="92"/>
      <c r="BO782" s="92"/>
      <c r="BP782" s="92"/>
      <c r="BQ782" s="92"/>
      <c r="BR782" s="92"/>
      <c r="BS782" s="92"/>
      <c r="BT782" s="92"/>
      <c r="BU782" s="92"/>
      <c r="BV782" s="92"/>
      <c r="BW782" s="92"/>
      <c r="BX782" s="92"/>
      <c r="BY782" s="92"/>
      <c r="BZ782" s="92"/>
      <c r="CA782" s="92"/>
      <c r="CB782" s="92"/>
      <c r="CC782" s="92"/>
      <c r="CD782" s="92"/>
      <c r="CE782" s="92"/>
      <c r="CF782" s="92"/>
      <c r="CG782" s="92"/>
      <c r="CH782" s="92"/>
      <c r="CI782" s="92"/>
      <c r="CJ782" s="92"/>
      <c r="CK782" s="92"/>
      <c r="CL782" s="92"/>
      <c r="CM782" s="92"/>
      <c r="CN782" s="92"/>
      <c r="CO782" s="92"/>
      <c r="CP782" s="92"/>
      <c r="CQ782" s="92"/>
      <c r="CR782" s="92"/>
      <c r="CS782" s="92"/>
      <c r="CT782" s="92"/>
      <c r="CU782" s="92"/>
      <c r="CV782" s="92"/>
      <c r="CW782" s="92"/>
      <c r="CX782" s="85"/>
      <c r="CY782" s="85"/>
      <c r="CZ782" s="85"/>
      <c r="DA782" s="85"/>
      <c r="DB782" s="85"/>
      <c r="DC782" s="85"/>
      <c r="DD782" s="85"/>
      <c r="DE782" s="85"/>
      <c r="DF782" s="85"/>
      <c r="DG782" s="85"/>
      <c r="DH782" s="85"/>
      <c r="DI782" s="85"/>
      <c r="DJ782" s="85"/>
      <c r="DK782" s="85"/>
      <c r="DL782" s="85"/>
      <c r="DM782" s="85"/>
      <c r="DN782" s="85"/>
      <c r="DO782" s="85"/>
      <c r="DP782" s="85"/>
    </row>
    <row r="783">
      <c r="A783" s="91"/>
      <c r="B783" s="91"/>
      <c r="C783" s="91"/>
      <c r="D783" s="91"/>
      <c r="E783" s="78"/>
      <c r="F783" s="15"/>
      <c r="G783" s="15"/>
      <c r="H783" s="91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  <c r="BH783" s="15"/>
      <c r="BI783" s="15"/>
      <c r="BJ783" s="15"/>
      <c r="BK783" s="15"/>
      <c r="BL783" s="15"/>
      <c r="BM783" s="15"/>
      <c r="BN783" s="92"/>
      <c r="BO783" s="92"/>
      <c r="BP783" s="92"/>
      <c r="BQ783" s="92"/>
      <c r="BR783" s="92"/>
      <c r="BS783" s="92"/>
      <c r="BT783" s="92"/>
      <c r="BU783" s="92"/>
      <c r="BV783" s="92"/>
      <c r="BW783" s="92"/>
      <c r="BX783" s="92"/>
      <c r="BY783" s="92"/>
      <c r="BZ783" s="92"/>
      <c r="CA783" s="92"/>
      <c r="CB783" s="92"/>
      <c r="CC783" s="92"/>
      <c r="CD783" s="92"/>
      <c r="CE783" s="92"/>
      <c r="CF783" s="92"/>
      <c r="CG783" s="92"/>
      <c r="CH783" s="92"/>
      <c r="CI783" s="92"/>
      <c r="CJ783" s="92"/>
      <c r="CK783" s="92"/>
      <c r="CL783" s="92"/>
      <c r="CM783" s="92"/>
      <c r="CN783" s="92"/>
      <c r="CO783" s="92"/>
      <c r="CP783" s="92"/>
      <c r="CQ783" s="92"/>
      <c r="CR783" s="92"/>
      <c r="CS783" s="92"/>
      <c r="CT783" s="92"/>
      <c r="CU783" s="92"/>
      <c r="CV783" s="92"/>
      <c r="CW783" s="92"/>
      <c r="CX783" s="85"/>
      <c r="CY783" s="85"/>
      <c r="CZ783" s="85"/>
      <c r="DA783" s="85"/>
      <c r="DB783" s="85"/>
      <c r="DC783" s="85"/>
      <c r="DD783" s="85"/>
      <c r="DE783" s="85"/>
      <c r="DF783" s="85"/>
      <c r="DG783" s="85"/>
      <c r="DH783" s="85"/>
      <c r="DI783" s="85"/>
      <c r="DJ783" s="85"/>
      <c r="DK783" s="85"/>
      <c r="DL783" s="85"/>
      <c r="DM783" s="85"/>
      <c r="DN783" s="85"/>
      <c r="DO783" s="85"/>
      <c r="DP783" s="85"/>
    </row>
    <row r="784">
      <c r="A784" s="91"/>
      <c r="B784" s="91"/>
      <c r="C784" s="91"/>
      <c r="D784" s="91"/>
      <c r="E784" s="78"/>
      <c r="F784" s="15"/>
      <c r="G784" s="15"/>
      <c r="H784" s="91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  <c r="BD784" s="15"/>
      <c r="BE784" s="15"/>
      <c r="BF784" s="15"/>
      <c r="BG784" s="15"/>
      <c r="BH784" s="15"/>
      <c r="BI784" s="15"/>
      <c r="BJ784" s="15"/>
      <c r="BK784" s="15"/>
      <c r="BL784" s="15"/>
      <c r="BM784" s="15"/>
      <c r="BN784" s="92"/>
      <c r="BO784" s="92"/>
      <c r="BP784" s="92"/>
      <c r="BQ784" s="92"/>
      <c r="BR784" s="92"/>
      <c r="BS784" s="92"/>
      <c r="BT784" s="92"/>
      <c r="BU784" s="92"/>
      <c r="BV784" s="92"/>
      <c r="BW784" s="92"/>
      <c r="BX784" s="92"/>
      <c r="BY784" s="92"/>
      <c r="BZ784" s="92"/>
      <c r="CA784" s="92"/>
      <c r="CB784" s="92"/>
      <c r="CC784" s="92"/>
      <c r="CD784" s="92"/>
      <c r="CE784" s="92"/>
      <c r="CF784" s="92"/>
      <c r="CG784" s="92"/>
      <c r="CH784" s="92"/>
      <c r="CI784" s="92"/>
      <c r="CJ784" s="92"/>
      <c r="CK784" s="92"/>
      <c r="CL784" s="92"/>
      <c r="CM784" s="92"/>
      <c r="CN784" s="92"/>
      <c r="CO784" s="92"/>
      <c r="CP784" s="92"/>
      <c r="CQ784" s="92"/>
      <c r="CR784" s="92"/>
      <c r="CS784" s="92"/>
      <c r="CT784" s="92"/>
      <c r="CU784" s="92"/>
      <c r="CV784" s="92"/>
      <c r="CW784" s="92"/>
      <c r="CX784" s="85"/>
      <c r="CY784" s="85"/>
      <c r="CZ784" s="85"/>
      <c r="DA784" s="85"/>
      <c r="DB784" s="85"/>
      <c r="DC784" s="85"/>
      <c r="DD784" s="85"/>
      <c r="DE784" s="85"/>
      <c r="DF784" s="85"/>
      <c r="DG784" s="85"/>
      <c r="DH784" s="85"/>
      <c r="DI784" s="85"/>
      <c r="DJ784" s="85"/>
      <c r="DK784" s="85"/>
      <c r="DL784" s="85"/>
      <c r="DM784" s="85"/>
      <c r="DN784" s="85"/>
      <c r="DO784" s="85"/>
      <c r="DP784" s="85"/>
    </row>
    <row r="785">
      <c r="A785" s="91"/>
      <c r="B785" s="91"/>
      <c r="C785" s="91"/>
      <c r="D785" s="91"/>
      <c r="E785" s="78"/>
      <c r="F785" s="15"/>
      <c r="G785" s="15"/>
      <c r="H785" s="91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  <c r="BG785" s="15"/>
      <c r="BH785" s="15"/>
      <c r="BI785" s="15"/>
      <c r="BJ785" s="15"/>
      <c r="BK785" s="15"/>
      <c r="BL785" s="15"/>
      <c r="BM785" s="15"/>
      <c r="BN785" s="92"/>
      <c r="BO785" s="92"/>
      <c r="BP785" s="92"/>
      <c r="BQ785" s="92"/>
      <c r="BR785" s="92"/>
      <c r="BS785" s="92"/>
      <c r="BT785" s="92"/>
      <c r="BU785" s="92"/>
      <c r="BV785" s="92"/>
      <c r="BW785" s="92"/>
      <c r="BX785" s="92"/>
      <c r="BY785" s="92"/>
      <c r="BZ785" s="92"/>
      <c r="CA785" s="92"/>
      <c r="CB785" s="92"/>
      <c r="CC785" s="92"/>
      <c r="CD785" s="92"/>
      <c r="CE785" s="92"/>
      <c r="CF785" s="92"/>
      <c r="CG785" s="92"/>
      <c r="CH785" s="92"/>
      <c r="CI785" s="92"/>
      <c r="CJ785" s="92"/>
      <c r="CK785" s="92"/>
      <c r="CL785" s="92"/>
      <c r="CM785" s="92"/>
      <c r="CN785" s="92"/>
      <c r="CO785" s="92"/>
      <c r="CP785" s="92"/>
      <c r="CQ785" s="92"/>
      <c r="CR785" s="92"/>
      <c r="CS785" s="92"/>
      <c r="CT785" s="92"/>
      <c r="CU785" s="92"/>
      <c r="CV785" s="92"/>
      <c r="CW785" s="92"/>
      <c r="CX785" s="85"/>
      <c r="CY785" s="85"/>
      <c r="CZ785" s="85"/>
      <c r="DA785" s="85"/>
      <c r="DB785" s="85"/>
      <c r="DC785" s="85"/>
      <c r="DD785" s="85"/>
      <c r="DE785" s="85"/>
      <c r="DF785" s="85"/>
      <c r="DG785" s="85"/>
      <c r="DH785" s="85"/>
      <c r="DI785" s="85"/>
      <c r="DJ785" s="85"/>
      <c r="DK785" s="85"/>
      <c r="DL785" s="85"/>
      <c r="DM785" s="85"/>
      <c r="DN785" s="85"/>
      <c r="DO785" s="85"/>
      <c r="DP785" s="85"/>
    </row>
    <row r="786">
      <c r="A786" s="91"/>
      <c r="B786" s="91"/>
      <c r="C786" s="91"/>
      <c r="D786" s="91"/>
      <c r="E786" s="78"/>
      <c r="F786" s="15"/>
      <c r="G786" s="15"/>
      <c r="H786" s="91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  <c r="BD786" s="15"/>
      <c r="BE786" s="15"/>
      <c r="BF786" s="15"/>
      <c r="BG786" s="15"/>
      <c r="BH786" s="15"/>
      <c r="BI786" s="15"/>
      <c r="BJ786" s="15"/>
      <c r="BK786" s="15"/>
      <c r="BL786" s="15"/>
      <c r="BM786" s="15"/>
      <c r="BN786" s="92"/>
      <c r="BO786" s="92"/>
      <c r="BP786" s="92"/>
      <c r="BQ786" s="92"/>
      <c r="BR786" s="92"/>
      <c r="BS786" s="92"/>
      <c r="BT786" s="92"/>
      <c r="BU786" s="92"/>
      <c r="BV786" s="92"/>
      <c r="BW786" s="92"/>
      <c r="BX786" s="92"/>
      <c r="BY786" s="92"/>
      <c r="BZ786" s="92"/>
      <c r="CA786" s="92"/>
      <c r="CB786" s="92"/>
      <c r="CC786" s="92"/>
      <c r="CD786" s="92"/>
      <c r="CE786" s="92"/>
      <c r="CF786" s="92"/>
      <c r="CG786" s="92"/>
      <c r="CH786" s="92"/>
      <c r="CI786" s="92"/>
      <c r="CJ786" s="92"/>
      <c r="CK786" s="92"/>
      <c r="CL786" s="92"/>
      <c r="CM786" s="92"/>
      <c r="CN786" s="92"/>
      <c r="CO786" s="92"/>
      <c r="CP786" s="92"/>
      <c r="CQ786" s="92"/>
      <c r="CR786" s="92"/>
      <c r="CS786" s="92"/>
      <c r="CT786" s="92"/>
      <c r="CU786" s="92"/>
      <c r="CV786" s="92"/>
      <c r="CW786" s="92"/>
      <c r="CX786" s="85"/>
      <c r="CY786" s="85"/>
      <c r="CZ786" s="85"/>
      <c r="DA786" s="85"/>
      <c r="DB786" s="85"/>
      <c r="DC786" s="85"/>
      <c r="DD786" s="85"/>
      <c r="DE786" s="85"/>
      <c r="DF786" s="85"/>
      <c r="DG786" s="85"/>
      <c r="DH786" s="85"/>
      <c r="DI786" s="85"/>
      <c r="DJ786" s="85"/>
      <c r="DK786" s="85"/>
      <c r="DL786" s="85"/>
      <c r="DM786" s="85"/>
      <c r="DN786" s="85"/>
      <c r="DO786" s="85"/>
      <c r="DP786" s="85"/>
    </row>
    <row r="787">
      <c r="A787" s="91"/>
      <c r="B787" s="91"/>
      <c r="C787" s="91"/>
      <c r="D787" s="91"/>
      <c r="E787" s="78"/>
      <c r="F787" s="15"/>
      <c r="G787" s="15"/>
      <c r="H787" s="91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  <c r="BG787" s="15"/>
      <c r="BH787" s="15"/>
      <c r="BI787" s="15"/>
      <c r="BJ787" s="15"/>
      <c r="BK787" s="15"/>
      <c r="BL787" s="15"/>
      <c r="BM787" s="15"/>
      <c r="BN787" s="92"/>
      <c r="BO787" s="92"/>
      <c r="BP787" s="92"/>
      <c r="BQ787" s="92"/>
      <c r="BR787" s="92"/>
      <c r="BS787" s="92"/>
      <c r="BT787" s="92"/>
      <c r="BU787" s="92"/>
      <c r="BV787" s="92"/>
      <c r="BW787" s="92"/>
      <c r="BX787" s="92"/>
      <c r="BY787" s="92"/>
      <c r="BZ787" s="92"/>
      <c r="CA787" s="92"/>
      <c r="CB787" s="92"/>
      <c r="CC787" s="92"/>
      <c r="CD787" s="92"/>
      <c r="CE787" s="92"/>
      <c r="CF787" s="92"/>
      <c r="CG787" s="92"/>
      <c r="CH787" s="92"/>
      <c r="CI787" s="92"/>
      <c r="CJ787" s="92"/>
      <c r="CK787" s="92"/>
      <c r="CL787" s="92"/>
      <c r="CM787" s="92"/>
      <c r="CN787" s="92"/>
      <c r="CO787" s="92"/>
      <c r="CP787" s="92"/>
      <c r="CQ787" s="92"/>
      <c r="CR787" s="92"/>
      <c r="CS787" s="92"/>
      <c r="CT787" s="92"/>
      <c r="CU787" s="92"/>
      <c r="CV787" s="92"/>
      <c r="CW787" s="92"/>
      <c r="CX787" s="85"/>
      <c r="CY787" s="85"/>
      <c r="CZ787" s="85"/>
      <c r="DA787" s="85"/>
      <c r="DB787" s="85"/>
      <c r="DC787" s="85"/>
      <c r="DD787" s="85"/>
      <c r="DE787" s="85"/>
      <c r="DF787" s="85"/>
      <c r="DG787" s="85"/>
      <c r="DH787" s="85"/>
      <c r="DI787" s="85"/>
      <c r="DJ787" s="85"/>
      <c r="DK787" s="85"/>
      <c r="DL787" s="85"/>
      <c r="DM787" s="85"/>
      <c r="DN787" s="85"/>
      <c r="DO787" s="85"/>
      <c r="DP787" s="85"/>
    </row>
    <row r="788">
      <c r="A788" s="91"/>
      <c r="B788" s="91"/>
      <c r="C788" s="91"/>
      <c r="D788" s="91"/>
      <c r="E788" s="78"/>
      <c r="F788" s="15"/>
      <c r="G788" s="15"/>
      <c r="H788" s="91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  <c r="BD788" s="15"/>
      <c r="BE788" s="15"/>
      <c r="BF788" s="15"/>
      <c r="BG788" s="15"/>
      <c r="BH788" s="15"/>
      <c r="BI788" s="15"/>
      <c r="BJ788" s="15"/>
      <c r="BK788" s="15"/>
      <c r="BL788" s="15"/>
      <c r="BM788" s="15"/>
      <c r="BN788" s="92"/>
      <c r="BO788" s="92"/>
      <c r="BP788" s="92"/>
      <c r="BQ788" s="92"/>
      <c r="BR788" s="92"/>
      <c r="BS788" s="92"/>
      <c r="BT788" s="92"/>
      <c r="BU788" s="92"/>
      <c r="BV788" s="92"/>
      <c r="BW788" s="92"/>
      <c r="BX788" s="92"/>
      <c r="BY788" s="92"/>
      <c r="BZ788" s="92"/>
      <c r="CA788" s="92"/>
      <c r="CB788" s="92"/>
      <c r="CC788" s="92"/>
      <c r="CD788" s="92"/>
      <c r="CE788" s="92"/>
      <c r="CF788" s="92"/>
      <c r="CG788" s="92"/>
      <c r="CH788" s="92"/>
      <c r="CI788" s="92"/>
      <c r="CJ788" s="92"/>
      <c r="CK788" s="92"/>
      <c r="CL788" s="92"/>
      <c r="CM788" s="92"/>
      <c r="CN788" s="92"/>
      <c r="CO788" s="92"/>
      <c r="CP788" s="92"/>
      <c r="CQ788" s="92"/>
      <c r="CR788" s="92"/>
      <c r="CS788" s="92"/>
      <c r="CT788" s="92"/>
      <c r="CU788" s="92"/>
      <c r="CV788" s="92"/>
      <c r="CW788" s="92"/>
      <c r="CX788" s="85"/>
      <c r="CY788" s="85"/>
      <c r="CZ788" s="85"/>
      <c r="DA788" s="85"/>
      <c r="DB788" s="85"/>
      <c r="DC788" s="85"/>
      <c r="DD788" s="85"/>
      <c r="DE788" s="85"/>
      <c r="DF788" s="85"/>
      <c r="DG788" s="85"/>
      <c r="DH788" s="85"/>
      <c r="DI788" s="85"/>
      <c r="DJ788" s="85"/>
      <c r="DK788" s="85"/>
      <c r="DL788" s="85"/>
      <c r="DM788" s="85"/>
      <c r="DN788" s="85"/>
      <c r="DO788" s="85"/>
      <c r="DP788" s="85"/>
    </row>
    <row r="789">
      <c r="A789" s="91"/>
      <c r="B789" s="91"/>
      <c r="C789" s="91"/>
      <c r="D789" s="91"/>
      <c r="E789" s="78"/>
      <c r="F789" s="15"/>
      <c r="G789" s="15"/>
      <c r="H789" s="91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  <c r="BH789" s="15"/>
      <c r="BI789" s="15"/>
      <c r="BJ789" s="15"/>
      <c r="BK789" s="15"/>
      <c r="BL789" s="15"/>
      <c r="BM789" s="15"/>
      <c r="BN789" s="92"/>
      <c r="BO789" s="92"/>
      <c r="BP789" s="92"/>
      <c r="BQ789" s="92"/>
      <c r="BR789" s="92"/>
      <c r="BS789" s="92"/>
      <c r="BT789" s="92"/>
      <c r="BU789" s="92"/>
      <c r="BV789" s="92"/>
      <c r="BW789" s="92"/>
      <c r="BX789" s="92"/>
      <c r="BY789" s="92"/>
      <c r="BZ789" s="92"/>
      <c r="CA789" s="92"/>
      <c r="CB789" s="92"/>
      <c r="CC789" s="92"/>
      <c r="CD789" s="92"/>
      <c r="CE789" s="92"/>
      <c r="CF789" s="92"/>
      <c r="CG789" s="92"/>
      <c r="CH789" s="92"/>
      <c r="CI789" s="92"/>
      <c r="CJ789" s="92"/>
      <c r="CK789" s="92"/>
      <c r="CL789" s="92"/>
      <c r="CM789" s="92"/>
      <c r="CN789" s="92"/>
      <c r="CO789" s="92"/>
      <c r="CP789" s="92"/>
      <c r="CQ789" s="92"/>
      <c r="CR789" s="92"/>
      <c r="CS789" s="92"/>
      <c r="CT789" s="92"/>
      <c r="CU789" s="92"/>
      <c r="CV789" s="92"/>
      <c r="CW789" s="92"/>
      <c r="CX789" s="85"/>
      <c r="CY789" s="85"/>
      <c r="CZ789" s="85"/>
      <c r="DA789" s="85"/>
      <c r="DB789" s="85"/>
      <c r="DC789" s="85"/>
      <c r="DD789" s="85"/>
      <c r="DE789" s="85"/>
      <c r="DF789" s="85"/>
      <c r="DG789" s="85"/>
      <c r="DH789" s="85"/>
      <c r="DI789" s="85"/>
      <c r="DJ789" s="85"/>
      <c r="DK789" s="85"/>
      <c r="DL789" s="85"/>
      <c r="DM789" s="85"/>
      <c r="DN789" s="85"/>
      <c r="DO789" s="85"/>
      <c r="DP789" s="85"/>
    </row>
    <row r="790">
      <c r="A790" s="91"/>
      <c r="B790" s="91"/>
      <c r="C790" s="91"/>
      <c r="D790" s="91"/>
      <c r="E790" s="78"/>
      <c r="F790" s="15"/>
      <c r="G790" s="15"/>
      <c r="H790" s="91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  <c r="BD790" s="15"/>
      <c r="BE790" s="15"/>
      <c r="BF790" s="15"/>
      <c r="BG790" s="15"/>
      <c r="BH790" s="15"/>
      <c r="BI790" s="15"/>
      <c r="BJ790" s="15"/>
      <c r="BK790" s="15"/>
      <c r="BL790" s="15"/>
      <c r="BM790" s="15"/>
      <c r="BN790" s="92"/>
      <c r="BO790" s="92"/>
      <c r="BP790" s="92"/>
      <c r="BQ790" s="92"/>
      <c r="BR790" s="92"/>
      <c r="BS790" s="92"/>
      <c r="BT790" s="92"/>
      <c r="BU790" s="92"/>
      <c r="BV790" s="92"/>
      <c r="BW790" s="92"/>
      <c r="BX790" s="92"/>
      <c r="BY790" s="92"/>
      <c r="BZ790" s="92"/>
      <c r="CA790" s="92"/>
      <c r="CB790" s="92"/>
      <c r="CC790" s="92"/>
      <c r="CD790" s="92"/>
      <c r="CE790" s="92"/>
      <c r="CF790" s="92"/>
      <c r="CG790" s="92"/>
      <c r="CH790" s="92"/>
      <c r="CI790" s="92"/>
      <c r="CJ790" s="92"/>
      <c r="CK790" s="92"/>
      <c r="CL790" s="92"/>
      <c r="CM790" s="92"/>
      <c r="CN790" s="92"/>
      <c r="CO790" s="92"/>
      <c r="CP790" s="92"/>
      <c r="CQ790" s="92"/>
      <c r="CR790" s="92"/>
      <c r="CS790" s="92"/>
      <c r="CT790" s="92"/>
      <c r="CU790" s="92"/>
      <c r="CV790" s="92"/>
      <c r="CW790" s="92"/>
      <c r="CX790" s="85"/>
      <c r="CY790" s="85"/>
      <c r="CZ790" s="85"/>
      <c r="DA790" s="85"/>
      <c r="DB790" s="85"/>
      <c r="DC790" s="85"/>
      <c r="DD790" s="85"/>
      <c r="DE790" s="85"/>
      <c r="DF790" s="85"/>
      <c r="DG790" s="85"/>
      <c r="DH790" s="85"/>
      <c r="DI790" s="85"/>
      <c r="DJ790" s="85"/>
      <c r="DK790" s="85"/>
      <c r="DL790" s="85"/>
      <c r="DM790" s="85"/>
      <c r="DN790" s="85"/>
      <c r="DO790" s="85"/>
      <c r="DP790" s="85"/>
    </row>
    <row r="791">
      <c r="A791" s="91"/>
      <c r="B791" s="91"/>
      <c r="C791" s="91"/>
      <c r="D791" s="91"/>
      <c r="E791" s="78"/>
      <c r="F791" s="15"/>
      <c r="G791" s="15"/>
      <c r="H791" s="91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  <c r="BG791" s="15"/>
      <c r="BH791" s="15"/>
      <c r="BI791" s="15"/>
      <c r="BJ791" s="15"/>
      <c r="BK791" s="15"/>
      <c r="BL791" s="15"/>
      <c r="BM791" s="15"/>
      <c r="BN791" s="92"/>
      <c r="BO791" s="92"/>
      <c r="BP791" s="92"/>
      <c r="BQ791" s="92"/>
      <c r="BR791" s="92"/>
      <c r="BS791" s="92"/>
      <c r="BT791" s="92"/>
      <c r="BU791" s="92"/>
      <c r="BV791" s="92"/>
      <c r="BW791" s="92"/>
      <c r="BX791" s="92"/>
      <c r="BY791" s="92"/>
      <c r="BZ791" s="92"/>
      <c r="CA791" s="92"/>
      <c r="CB791" s="92"/>
      <c r="CC791" s="92"/>
      <c r="CD791" s="92"/>
      <c r="CE791" s="92"/>
      <c r="CF791" s="92"/>
      <c r="CG791" s="92"/>
      <c r="CH791" s="92"/>
      <c r="CI791" s="92"/>
      <c r="CJ791" s="92"/>
      <c r="CK791" s="92"/>
      <c r="CL791" s="92"/>
      <c r="CM791" s="92"/>
      <c r="CN791" s="92"/>
      <c r="CO791" s="92"/>
      <c r="CP791" s="92"/>
      <c r="CQ791" s="92"/>
      <c r="CR791" s="92"/>
      <c r="CS791" s="92"/>
      <c r="CT791" s="92"/>
      <c r="CU791" s="92"/>
      <c r="CV791" s="92"/>
      <c r="CW791" s="92"/>
      <c r="CX791" s="85"/>
      <c r="CY791" s="85"/>
      <c r="CZ791" s="85"/>
      <c r="DA791" s="85"/>
      <c r="DB791" s="85"/>
      <c r="DC791" s="85"/>
      <c r="DD791" s="85"/>
      <c r="DE791" s="85"/>
      <c r="DF791" s="85"/>
      <c r="DG791" s="85"/>
      <c r="DH791" s="85"/>
      <c r="DI791" s="85"/>
      <c r="DJ791" s="85"/>
      <c r="DK791" s="85"/>
      <c r="DL791" s="85"/>
      <c r="DM791" s="85"/>
      <c r="DN791" s="85"/>
      <c r="DO791" s="85"/>
      <c r="DP791" s="85"/>
    </row>
    <row r="792">
      <c r="A792" s="91"/>
      <c r="B792" s="91"/>
      <c r="C792" s="91"/>
      <c r="D792" s="91"/>
      <c r="E792" s="78"/>
      <c r="F792" s="15"/>
      <c r="G792" s="15"/>
      <c r="H792" s="91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  <c r="BD792" s="15"/>
      <c r="BE792" s="15"/>
      <c r="BF792" s="15"/>
      <c r="BG792" s="15"/>
      <c r="BH792" s="15"/>
      <c r="BI792" s="15"/>
      <c r="BJ792" s="15"/>
      <c r="BK792" s="15"/>
      <c r="BL792" s="15"/>
      <c r="BM792" s="15"/>
      <c r="BN792" s="92"/>
      <c r="BO792" s="92"/>
      <c r="BP792" s="92"/>
      <c r="BQ792" s="92"/>
      <c r="BR792" s="92"/>
      <c r="BS792" s="92"/>
      <c r="BT792" s="92"/>
      <c r="BU792" s="92"/>
      <c r="BV792" s="92"/>
      <c r="BW792" s="92"/>
      <c r="BX792" s="92"/>
      <c r="BY792" s="92"/>
      <c r="BZ792" s="92"/>
      <c r="CA792" s="92"/>
      <c r="CB792" s="92"/>
      <c r="CC792" s="92"/>
      <c r="CD792" s="92"/>
      <c r="CE792" s="92"/>
      <c r="CF792" s="92"/>
      <c r="CG792" s="92"/>
      <c r="CH792" s="92"/>
      <c r="CI792" s="92"/>
      <c r="CJ792" s="92"/>
      <c r="CK792" s="92"/>
      <c r="CL792" s="92"/>
      <c r="CM792" s="92"/>
      <c r="CN792" s="92"/>
      <c r="CO792" s="92"/>
      <c r="CP792" s="92"/>
      <c r="CQ792" s="92"/>
      <c r="CR792" s="92"/>
      <c r="CS792" s="92"/>
      <c r="CT792" s="92"/>
      <c r="CU792" s="92"/>
      <c r="CV792" s="92"/>
      <c r="CW792" s="92"/>
      <c r="CX792" s="85"/>
      <c r="CY792" s="85"/>
      <c r="CZ792" s="85"/>
      <c r="DA792" s="85"/>
      <c r="DB792" s="85"/>
      <c r="DC792" s="85"/>
      <c r="DD792" s="85"/>
      <c r="DE792" s="85"/>
      <c r="DF792" s="85"/>
      <c r="DG792" s="85"/>
      <c r="DH792" s="85"/>
      <c r="DI792" s="85"/>
      <c r="DJ792" s="85"/>
      <c r="DK792" s="85"/>
      <c r="DL792" s="85"/>
      <c r="DM792" s="85"/>
      <c r="DN792" s="85"/>
      <c r="DO792" s="85"/>
      <c r="DP792" s="85"/>
    </row>
    <row r="793">
      <c r="A793" s="91"/>
      <c r="B793" s="91"/>
      <c r="C793" s="91"/>
      <c r="D793" s="91"/>
      <c r="E793" s="78"/>
      <c r="F793" s="15"/>
      <c r="G793" s="15"/>
      <c r="H793" s="91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/>
      <c r="BH793" s="15"/>
      <c r="BI793" s="15"/>
      <c r="BJ793" s="15"/>
      <c r="BK793" s="15"/>
      <c r="BL793" s="15"/>
      <c r="BM793" s="15"/>
      <c r="BN793" s="92"/>
      <c r="BO793" s="92"/>
      <c r="BP793" s="92"/>
      <c r="BQ793" s="92"/>
      <c r="BR793" s="92"/>
      <c r="BS793" s="92"/>
      <c r="BT793" s="92"/>
      <c r="BU793" s="92"/>
      <c r="BV793" s="92"/>
      <c r="BW793" s="92"/>
      <c r="BX793" s="92"/>
      <c r="BY793" s="92"/>
      <c r="BZ793" s="92"/>
      <c r="CA793" s="92"/>
      <c r="CB793" s="92"/>
      <c r="CC793" s="92"/>
      <c r="CD793" s="92"/>
      <c r="CE793" s="92"/>
      <c r="CF793" s="92"/>
      <c r="CG793" s="92"/>
      <c r="CH793" s="92"/>
      <c r="CI793" s="92"/>
      <c r="CJ793" s="92"/>
      <c r="CK793" s="92"/>
      <c r="CL793" s="92"/>
      <c r="CM793" s="92"/>
      <c r="CN793" s="92"/>
      <c r="CO793" s="92"/>
      <c r="CP793" s="92"/>
      <c r="CQ793" s="92"/>
      <c r="CR793" s="92"/>
      <c r="CS793" s="92"/>
      <c r="CT793" s="92"/>
      <c r="CU793" s="92"/>
      <c r="CV793" s="92"/>
      <c r="CW793" s="92"/>
      <c r="CX793" s="85"/>
      <c r="CY793" s="85"/>
      <c r="CZ793" s="85"/>
      <c r="DA793" s="85"/>
      <c r="DB793" s="85"/>
      <c r="DC793" s="85"/>
      <c r="DD793" s="85"/>
      <c r="DE793" s="85"/>
      <c r="DF793" s="85"/>
      <c r="DG793" s="85"/>
      <c r="DH793" s="85"/>
      <c r="DI793" s="85"/>
      <c r="DJ793" s="85"/>
      <c r="DK793" s="85"/>
      <c r="DL793" s="85"/>
      <c r="DM793" s="85"/>
      <c r="DN793" s="85"/>
      <c r="DO793" s="85"/>
      <c r="DP793" s="85"/>
    </row>
    <row r="794">
      <c r="A794" s="91"/>
      <c r="B794" s="91"/>
      <c r="C794" s="91"/>
      <c r="D794" s="91"/>
      <c r="E794" s="78"/>
      <c r="F794" s="15"/>
      <c r="G794" s="15"/>
      <c r="H794" s="91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  <c r="BD794" s="15"/>
      <c r="BE794" s="15"/>
      <c r="BF794" s="15"/>
      <c r="BG794" s="15"/>
      <c r="BH794" s="15"/>
      <c r="BI794" s="15"/>
      <c r="BJ794" s="15"/>
      <c r="BK794" s="15"/>
      <c r="BL794" s="15"/>
      <c r="BM794" s="15"/>
      <c r="BN794" s="92"/>
      <c r="BO794" s="92"/>
      <c r="BP794" s="92"/>
      <c r="BQ794" s="92"/>
      <c r="BR794" s="92"/>
      <c r="BS794" s="92"/>
      <c r="BT794" s="92"/>
      <c r="BU794" s="92"/>
      <c r="BV794" s="92"/>
      <c r="BW794" s="92"/>
      <c r="BX794" s="92"/>
      <c r="BY794" s="92"/>
      <c r="BZ794" s="92"/>
      <c r="CA794" s="92"/>
      <c r="CB794" s="92"/>
      <c r="CC794" s="92"/>
      <c r="CD794" s="92"/>
      <c r="CE794" s="92"/>
      <c r="CF794" s="92"/>
      <c r="CG794" s="92"/>
      <c r="CH794" s="92"/>
      <c r="CI794" s="92"/>
      <c r="CJ794" s="92"/>
      <c r="CK794" s="92"/>
      <c r="CL794" s="92"/>
      <c r="CM794" s="92"/>
      <c r="CN794" s="92"/>
      <c r="CO794" s="92"/>
      <c r="CP794" s="92"/>
      <c r="CQ794" s="92"/>
      <c r="CR794" s="92"/>
      <c r="CS794" s="92"/>
      <c r="CT794" s="92"/>
      <c r="CU794" s="92"/>
      <c r="CV794" s="92"/>
      <c r="CW794" s="92"/>
      <c r="CX794" s="85"/>
      <c r="CY794" s="85"/>
      <c r="CZ794" s="85"/>
      <c r="DA794" s="85"/>
      <c r="DB794" s="85"/>
      <c r="DC794" s="85"/>
      <c r="DD794" s="85"/>
      <c r="DE794" s="85"/>
      <c r="DF794" s="85"/>
      <c r="DG794" s="85"/>
      <c r="DH794" s="85"/>
      <c r="DI794" s="85"/>
      <c r="DJ794" s="85"/>
      <c r="DK794" s="85"/>
      <c r="DL794" s="85"/>
      <c r="DM794" s="85"/>
      <c r="DN794" s="85"/>
      <c r="DO794" s="85"/>
      <c r="DP794" s="85"/>
    </row>
    <row r="795">
      <c r="A795" s="91"/>
      <c r="B795" s="91"/>
      <c r="C795" s="91"/>
      <c r="D795" s="91"/>
      <c r="E795" s="78"/>
      <c r="F795" s="15"/>
      <c r="G795" s="15"/>
      <c r="H795" s="91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  <c r="BG795" s="15"/>
      <c r="BH795" s="15"/>
      <c r="BI795" s="15"/>
      <c r="BJ795" s="15"/>
      <c r="BK795" s="15"/>
      <c r="BL795" s="15"/>
      <c r="BM795" s="15"/>
      <c r="BN795" s="92"/>
      <c r="BO795" s="92"/>
      <c r="BP795" s="92"/>
      <c r="BQ795" s="92"/>
      <c r="BR795" s="92"/>
      <c r="BS795" s="92"/>
      <c r="BT795" s="92"/>
      <c r="BU795" s="92"/>
      <c r="BV795" s="92"/>
      <c r="BW795" s="92"/>
      <c r="BX795" s="92"/>
      <c r="BY795" s="92"/>
      <c r="BZ795" s="92"/>
      <c r="CA795" s="92"/>
      <c r="CB795" s="92"/>
      <c r="CC795" s="92"/>
      <c r="CD795" s="92"/>
      <c r="CE795" s="92"/>
      <c r="CF795" s="92"/>
      <c r="CG795" s="92"/>
      <c r="CH795" s="92"/>
      <c r="CI795" s="92"/>
      <c r="CJ795" s="92"/>
      <c r="CK795" s="92"/>
      <c r="CL795" s="92"/>
      <c r="CM795" s="92"/>
      <c r="CN795" s="92"/>
      <c r="CO795" s="92"/>
      <c r="CP795" s="92"/>
      <c r="CQ795" s="92"/>
      <c r="CR795" s="92"/>
      <c r="CS795" s="92"/>
      <c r="CT795" s="92"/>
      <c r="CU795" s="92"/>
      <c r="CV795" s="92"/>
      <c r="CW795" s="92"/>
      <c r="CX795" s="85"/>
      <c r="CY795" s="85"/>
      <c r="CZ795" s="85"/>
      <c r="DA795" s="85"/>
      <c r="DB795" s="85"/>
      <c r="DC795" s="85"/>
      <c r="DD795" s="85"/>
      <c r="DE795" s="85"/>
      <c r="DF795" s="85"/>
      <c r="DG795" s="85"/>
      <c r="DH795" s="85"/>
      <c r="DI795" s="85"/>
      <c r="DJ795" s="85"/>
      <c r="DK795" s="85"/>
      <c r="DL795" s="85"/>
      <c r="DM795" s="85"/>
      <c r="DN795" s="85"/>
      <c r="DO795" s="85"/>
      <c r="DP795" s="85"/>
    </row>
    <row r="796">
      <c r="A796" s="91"/>
      <c r="B796" s="91"/>
      <c r="C796" s="91"/>
      <c r="D796" s="91"/>
      <c r="E796" s="78"/>
      <c r="F796" s="15"/>
      <c r="G796" s="15"/>
      <c r="H796" s="91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  <c r="BD796" s="15"/>
      <c r="BE796" s="15"/>
      <c r="BF796" s="15"/>
      <c r="BG796" s="15"/>
      <c r="BH796" s="15"/>
      <c r="BI796" s="15"/>
      <c r="BJ796" s="15"/>
      <c r="BK796" s="15"/>
      <c r="BL796" s="15"/>
      <c r="BM796" s="15"/>
      <c r="BN796" s="92"/>
      <c r="BO796" s="92"/>
      <c r="BP796" s="92"/>
      <c r="BQ796" s="92"/>
      <c r="BR796" s="92"/>
      <c r="BS796" s="92"/>
      <c r="BT796" s="92"/>
      <c r="BU796" s="92"/>
      <c r="BV796" s="92"/>
      <c r="BW796" s="92"/>
      <c r="BX796" s="92"/>
      <c r="BY796" s="92"/>
      <c r="BZ796" s="92"/>
      <c r="CA796" s="92"/>
      <c r="CB796" s="92"/>
      <c r="CC796" s="92"/>
      <c r="CD796" s="92"/>
      <c r="CE796" s="92"/>
      <c r="CF796" s="92"/>
      <c r="CG796" s="92"/>
      <c r="CH796" s="92"/>
      <c r="CI796" s="92"/>
      <c r="CJ796" s="92"/>
      <c r="CK796" s="92"/>
      <c r="CL796" s="92"/>
      <c r="CM796" s="92"/>
      <c r="CN796" s="92"/>
      <c r="CO796" s="92"/>
      <c r="CP796" s="92"/>
      <c r="CQ796" s="92"/>
      <c r="CR796" s="92"/>
      <c r="CS796" s="92"/>
      <c r="CT796" s="92"/>
      <c r="CU796" s="92"/>
      <c r="CV796" s="92"/>
      <c r="CW796" s="92"/>
      <c r="CX796" s="85"/>
      <c r="CY796" s="85"/>
      <c r="CZ796" s="85"/>
      <c r="DA796" s="85"/>
      <c r="DB796" s="85"/>
      <c r="DC796" s="85"/>
      <c r="DD796" s="85"/>
      <c r="DE796" s="85"/>
      <c r="DF796" s="85"/>
      <c r="DG796" s="85"/>
      <c r="DH796" s="85"/>
      <c r="DI796" s="85"/>
      <c r="DJ796" s="85"/>
      <c r="DK796" s="85"/>
      <c r="DL796" s="85"/>
      <c r="DM796" s="85"/>
      <c r="DN796" s="85"/>
      <c r="DO796" s="85"/>
      <c r="DP796" s="85"/>
    </row>
    <row r="797">
      <c r="A797" s="91"/>
      <c r="B797" s="91"/>
      <c r="C797" s="91"/>
      <c r="D797" s="91"/>
      <c r="E797" s="78"/>
      <c r="F797" s="15"/>
      <c r="G797" s="15"/>
      <c r="H797" s="91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  <c r="BG797" s="15"/>
      <c r="BH797" s="15"/>
      <c r="BI797" s="15"/>
      <c r="BJ797" s="15"/>
      <c r="BK797" s="15"/>
      <c r="BL797" s="15"/>
      <c r="BM797" s="15"/>
      <c r="BN797" s="92"/>
      <c r="BO797" s="92"/>
      <c r="BP797" s="92"/>
      <c r="BQ797" s="92"/>
      <c r="BR797" s="92"/>
      <c r="BS797" s="92"/>
      <c r="BT797" s="92"/>
      <c r="BU797" s="92"/>
      <c r="BV797" s="92"/>
      <c r="BW797" s="92"/>
      <c r="BX797" s="92"/>
      <c r="BY797" s="92"/>
      <c r="BZ797" s="92"/>
      <c r="CA797" s="92"/>
      <c r="CB797" s="92"/>
      <c r="CC797" s="92"/>
      <c r="CD797" s="92"/>
      <c r="CE797" s="92"/>
      <c r="CF797" s="92"/>
      <c r="CG797" s="92"/>
      <c r="CH797" s="92"/>
      <c r="CI797" s="92"/>
      <c r="CJ797" s="92"/>
      <c r="CK797" s="92"/>
      <c r="CL797" s="92"/>
      <c r="CM797" s="92"/>
      <c r="CN797" s="92"/>
      <c r="CO797" s="92"/>
      <c r="CP797" s="92"/>
      <c r="CQ797" s="92"/>
      <c r="CR797" s="92"/>
      <c r="CS797" s="92"/>
      <c r="CT797" s="92"/>
      <c r="CU797" s="92"/>
      <c r="CV797" s="92"/>
      <c r="CW797" s="92"/>
      <c r="CX797" s="85"/>
      <c r="CY797" s="85"/>
      <c r="CZ797" s="85"/>
      <c r="DA797" s="85"/>
      <c r="DB797" s="85"/>
      <c r="DC797" s="85"/>
      <c r="DD797" s="85"/>
      <c r="DE797" s="85"/>
      <c r="DF797" s="85"/>
      <c r="DG797" s="85"/>
      <c r="DH797" s="85"/>
      <c r="DI797" s="85"/>
      <c r="DJ797" s="85"/>
      <c r="DK797" s="85"/>
      <c r="DL797" s="85"/>
      <c r="DM797" s="85"/>
      <c r="DN797" s="85"/>
      <c r="DO797" s="85"/>
      <c r="DP797" s="85"/>
    </row>
    <row r="798">
      <c r="A798" s="91"/>
      <c r="B798" s="91"/>
      <c r="C798" s="91"/>
      <c r="D798" s="91"/>
      <c r="E798" s="78"/>
      <c r="F798" s="15"/>
      <c r="G798" s="15"/>
      <c r="H798" s="91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  <c r="BD798" s="15"/>
      <c r="BE798" s="15"/>
      <c r="BF798" s="15"/>
      <c r="BG798" s="15"/>
      <c r="BH798" s="15"/>
      <c r="BI798" s="15"/>
      <c r="BJ798" s="15"/>
      <c r="BK798" s="15"/>
      <c r="BL798" s="15"/>
      <c r="BM798" s="15"/>
      <c r="BN798" s="92"/>
      <c r="BO798" s="92"/>
      <c r="BP798" s="92"/>
      <c r="BQ798" s="92"/>
      <c r="BR798" s="92"/>
      <c r="BS798" s="92"/>
      <c r="BT798" s="92"/>
      <c r="BU798" s="92"/>
      <c r="BV798" s="92"/>
      <c r="BW798" s="92"/>
      <c r="BX798" s="92"/>
      <c r="BY798" s="92"/>
      <c r="BZ798" s="92"/>
      <c r="CA798" s="92"/>
      <c r="CB798" s="92"/>
      <c r="CC798" s="92"/>
      <c r="CD798" s="92"/>
      <c r="CE798" s="92"/>
      <c r="CF798" s="92"/>
      <c r="CG798" s="92"/>
      <c r="CH798" s="92"/>
      <c r="CI798" s="92"/>
      <c r="CJ798" s="92"/>
      <c r="CK798" s="92"/>
      <c r="CL798" s="92"/>
      <c r="CM798" s="92"/>
      <c r="CN798" s="92"/>
      <c r="CO798" s="92"/>
      <c r="CP798" s="92"/>
      <c r="CQ798" s="92"/>
      <c r="CR798" s="92"/>
      <c r="CS798" s="92"/>
      <c r="CT798" s="92"/>
      <c r="CU798" s="92"/>
      <c r="CV798" s="92"/>
      <c r="CW798" s="92"/>
      <c r="CX798" s="85"/>
      <c r="CY798" s="85"/>
      <c r="CZ798" s="85"/>
      <c r="DA798" s="85"/>
      <c r="DB798" s="85"/>
      <c r="DC798" s="85"/>
      <c r="DD798" s="85"/>
      <c r="DE798" s="85"/>
      <c r="DF798" s="85"/>
      <c r="DG798" s="85"/>
      <c r="DH798" s="85"/>
      <c r="DI798" s="85"/>
      <c r="DJ798" s="85"/>
      <c r="DK798" s="85"/>
      <c r="DL798" s="85"/>
      <c r="DM798" s="85"/>
      <c r="DN798" s="85"/>
      <c r="DO798" s="85"/>
      <c r="DP798" s="85"/>
    </row>
    <row r="799">
      <c r="A799" s="91"/>
      <c r="B799" s="91"/>
      <c r="C799" s="91"/>
      <c r="D799" s="91"/>
      <c r="E799" s="78"/>
      <c r="F799" s="15"/>
      <c r="G799" s="15"/>
      <c r="H799" s="91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  <c r="BG799" s="15"/>
      <c r="BH799" s="15"/>
      <c r="BI799" s="15"/>
      <c r="BJ799" s="15"/>
      <c r="BK799" s="15"/>
      <c r="BL799" s="15"/>
      <c r="BM799" s="15"/>
      <c r="BN799" s="92"/>
      <c r="BO799" s="92"/>
      <c r="BP799" s="92"/>
      <c r="BQ799" s="92"/>
      <c r="BR799" s="92"/>
      <c r="BS799" s="92"/>
      <c r="BT799" s="92"/>
      <c r="BU799" s="92"/>
      <c r="BV799" s="92"/>
      <c r="BW799" s="92"/>
      <c r="BX799" s="92"/>
      <c r="BY799" s="92"/>
      <c r="BZ799" s="92"/>
      <c r="CA799" s="92"/>
      <c r="CB799" s="92"/>
      <c r="CC799" s="92"/>
      <c r="CD799" s="92"/>
      <c r="CE799" s="92"/>
      <c r="CF799" s="92"/>
      <c r="CG799" s="92"/>
      <c r="CH799" s="92"/>
      <c r="CI799" s="92"/>
      <c r="CJ799" s="92"/>
      <c r="CK799" s="92"/>
      <c r="CL799" s="92"/>
      <c r="CM799" s="92"/>
      <c r="CN799" s="92"/>
      <c r="CO799" s="92"/>
      <c r="CP799" s="92"/>
      <c r="CQ799" s="92"/>
      <c r="CR799" s="92"/>
      <c r="CS799" s="92"/>
      <c r="CT799" s="92"/>
      <c r="CU799" s="92"/>
      <c r="CV799" s="92"/>
      <c r="CW799" s="92"/>
      <c r="CX799" s="85"/>
      <c r="CY799" s="85"/>
      <c r="CZ799" s="85"/>
      <c r="DA799" s="85"/>
      <c r="DB799" s="85"/>
      <c r="DC799" s="85"/>
      <c r="DD799" s="85"/>
      <c r="DE799" s="85"/>
      <c r="DF799" s="85"/>
      <c r="DG799" s="85"/>
      <c r="DH799" s="85"/>
      <c r="DI799" s="85"/>
      <c r="DJ799" s="85"/>
      <c r="DK799" s="85"/>
      <c r="DL799" s="85"/>
      <c r="DM799" s="85"/>
      <c r="DN799" s="85"/>
      <c r="DO799" s="85"/>
      <c r="DP799" s="85"/>
    </row>
    <row r="800">
      <c r="A800" s="91"/>
      <c r="B800" s="91"/>
      <c r="C800" s="91"/>
      <c r="D800" s="91"/>
      <c r="E800" s="78"/>
      <c r="F800" s="15"/>
      <c r="G800" s="15"/>
      <c r="H800" s="91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  <c r="BC800" s="15"/>
      <c r="BD800" s="15"/>
      <c r="BE800" s="15"/>
      <c r="BF800" s="15"/>
      <c r="BG800" s="15"/>
      <c r="BH800" s="15"/>
      <c r="BI800" s="15"/>
      <c r="BJ800" s="15"/>
      <c r="BK800" s="15"/>
      <c r="BL800" s="15"/>
      <c r="BM800" s="15"/>
      <c r="BN800" s="92"/>
      <c r="BO800" s="92"/>
      <c r="BP800" s="92"/>
      <c r="BQ800" s="92"/>
      <c r="BR800" s="92"/>
      <c r="BS800" s="92"/>
      <c r="BT800" s="92"/>
      <c r="BU800" s="92"/>
      <c r="BV800" s="92"/>
      <c r="BW800" s="92"/>
      <c r="BX800" s="92"/>
      <c r="BY800" s="92"/>
      <c r="BZ800" s="92"/>
      <c r="CA800" s="92"/>
      <c r="CB800" s="92"/>
      <c r="CC800" s="92"/>
      <c r="CD800" s="92"/>
      <c r="CE800" s="92"/>
      <c r="CF800" s="92"/>
      <c r="CG800" s="92"/>
      <c r="CH800" s="92"/>
      <c r="CI800" s="92"/>
      <c r="CJ800" s="92"/>
      <c r="CK800" s="92"/>
      <c r="CL800" s="92"/>
      <c r="CM800" s="92"/>
      <c r="CN800" s="92"/>
      <c r="CO800" s="92"/>
      <c r="CP800" s="92"/>
      <c r="CQ800" s="92"/>
      <c r="CR800" s="92"/>
      <c r="CS800" s="92"/>
      <c r="CT800" s="92"/>
      <c r="CU800" s="92"/>
      <c r="CV800" s="92"/>
      <c r="CW800" s="92"/>
      <c r="CX800" s="85"/>
      <c r="CY800" s="85"/>
      <c r="CZ800" s="85"/>
      <c r="DA800" s="85"/>
      <c r="DB800" s="85"/>
      <c r="DC800" s="85"/>
      <c r="DD800" s="85"/>
      <c r="DE800" s="85"/>
      <c r="DF800" s="85"/>
      <c r="DG800" s="85"/>
      <c r="DH800" s="85"/>
      <c r="DI800" s="85"/>
      <c r="DJ800" s="85"/>
      <c r="DK800" s="85"/>
      <c r="DL800" s="85"/>
      <c r="DM800" s="85"/>
      <c r="DN800" s="85"/>
      <c r="DO800" s="85"/>
      <c r="DP800" s="85"/>
    </row>
    <row r="801">
      <c r="A801" s="91"/>
      <c r="B801" s="91"/>
      <c r="C801" s="91"/>
      <c r="D801" s="91"/>
      <c r="E801" s="78"/>
      <c r="F801" s="15"/>
      <c r="G801" s="15"/>
      <c r="H801" s="91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  <c r="BG801" s="15"/>
      <c r="BH801" s="15"/>
      <c r="BI801" s="15"/>
      <c r="BJ801" s="15"/>
      <c r="BK801" s="15"/>
      <c r="BL801" s="15"/>
      <c r="BM801" s="15"/>
      <c r="BN801" s="92"/>
      <c r="BO801" s="92"/>
      <c r="BP801" s="92"/>
      <c r="BQ801" s="92"/>
      <c r="BR801" s="92"/>
      <c r="BS801" s="92"/>
      <c r="BT801" s="92"/>
      <c r="BU801" s="92"/>
      <c r="BV801" s="92"/>
      <c r="BW801" s="92"/>
      <c r="BX801" s="92"/>
      <c r="BY801" s="92"/>
      <c r="BZ801" s="92"/>
      <c r="CA801" s="92"/>
      <c r="CB801" s="92"/>
      <c r="CC801" s="92"/>
      <c r="CD801" s="92"/>
      <c r="CE801" s="92"/>
      <c r="CF801" s="92"/>
      <c r="CG801" s="92"/>
      <c r="CH801" s="92"/>
      <c r="CI801" s="92"/>
      <c r="CJ801" s="92"/>
      <c r="CK801" s="92"/>
      <c r="CL801" s="92"/>
      <c r="CM801" s="92"/>
      <c r="CN801" s="92"/>
      <c r="CO801" s="92"/>
      <c r="CP801" s="92"/>
      <c r="CQ801" s="92"/>
      <c r="CR801" s="92"/>
      <c r="CS801" s="92"/>
      <c r="CT801" s="92"/>
      <c r="CU801" s="92"/>
      <c r="CV801" s="92"/>
      <c r="CW801" s="92"/>
      <c r="CX801" s="85"/>
      <c r="CY801" s="85"/>
      <c r="CZ801" s="85"/>
      <c r="DA801" s="85"/>
      <c r="DB801" s="85"/>
      <c r="DC801" s="85"/>
      <c r="DD801" s="85"/>
      <c r="DE801" s="85"/>
      <c r="DF801" s="85"/>
      <c r="DG801" s="85"/>
      <c r="DH801" s="85"/>
      <c r="DI801" s="85"/>
      <c r="DJ801" s="85"/>
      <c r="DK801" s="85"/>
      <c r="DL801" s="85"/>
      <c r="DM801" s="85"/>
      <c r="DN801" s="85"/>
      <c r="DO801" s="85"/>
      <c r="DP801" s="85"/>
    </row>
    <row r="802">
      <c r="A802" s="91"/>
      <c r="B802" s="91"/>
      <c r="C802" s="91"/>
      <c r="D802" s="91"/>
      <c r="E802" s="78"/>
      <c r="F802" s="15"/>
      <c r="G802" s="15"/>
      <c r="H802" s="91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  <c r="BD802" s="15"/>
      <c r="BE802" s="15"/>
      <c r="BF802" s="15"/>
      <c r="BG802" s="15"/>
      <c r="BH802" s="15"/>
      <c r="BI802" s="15"/>
      <c r="BJ802" s="15"/>
      <c r="BK802" s="15"/>
      <c r="BL802" s="15"/>
      <c r="BM802" s="15"/>
      <c r="BN802" s="92"/>
      <c r="BO802" s="92"/>
      <c r="BP802" s="92"/>
      <c r="BQ802" s="92"/>
      <c r="BR802" s="92"/>
      <c r="BS802" s="92"/>
      <c r="BT802" s="92"/>
      <c r="BU802" s="92"/>
      <c r="BV802" s="92"/>
      <c r="BW802" s="92"/>
      <c r="BX802" s="92"/>
      <c r="BY802" s="92"/>
      <c r="BZ802" s="92"/>
      <c r="CA802" s="92"/>
      <c r="CB802" s="92"/>
      <c r="CC802" s="92"/>
      <c r="CD802" s="92"/>
      <c r="CE802" s="92"/>
      <c r="CF802" s="92"/>
      <c r="CG802" s="92"/>
      <c r="CH802" s="92"/>
      <c r="CI802" s="92"/>
      <c r="CJ802" s="92"/>
      <c r="CK802" s="92"/>
      <c r="CL802" s="92"/>
      <c r="CM802" s="92"/>
      <c r="CN802" s="92"/>
      <c r="CO802" s="92"/>
      <c r="CP802" s="92"/>
      <c r="CQ802" s="92"/>
      <c r="CR802" s="92"/>
      <c r="CS802" s="92"/>
      <c r="CT802" s="92"/>
      <c r="CU802" s="92"/>
      <c r="CV802" s="92"/>
      <c r="CW802" s="92"/>
      <c r="CX802" s="85"/>
      <c r="CY802" s="85"/>
      <c r="CZ802" s="85"/>
      <c r="DA802" s="85"/>
      <c r="DB802" s="85"/>
      <c r="DC802" s="85"/>
      <c r="DD802" s="85"/>
      <c r="DE802" s="85"/>
      <c r="DF802" s="85"/>
      <c r="DG802" s="85"/>
      <c r="DH802" s="85"/>
      <c r="DI802" s="85"/>
      <c r="DJ802" s="85"/>
      <c r="DK802" s="85"/>
      <c r="DL802" s="85"/>
      <c r="DM802" s="85"/>
      <c r="DN802" s="85"/>
      <c r="DO802" s="85"/>
      <c r="DP802" s="85"/>
    </row>
    <row r="803">
      <c r="A803" s="91"/>
      <c r="B803" s="91"/>
      <c r="C803" s="91"/>
      <c r="D803" s="91"/>
      <c r="E803" s="78"/>
      <c r="F803" s="15"/>
      <c r="G803" s="15"/>
      <c r="H803" s="91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  <c r="BG803" s="15"/>
      <c r="BH803" s="15"/>
      <c r="BI803" s="15"/>
      <c r="BJ803" s="15"/>
      <c r="BK803" s="15"/>
      <c r="BL803" s="15"/>
      <c r="BM803" s="15"/>
      <c r="BN803" s="92"/>
      <c r="BO803" s="92"/>
      <c r="BP803" s="92"/>
      <c r="BQ803" s="92"/>
      <c r="BR803" s="92"/>
      <c r="BS803" s="92"/>
      <c r="BT803" s="92"/>
      <c r="BU803" s="92"/>
      <c r="BV803" s="92"/>
      <c r="BW803" s="92"/>
      <c r="BX803" s="92"/>
      <c r="BY803" s="92"/>
      <c r="BZ803" s="92"/>
      <c r="CA803" s="92"/>
      <c r="CB803" s="92"/>
      <c r="CC803" s="92"/>
      <c r="CD803" s="92"/>
      <c r="CE803" s="92"/>
      <c r="CF803" s="92"/>
      <c r="CG803" s="92"/>
      <c r="CH803" s="92"/>
      <c r="CI803" s="92"/>
      <c r="CJ803" s="92"/>
      <c r="CK803" s="92"/>
      <c r="CL803" s="92"/>
      <c r="CM803" s="92"/>
      <c r="CN803" s="92"/>
      <c r="CO803" s="92"/>
      <c r="CP803" s="92"/>
      <c r="CQ803" s="92"/>
      <c r="CR803" s="92"/>
      <c r="CS803" s="92"/>
      <c r="CT803" s="92"/>
      <c r="CU803" s="92"/>
      <c r="CV803" s="92"/>
      <c r="CW803" s="92"/>
      <c r="CX803" s="85"/>
      <c r="CY803" s="85"/>
      <c r="CZ803" s="85"/>
      <c r="DA803" s="85"/>
      <c r="DB803" s="85"/>
      <c r="DC803" s="85"/>
      <c r="DD803" s="85"/>
      <c r="DE803" s="85"/>
      <c r="DF803" s="85"/>
      <c r="DG803" s="85"/>
      <c r="DH803" s="85"/>
      <c r="DI803" s="85"/>
      <c r="DJ803" s="85"/>
      <c r="DK803" s="85"/>
      <c r="DL803" s="85"/>
      <c r="DM803" s="85"/>
      <c r="DN803" s="85"/>
      <c r="DO803" s="85"/>
      <c r="DP803" s="85"/>
    </row>
    <row r="804">
      <c r="A804" s="91"/>
      <c r="B804" s="91"/>
      <c r="C804" s="91"/>
      <c r="D804" s="91"/>
      <c r="E804" s="78"/>
      <c r="F804" s="15"/>
      <c r="G804" s="15"/>
      <c r="H804" s="91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/>
      <c r="BD804" s="15"/>
      <c r="BE804" s="15"/>
      <c r="BF804" s="15"/>
      <c r="BG804" s="15"/>
      <c r="BH804" s="15"/>
      <c r="BI804" s="15"/>
      <c r="BJ804" s="15"/>
      <c r="BK804" s="15"/>
      <c r="BL804" s="15"/>
      <c r="BM804" s="15"/>
      <c r="BN804" s="92"/>
      <c r="BO804" s="92"/>
      <c r="BP804" s="92"/>
      <c r="BQ804" s="92"/>
      <c r="BR804" s="92"/>
      <c r="BS804" s="92"/>
      <c r="BT804" s="92"/>
      <c r="BU804" s="92"/>
      <c r="BV804" s="92"/>
      <c r="BW804" s="92"/>
      <c r="BX804" s="92"/>
      <c r="BY804" s="92"/>
      <c r="BZ804" s="92"/>
      <c r="CA804" s="92"/>
      <c r="CB804" s="92"/>
      <c r="CC804" s="92"/>
      <c r="CD804" s="92"/>
      <c r="CE804" s="92"/>
      <c r="CF804" s="92"/>
      <c r="CG804" s="92"/>
      <c r="CH804" s="92"/>
      <c r="CI804" s="92"/>
      <c r="CJ804" s="92"/>
      <c r="CK804" s="92"/>
      <c r="CL804" s="92"/>
      <c r="CM804" s="92"/>
      <c r="CN804" s="92"/>
      <c r="CO804" s="92"/>
      <c r="CP804" s="92"/>
      <c r="CQ804" s="92"/>
      <c r="CR804" s="92"/>
      <c r="CS804" s="92"/>
      <c r="CT804" s="92"/>
      <c r="CU804" s="92"/>
      <c r="CV804" s="92"/>
      <c r="CW804" s="92"/>
      <c r="CX804" s="85"/>
      <c r="CY804" s="85"/>
      <c r="CZ804" s="85"/>
      <c r="DA804" s="85"/>
      <c r="DB804" s="85"/>
      <c r="DC804" s="85"/>
      <c r="DD804" s="85"/>
      <c r="DE804" s="85"/>
      <c r="DF804" s="85"/>
      <c r="DG804" s="85"/>
      <c r="DH804" s="85"/>
      <c r="DI804" s="85"/>
      <c r="DJ804" s="85"/>
      <c r="DK804" s="85"/>
      <c r="DL804" s="85"/>
      <c r="DM804" s="85"/>
      <c r="DN804" s="85"/>
      <c r="DO804" s="85"/>
      <c r="DP804" s="85"/>
    </row>
    <row r="805">
      <c r="A805" s="91"/>
      <c r="B805" s="91"/>
      <c r="C805" s="91"/>
      <c r="D805" s="91"/>
      <c r="E805" s="78"/>
      <c r="F805" s="15"/>
      <c r="G805" s="15"/>
      <c r="H805" s="91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  <c r="BG805" s="15"/>
      <c r="BH805" s="15"/>
      <c r="BI805" s="15"/>
      <c r="BJ805" s="15"/>
      <c r="BK805" s="15"/>
      <c r="BL805" s="15"/>
      <c r="BM805" s="15"/>
      <c r="BN805" s="92"/>
      <c r="BO805" s="92"/>
      <c r="BP805" s="92"/>
      <c r="BQ805" s="92"/>
      <c r="BR805" s="92"/>
      <c r="BS805" s="92"/>
      <c r="BT805" s="92"/>
      <c r="BU805" s="92"/>
      <c r="BV805" s="92"/>
      <c r="BW805" s="92"/>
      <c r="BX805" s="92"/>
      <c r="BY805" s="92"/>
      <c r="BZ805" s="92"/>
      <c r="CA805" s="92"/>
      <c r="CB805" s="92"/>
      <c r="CC805" s="92"/>
      <c r="CD805" s="92"/>
      <c r="CE805" s="92"/>
      <c r="CF805" s="92"/>
      <c r="CG805" s="92"/>
      <c r="CH805" s="92"/>
      <c r="CI805" s="92"/>
      <c r="CJ805" s="92"/>
      <c r="CK805" s="92"/>
      <c r="CL805" s="92"/>
      <c r="CM805" s="92"/>
      <c r="CN805" s="92"/>
      <c r="CO805" s="92"/>
      <c r="CP805" s="92"/>
      <c r="CQ805" s="92"/>
      <c r="CR805" s="92"/>
      <c r="CS805" s="92"/>
      <c r="CT805" s="92"/>
      <c r="CU805" s="92"/>
      <c r="CV805" s="92"/>
      <c r="CW805" s="92"/>
      <c r="CX805" s="85"/>
      <c r="CY805" s="85"/>
      <c r="CZ805" s="85"/>
      <c r="DA805" s="85"/>
      <c r="DB805" s="85"/>
      <c r="DC805" s="85"/>
      <c r="DD805" s="85"/>
      <c r="DE805" s="85"/>
      <c r="DF805" s="85"/>
      <c r="DG805" s="85"/>
      <c r="DH805" s="85"/>
      <c r="DI805" s="85"/>
      <c r="DJ805" s="85"/>
      <c r="DK805" s="85"/>
      <c r="DL805" s="85"/>
      <c r="DM805" s="85"/>
      <c r="DN805" s="85"/>
      <c r="DO805" s="85"/>
      <c r="DP805" s="85"/>
    </row>
    <row r="806">
      <c r="A806" s="91"/>
      <c r="B806" s="91"/>
      <c r="C806" s="91"/>
      <c r="D806" s="91"/>
      <c r="E806" s="78"/>
      <c r="F806" s="15"/>
      <c r="G806" s="15"/>
      <c r="H806" s="91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  <c r="BD806" s="15"/>
      <c r="BE806" s="15"/>
      <c r="BF806" s="15"/>
      <c r="BG806" s="15"/>
      <c r="BH806" s="15"/>
      <c r="BI806" s="15"/>
      <c r="BJ806" s="15"/>
      <c r="BK806" s="15"/>
      <c r="BL806" s="15"/>
      <c r="BM806" s="15"/>
      <c r="BN806" s="92"/>
      <c r="BO806" s="92"/>
      <c r="BP806" s="92"/>
      <c r="BQ806" s="92"/>
      <c r="BR806" s="92"/>
      <c r="BS806" s="92"/>
      <c r="BT806" s="92"/>
      <c r="BU806" s="92"/>
      <c r="BV806" s="92"/>
      <c r="BW806" s="92"/>
      <c r="BX806" s="92"/>
      <c r="BY806" s="92"/>
      <c r="BZ806" s="92"/>
      <c r="CA806" s="92"/>
      <c r="CB806" s="92"/>
      <c r="CC806" s="92"/>
      <c r="CD806" s="92"/>
      <c r="CE806" s="92"/>
      <c r="CF806" s="92"/>
      <c r="CG806" s="92"/>
      <c r="CH806" s="92"/>
      <c r="CI806" s="92"/>
      <c r="CJ806" s="92"/>
      <c r="CK806" s="92"/>
      <c r="CL806" s="92"/>
      <c r="CM806" s="92"/>
      <c r="CN806" s="92"/>
      <c r="CO806" s="92"/>
      <c r="CP806" s="92"/>
      <c r="CQ806" s="92"/>
      <c r="CR806" s="92"/>
      <c r="CS806" s="92"/>
      <c r="CT806" s="92"/>
      <c r="CU806" s="92"/>
      <c r="CV806" s="92"/>
      <c r="CW806" s="92"/>
      <c r="CX806" s="85"/>
      <c r="CY806" s="85"/>
      <c r="CZ806" s="85"/>
      <c r="DA806" s="85"/>
      <c r="DB806" s="85"/>
      <c r="DC806" s="85"/>
      <c r="DD806" s="85"/>
      <c r="DE806" s="85"/>
      <c r="DF806" s="85"/>
      <c r="DG806" s="85"/>
      <c r="DH806" s="85"/>
      <c r="DI806" s="85"/>
      <c r="DJ806" s="85"/>
      <c r="DK806" s="85"/>
      <c r="DL806" s="85"/>
      <c r="DM806" s="85"/>
      <c r="DN806" s="85"/>
      <c r="DO806" s="85"/>
      <c r="DP806" s="85"/>
    </row>
    <row r="807">
      <c r="A807" s="91"/>
      <c r="B807" s="91"/>
      <c r="C807" s="91"/>
      <c r="D807" s="91"/>
      <c r="E807" s="78"/>
      <c r="F807" s="15"/>
      <c r="G807" s="15"/>
      <c r="H807" s="91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  <c r="BG807" s="15"/>
      <c r="BH807" s="15"/>
      <c r="BI807" s="15"/>
      <c r="BJ807" s="15"/>
      <c r="BK807" s="15"/>
      <c r="BL807" s="15"/>
      <c r="BM807" s="15"/>
      <c r="BN807" s="92"/>
      <c r="BO807" s="92"/>
      <c r="BP807" s="92"/>
      <c r="BQ807" s="92"/>
      <c r="BR807" s="92"/>
      <c r="BS807" s="92"/>
      <c r="BT807" s="92"/>
      <c r="BU807" s="92"/>
      <c r="BV807" s="92"/>
      <c r="BW807" s="92"/>
      <c r="BX807" s="92"/>
      <c r="BY807" s="92"/>
      <c r="BZ807" s="92"/>
      <c r="CA807" s="92"/>
      <c r="CB807" s="92"/>
      <c r="CC807" s="92"/>
      <c r="CD807" s="92"/>
      <c r="CE807" s="92"/>
      <c r="CF807" s="92"/>
      <c r="CG807" s="92"/>
      <c r="CH807" s="92"/>
      <c r="CI807" s="92"/>
      <c r="CJ807" s="92"/>
      <c r="CK807" s="92"/>
      <c r="CL807" s="92"/>
      <c r="CM807" s="92"/>
      <c r="CN807" s="92"/>
      <c r="CO807" s="92"/>
      <c r="CP807" s="92"/>
      <c r="CQ807" s="92"/>
      <c r="CR807" s="92"/>
      <c r="CS807" s="92"/>
      <c r="CT807" s="92"/>
      <c r="CU807" s="92"/>
      <c r="CV807" s="92"/>
      <c r="CW807" s="92"/>
      <c r="CX807" s="85"/>
      <c r="CY807" s="85"/>
      <c r="CZ807" s="85"/>
      <c r="DA807" s="85"/>
      <c r="DB807" s="85"/>
      <c r="DC807" s="85"/>
      <c r="DD807" s="85"/>
      <c r="DE807" s="85"/>
      <c r="DF807" s="85"/>
      <c r="DG807" s="85"/>
      <c r="DH807" s="85"/>
      <c r="DI807" s="85"/>
      <c r="DJ807" s="85"/>
      <c r="DK807" s="85"/>
      <c r="DL807" s="85"/>
      <c r="DM807" s="85"/>
      <c r="DN807" s="85"/>
      <c r="DO807" s="85"/>
      <c r="DP807" s="85"/>
    </row>
    <row r="808">
      <c r="A808" s="91"/>
      <c r="B808" s="91"/>
      <c r="C808" s="91"/>
      <c r="D808" s="91"/>
      <c r="E808" s="78"/>
      <c r="F808" s="15"/>
      <c r="G808" s="15"/>
      <c r="H808" s="91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  <c r="BD808" s="15"/>
      <c r="BE808" s="15"/>
      <c r="BF808" s="15"/>
      <c r="BG808" s="15"/>
      <c r="BH808" s="15"/>
      <c r="BI808" s="15"/>
      <c r="BJ808" s="15"/>
      <c r="BK808" s="15"/>
      <c r="BL808" s="15"/>
      <c r="BM808" s="15"/>
      <c r="BN808" s="92"/>
      <c r="BO808" s="92"/>
      <c r="BP808" s="92"/>
      <c r="BQ808" s="92"/>
      <c r="BR808" s="92"/>
      <c r="BS808" s="92"/>
      <c r="BT808" s="92"/>
      <c r="BU808" s="92"/>
      <c r="BV808" s="92"/>
      <c r="BW808" s="92"/>
      <c r="BX808" s="92"/>
      <c r="BY808" s="92"/>
      <c r="BZ808" s="92"/>
      <c r="CA808" s="92"/>
      <c r="CB808" s="92"/>
      <c r="CC808" s="92"/>
      <c r="CD808" s="92"/>
      <c r="CE808" s="92"/>
      <c r="CF808" s="92"/>
      <c r="CG808" s="92"/>
      <c r="CH808" s="92"/>
      <c r="CI808" s="92"/>
      <c r="CJ808" s="92"/>
      <c r="CK808" s="92"/>
      <c r="CL808" s="92"/>
      <c r="CM808" s="92"/>
      <c r="CN808" s="92"/>
      <c r="CO808" s="92"/>
      <c r="CP808" s="92"/>
      <c r="CQ808" s="92"/>
      <c r="CR808" s="92"/>
      <c r="CS808" s="92"/>
      <c r="CT808" s="92"/>
      <c r="CU808" s="92"/>
      <c r="CV808" s="92"/>
      <c r="CW808" s="92"/>
      <c r="CX808" s="85"/>
      <c r="CY808" s="85"/>
      <c r="CZ808" s="85"/>
      <c r="DA808" s="85"/>
      <c r="DB808" s="85"/>
      <c r="DC808" s="85"/>
      <c r="DD808" s="85"/>
      <c r="DE808" s="85"/>
      <c r="DF808" s="85"/>
      <c r="DG808" s="85"/>
      <c r="DH808" s="85"/>
      <c r="DI808" s="85"/>
      <c r="DJ808" s="85"/>
      <c r="DK808" s="85"/>
      <c r="DL808" s="85"/>
      <c r="DM808" s="85"/>
      <c r="DN808" s="85"/>
      <c r="DO808" s="85"/>
      <c r="DP808" s="85"/>
    </row>
    <row r="809">
      <c r="A809" s="91"/>
      <c r="B809" s="91"/>
      <c r="C809" s="91"/>
      <c r="D809" s="91"/>
      <c r="E809" s="78"/>
      <c r="F809" s="15"/>
      <c r="G809" s="15"/>
      <c r="H809" s="91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  <c r="BG809" s="15"/>
      <c r="BH809" s="15"/>
      <c r="BI809" s="15"/>
      <c r="BJ809" s="15"/>
      <c r="BK809" s="15"/>
      <c r="BL809" s="15"/>
      <c r="BM809" s="15"/>
      <c r="BN809" s="92"/>
      <c r="BO809" s="92"/>
      <c r="BP809" s="92"/>
      <c r="BQ809" s="92"/>
      <c r="BR809" s="92"/>
      <c r="BS809" s="92"/>
      <c r="BT809" s="92"/>
      <c r="BU809" s="92"/>
      <c r="BV809" s="92"/>
      <c r="BW809" s="92"/>
      <c r="BX809" s="92"/>
      <c r="BY809" s="92"/>
      <c r="BZ809" s="92"/>
      <c r="CA809" s="92"/>
      <c r="CB809" s="92"/>
      <c r="CC809" s="92"/>
      <c r="CD809" s="92"/>
      <c r="CE809" s="92"/>
      <c r="CF809" s="92"/>
      <c r="CG809" s="92"/>
      <c r="CH809" s="92"/>
      <c r="CI809" s="92"/>
      <c r="CJ809" s="92"/>
      <c r="CK809" s="92"/>
      <c r="CL809" s="92"/>
      <c r="CM809" s="92"/>
      <c r="CN809" s="92"/>
      <c r="CO809" s="92"/>
      <c r="CP809" s="92"/>
      <c r="CQ809" s="92"/>
      <c r="CR809" s="92"/>
      <c r="CS809" s="92"/>
      <c r="CT809" s="92"/>
      <c r="CU809" s="92"/>
      <c r="CV809" s="92"/>
      <c r="CW809" s="92"/>
      <c r="CX809" s="85"/>
      <c r="CY809" s="85"/>
      <c r="CZ809" s="85"/>
      <c r="DA809" s="85"/>
      <c r="DB809" s="85"/>
      <c r="DC809" s="85"/>
      <c r="DD809" s="85"/>
      <c r="DE809" s="85"/>
      <c r="DF809" s="85"/>
      <c r="DG809" s="85"/>
      <c r="DH809" s="85"/>
      <c r="DI809" s="85"/>
      <c r="DJ809" s="85"/>
      <c r="DK809" s="85"/>
      <c r="DL809" s="85"/>
      <c r="DM809" s="85"/>
      <c r="DN809" s="85"/>
      <c r="DO809" s="85"/>
      <c r="DP809" s="85"/>
    </row>
    <row r="810">
      <c r="A810" s="91"/>
      <c r="B810" s="91"/>
      <c r="C810" s="91"/>
      <c r="D810" s="91"/>
      <c r="E810" s="78"/>
      <c r="F810" s="15"/>
      <c r="G810" s="15"/>
      <c r="H810" s="91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  <c r="BD810" s="15"/>
      <c r="BE810" s="15"/>
      <c r="BF810" s="15"/>
      <c r="BG810" s="15"/>
      <c r="BH810" s="15"/>
      <c r="BI810" s="15"/>
      <c r="BJ810" s="15"/>
      <c r="BK810" s="15"/>
      <c r="BL810" s="15"/>
      <c r="BM810" s="15"/>
      <c r="BN810" s="92"/>
      <c r="BO810" s="92"/>
      <c r="BP810" s="92"/>
      <c r="BQ810" s="92"/>
      <c r="BR810" s="92"/>
      <c r="BS810" s="92"/>
      <c r="BT810" s="92"/>
      <c r="BU810" s="92"/>
      <c r="BV810" s="92"/>
      <c r="BW810" s="92"/>
      <c r="BX810" s="92"/>
      <c r="BY810" s="92"/>
      <c r="BZ810" s="92"/>
      <c r="CA810" s="92"/>
      <c r="CB810" s="92"/>
      <c r="CC810" s="92"/>
      <c r="CD810" s="92"/>
      <c r="CE810" s="92"/>
      <c r="CF810" s="92"/>
      <c r="CG810" s="92"/>
      <c r="CH810" s="92"/>
      <c r="CI810" s="92"/>
      <c r="CJ810" s="92"/>
      <c r="CK810" s="92"/>
      <c r="CL810" s="92"/>
      <c r="CM810" s="92"/>
      <c r="CN810" s="92"/>
      <c r="CO810" s="92"/>
      <c r="CP810" s="92"/>
      <c r="CQ810" s="92"/>
      <c r="CR810" s="92"/>
      <c r="CS810" s="92"/>
      <c r="CT810" s="92"/>
      <c r="CU810" s="92"/>
      <c r="CV810" s="92"/>
      <c r="CW810" s="92"/>
      <c r="CX810" s="85"/>
      <c r="CY810" s="85"/>
      <c r="CZ810" s="85"/>
      <c r="DA810" s="85"/>
      <c r="DB810" s="85"/>
      <c r="DC810" s="85"/>
      <c r="DD810" s="85"/>
      <c r="DE810" s="85"/>
      <c r="DF810" s="85"/>
      <c r="DG810" s="85"/>
      <c r="DH810" s="85"/>
      <c r="DI810" s="85"/>
      <c r="DJ810" s="85"/>
      <c r="DK810" s="85"/>
      <c r="DL810" s="85"/>
      <c r="DM810" s="85"/>
      <c r="DN810" s="85"/>
      <c r="DO810" s="85"/>
      <c r="DP810" s="85"/>
    </row>
    <row r="811">
      <c r="A811" s="91"/>
      <c r="B811" s="91"/>
      <c r="C811" s="91"/>
      <c r="D811" s="91"/>
      <c r="E811" s="78"/>
      <c r="F811" s="15"/>
      <c r="G811" s="15"/>
      <c r="H811" s="91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  <c r="BE811" s="15"/>
      <c r="BF811" s="15"/>
      <c r="BG811" s="15"/>
      <c r="BH811" s="15"/>
      <c r="BI811" s="15"/>
      <c r="BJ811" s="15"/>
      <c r="BK811" s="15"/>
      <c r="BL811" s="15"/>
      <c r="BM811" s="15"/>
      <c r="BN811" s="92"/>
      <c r="BO811" s="92"/>
      <c r="BP811" s="92"/>
      <c r="BQ811" s="92"/>
      <c r="BR811" s="92"/>
      <c r="BS811" s="92"/>
      <c r="BT811" s="92"/>
      <c r="BU811" s="92"/>
      <c r="BV811" s="92"/>
      <c r="BW811" s="92"/>
      <c r="BX811" s="92"/>
      <c r="BY811" s="92"/>
      <c r="BZ811" s="92"/>
      <c r="CA811" s="92"/>
      <c r="CB811" s="92"/>
      <c r="CC811" s="92"/>
      <c r="CD811" s="92"/>
      <c r="CE811" s="92"/>
      <c r="CF811" s="92"/>
      <c r="CG811" s="92"/>
      <c r="CH811" s="92"/>
      <c r="CI811" s="92"/>
      <c r="CJ811" s="92"/>
      <c r="CK811" s="92"/>
      <c r="CL811" s="92"/>
      <c r="CM811" s="92"/>
      <c r="CN811" s="92"/>
      <c r="CO811" s="92"/>
      <c r="CP811" s="92"/>
      <c r="CQ811" s="92"/>
      <c r="CR811" s="92"/>
      <c r="CS811" s="92"/>
      <c r="CT811" s="92"/>
      <c r="CU811" s="92"/>
      <c r="CV811" s="92"/>
      <c r="CW811" s="92"/>
      <c r="CX811" s="85"/>
      <c r="CY811" s="85"/>
      <c r="CZ811" s="85"/>
      <c r="DA811" s="85"/>
      <c r="DB811" s="85"/>
      <c r="DC811" s="85"/>
      <c r="DD811" s="85"/>
      <c r="DE811" s="85"/>
      <c r="DF811" s="85"/>
      <c r="DG811" s="85"/>
      <c r="DH811" s="85"/>
      <c r="DI811" s="85"/>
      <c r="DJ811" s="85"/>
      <c r="DK811" s="85"/>
      <c r="DL811" s="85"/>
      <c r="DM811" s="85"/>
      <c r="DN811" s="85"/>
      <c r="DO811" s="85"/>
      <c r="DP811" s="85"/>
    </row>
    <row r="812">
      <c r="A812" s="91"/>
      <c r="B812" s="91"/>
      <c r="C812" s="91"/>
      <c r="D812" s="91"/>
      <c r="E812" s="78"/>
      <c r="F812" s="15"/>
      <c r="G812" s="15"/>
      <c r="H812" s="91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  <c r="BD812" s="15"/>
      <c r="BE812" s="15"/>
      <c r="BF812" s="15"/>
      <c r="BG812" s="15"/>
      <c r="BH812" s="15"/>
      <c r="BI812" s="15"/>
      <c r="BJ812" s="15"/>
      <c r="BK812" s="15"/>
      <c r="BL812" s="15"/>
      <c r="BM812" s="15"/>
      <c r="BN812" s="92"/>
      <c r="BO812" s="92"/>
      <c r="BP812" s="92"/>
      <c r="BQ812" s="92"/>
      <c r="BR812" s="92"/>
      <c r="BS812" s="92"/>
      <c r="BT812" s="92"/>
      <c r="BU812" s="92"/>
      <c r="BV812" s="92"/>
      <c r="BW812" s="92"/>
      <c r="BX812" s="92"/>
      <c r="BY812" s="92"/>
      <c r="BZ812" s="92"/>
      <c r="CA812" s="92"/>
      <c r="CB812" s="92"/>
      <c r="CC812" s="92"/>
      <c r="CD812" s="92"/>
      <c r="CE812" s="92"/>
      <c r="CF812" s="92"/>
      <c r="CG812" s="92"/>
      <c r="CH812" s="92"/>
      <c r="CI812" s="92"/>
      <c r="CJ812" s="92"/>
      <c r="CK812" s="92"/>
      <c r="CL812" s="92"/>
      <c r="CM812" s="92"/>
      <c r="CN812" s="92"/>
      <c r="CO812" s="92"/>
      <c r="CP812" s="92"/>
      <c r="CQ812" s="92"/>
      <c r="CR812" s="92"/>
      <c r="CS812" s="92"/>
      <c r="CT812" s="92"/>
      <c r="CU812" s="92"/>
      <c r="CV812" s="92"/>
      <c r="CW812" s="92"/>
      <c r="CX812" s="85"/>
      <c r="CY812" s="85"/>
      <c r="CZ812" s="85"/>
      <c r="DA812" s="85"/>
      <c r="DB812" s="85"/>
      <c r="DC812" s="85"/>
      <c r="DD812" s="85"/>
      <c r="DE812" s="85"/>
      <c r="DF812" s="85"/>
      <c r="DG812" s="85"/>
      <c r="DH812" s="85"/>
      <c r="DI812" s="85"/>
      <c r="DJ812" s="85"/>
      <c r="DK812" s="85"/>
      <c r="DL812" s="85"/>
      <c r="DM812" s="85"/>
      <c r="DN812" s="85"/>
      <c r="DO812" s="85"/>
      <c r="DP812" s="85"/>
    </row>
    <row r="813">
      <c r="A813" s="91"/>
      <c r="B813" s="91"/>
      <c r="C813" s="91"/>
      <c r="D813" s="91"/>
      <c r="E813" s="78"/>
      <c r="F813" s="15"/>
      <c r="G813" s="15"/>
      <c r="H813" s="91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5"/>
      <c r="BF813" s="15"/>
      <c r="BG813" s="15"/>
      <c r="BH813" s="15"/>
      <c r="BI813" s="15"/>
      <c r="BJ813" s="15"/>
      <c r="BK813" s="15"/>
      <c r="BL813" s="15"/>
      <c r="BM813" s="15"/>
      <c r="BN813" s="92"/>
      <c r="BO813" s="92"/>
      <c r="BP813" s="92"/>
      <c r="BQ813" s="92"/>
      <c r="BR813" s="92"/>
      <c r="BS813" s="92"/>
      <c r="BT813" s="92"/>
      <c r="BU813" s="92"/>
      <c r="BV813" s="92"/>
      <c r="BW813" s="92"/>
      <c r="BX813" s="92"/>
      <c r="BY813" s="92"/>
      <c r="BZ813" s="92"/>
      <c r="CA813" s="92"/>
      <c r="CB813" s="92"/>
      <c r="CC813" s="92"/>
      <c r="CD813" s="92"/>
      <c r="CE813" s="92"/>
      <c r="CF813" s="92"/>
      <c r="CG813" s="92"/>
      <c r="CH813" s="92"/>
      <c r="CI813" s="92"/>
      <c r="CJ813" s="92"/>
      <c r="CK813" s="92"/>
      <c r="CL813" s="92"/>
      <c r="CM813" s="92"/>
      <c r="CN813" s="92"/>
      <c r="CO813" s="92"/>
      <c r="CP813" s="92"/>
      <c r="CQ813" s="92"/>
      <c r="CR813" s="92"/>
      <c r="CS813" s="92"/>
      <c r="CT813" s="92"/>
      <c r="CU813" s="92"/>
      <c r="CV813" s="92"/>
      <c r="CW813" s="92"/>
      <c r="CX813" s="85"/>
      <c r="CY813" s="85"/>
      <c r="CZ813" s="85"/>
      <c r="DA813" s="85"/>
      <c r="DB813" s="85"/>
      <c r="DC813" s="85"/>
      <c r="DD813" s="85"/>
      <c r="DE813" s="85"/>
      <c r="DF813" s="85"/>
      <c r="DG813" s="85"/>
      <c r="DH813" s="85"/>
      <c r="DI813" s="85"/>
      <c r="DJ813" s="85"/>
      <c r="DK813" s="85"/>
      <c r="DL813" s="85"/>
      <c r="DM813" s="85"/>
      <c r="DN813" s="85"/>
      <c r="DO813" s="85"/>
      <c r="DP813" s="85"/>
    </row>
    <row r="814">
      <c r="A814" s="91"/>
      <c r="B814" s="91"/>
      <c r="C814" s="91"/>
      <c r="D814" s="91"/>
      <c r="E814" s="78"/>
      <c r="F814" s="15"/>
      <c r="G814" s="15"/>
      <c r="H814" s="91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  <c r="BD814" s="15"/>
      <c r="BE814" s="15"/>
      <c r="BF814" s="15"/>
      <c r="BG814" s="15"/>
      <c r="BH814" s="15"/>
      <c r="BI814" s="15"/>
      <c r="BJ814" s="15"/>
      <c r="BK814" s="15"/>
      <c r="BL814" s="15"/>
      <c r="BM814" s="15"/>
      <c r="BN814" s="92"/>
      <c r="BO814" s="92"/>
      <c r="BP814" s="92"/>
      <c r="BQ814" s="92"/>
      <c r="BR814" s="92"/>
      <c r="BS814" s="92"/>
      <c r="BT814" s="92"/>
      <c r="BU814" s="92"/>
      <c r="BV814" s="92"/>
      <c r="BW814" s="92"/>
      <c r="BX814" s="92"/>
      <c r="BY814" s="92"/>
      <c r="BZ814" s="92"/>
      <c r="CA814" s="92"/>
      <c r="CB814" s="92"/>
      <c r="CC814" s="92"/>
      <c r="CD814" s="92"/>
      <c r="CE814" s="92"/>
      <c r="CF814" s="92"/>
      <c r="CG814" s="92"/>
      <c r="CH814" s="92"/>
      <c r="CI814" s="92"/>
      <c r="CJ814" s="92"/>
      <c r="CK814" s="92"/>
      <c r="CL814" s="92"/>
      <c r="CM814" s="92"/>
      <c r="CN814" s="92"/>
      <c r="CO814" s="92"/>
      <c r="CP814" s="92"/>
      <c r="CQ814" s="92"/>
      <c r="CR814" s="92"/>
      <c r="CS814" s="92"/>
      <c r="CT814" s="92"/>
      <c r="CU814" s="92"/>
      <c r="CV814" s="92"/>
      <c r="CW814" s="92"/>
      <c r="CX814" s="85"/>
      <c r="CY814" s="85"/>
      <c r="CZ814" s="85"/>
      <c r="DA814" s="85"/>
      <c r="DB814" s="85"/>
      <c r="DC814" s="85"/>
      <c r="DD814" s="85"/>
      <c r="DE814" s="85"/>
      <c r="DF814" s="85"/>
      <c r="DG814" s="85"/>
      <c r="DH814" s="85"/>
      <c r="DI814" s="85"/>
      <c r="DJ814" s="85"/>
      <c r="DK814" s="85"/>
      <c r="DL814" s="85"/>
      <c r="DM814" s="85"/>
      <c r="DN814" s="85"/>
      <c r="DO814" s="85"/>
      <c r="DP814" s="85"/>
    </row>
    <row r="815">
      <c r="A815" s="91"/>
      <c r="B815" s="91"/>
      <c r="C815" s="91"/>
      <c r="D815" s="91"/>
      <c r="E815" s="78"/>
      <c r="F815" s="15"/>
      <c r="G815" s="15"/>
      <c r="H815" s="91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  <c r="BG815" s="15"/>
      <c r="BH815" s="15"/>
      <c r="BI815" s="15"/>
      <c r="BJ815" s="15"/>
      <c r="BK815" s="15"/>
      <c r="BL815" s="15"/>
      <c r="BM815" s="15"/>
      <c r="BN815" s="92"/>
      <c r="BO815" s="92"/>
      <c r="BP815" s="92"/>
      <c r="BQ815" s="92"/>
      <c r="BR815" s="92"/>
      <c r="BS815" s="92"/>
      <c r="BT815" s="92"/>
      <c r="BU815" s="92"/>
      <c r="BV815" s="92"/>
      <c r="BW815" s="92"/>
      <c r="BX815" s="92"/>
      <c r="BY815" s="92"/>
      <c r="BZ815" s="92"/>
      <c r="CA815" s="92"/>
      <c r="CB815" s="92"/>
      <c r="CC815" s="92"/>
      <c r="CD815" s="92"/>
      <c r="CE815" s="92"/>
      <c r="CF815" s="92"/>
      <c r="CG815" s="92"/>
      <c r="CH815" s="92"/>
      <c r="CI815" s="92"/>
      <c r="CJ815" s="92"/>
      <c r="CK815" s="92"/>
      <c r="CL815" s="92"/>
      <c r="CM815" s="92"/>
      <c r="CN815" s="92"/>
      <c r="CO815" s="92"/>
      <c r="CP815" s="92"/>
      <c r="CQ815" s="92"/>
      <c r="CR815" s="92"/>
      <c r="CS815" s="92"/>
      <c r="CT815" s="92"/>
      <c r="CU815" s="92"/>
      <c r="CV815" s="92"/>
      <c r="CW815" s="92"/>
      <c r="CX815" s="85"/>
      <c r="CY815" s="85"/>
      <c r="CZ815" s="85"/>
      <c r="DA815" s="85"/>
      <c r="DB815" s="85"/>
      <c r="DC815" s="85"/>
      <c r="DD815" s="85"/>
      <c r="DE815" s="85"/>
      <c r="DF815" s="85"/>
      <c r="DG815" s="85"/>
      <c r="DH815" s="85"/>
      <c r="DI815" s="85"/>
      <c r="DJ815" s="85"/>
      <c r="DK815" s="85"/>
      <c r="DL815" s="85"/>
      <c r="DM815" s="85"/>
      <c r="DN815" s="85"/>
      <c r="DO815" s="85"/>
      <c r="DP815" s="85"/>
    </row>
    <row r="816">
      <c r="A816" s="91"/>
      <c r="B816" s="91"/>
      <c r="C816" s="91"/>
      <c r="D816" s="91"/>
      <c r="E816" s="78"/>
      <c r="F816" s="15"/>
      <c r="G816" s="15"/>
      <c r="H816" s="91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  <c r="BD816" s="15"/>
      <c r="BE816" s="15"/>
      <c r="BF816" s="15"/>
      <c r="BG816" s="15"/>
      <c r="BH816" s="15"/>
      <c r="BI816" s="15"/>
      <c r="BJ816" s="15"/>
      <c r="BK816" s="15"/>
      <c r="BL816" s="15"/>
      <c r="BM816" s="15"/>
      <c r="BN816" s="92"/>
      <c r="BO816" s="92"/>
      <c r="BP816" s="92"/>
      <c r="BQ816" s="92"/>
      <c r="BR816" s="92"/>
      <c r="BS816" s="92"/>
      <c r="BT816" s="92"/>
      <c r="BU816" s="92"/>
      <c r="BV816" s="92"/>
      <c r="BW816" s="92"/>
      <c r="BX816" s="92"/>
      <c r="BY816" s="92"/>
      <c r="BZ816" s="92"/>
      <c r="CA816" s="92"/>
      <c r="CB816" s="92"/>
      <c r="CC816" s="92"/>
      <c r="CD816" s="92"/>
      <c r="CE816" s="92"/>
      <c r="CF816" s="92"/>
      <c r="CG816" s="92"/>
      <c r="CH816" s="92"/>
      <c r="CI816" s="92"/>
      <c r="CJ816" s="92"/>
      <c r="CK816" s="92"/>
      <c r="CL816" s="92"/>
      <c r="CM816" s="92"/>
      <c r="CN816" s="92"/>
      <c r="CO816" s="92"/>
      <c r="CP816" s="92"/>
      <c r="CQ816" s="92"/>
      <c r="CR816" s="92"/>
      <c r="CS816" s="92"/>
      <c r="CT816" s="92"/>
      <c r="CU816" s="92"/>
      <c r="CV816" s="92"/>
      <c r="CW816" s="92"/>
      <c r="CX816" s="85"/>
      <c r="CY816" s="85"/>
      <c r="CZ816" s="85"/>
      <c r="DA816" s="85"/>
      <c r="DB816" s="85"/>
      <c r="DC816" s="85"/>
      <c r="DD816" s="85"/>
      <c r="DE816" s="85"/>
      <c r="DF816" s="85"/>
      <c r="DG816" s="85"/>
      <c r="DH816" s="85"/>
      <c r="DI816" s="85"/>
      <c r="DJ816" s="85"/>
      <c r="DK816" s="85"/>
      <c r="DL816" s="85"/>
      <c r="DM816" s="85"/>
      <c r="DN816" s="85"/>
      <c r="DO816" s="85"/>
      <c r="DP816" s="85"/>
    </row>
    <row r="817">
      <c r="A817" s="91"/>
      <c r="B817" s="91"/>
      <c r="C817" s="91"/>
      <c r="D817" s="91"/>
      <c r="E817" s="78"/>
      <c r="F817" s="15"/>
      <c r="G817" s="15"/>
      <c r="H817" s="91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  <c r="BE817" s="15"/>
      <c r="BF817" s="15"/>
      <c r="BG817" s="15"/>
      <c r="BH817" s="15"/>
      <c r="BI817" s="15"/>
      <c r="BJ817" s="15"/>
      <c r="BK817" s="15"/>
      <c r="BL817" s="15"/>
      <c r="BM817" s="15"/>
      <c r="BN817" s="92"/>
      <c r="BO817" s="92"/>
      <c r="BP817" s="92"/>
      <c r="BQ817" s="92"/>
      <c r="BR817" s="92"/>
      <c r="BS817" s="92"/>
      <c r="BT817" s="92"/>
      <c r="BU817" s="92"/>
      <c r="BV817" s="92"/>
      <c r="BW817" s="92"/>
      <c r="BX817" s="92"/>
      <c r="BY817" s="92"/>
      <c r="BZ817" s="92"/>
      <c r="CA817" s="92"/>
      <c r="CB817" s="92"/>
      <c r="CC817" s="92"/>
      <c r="CD817" s="92"/>
      <c r="CE817" s="92"/>
      <c r="CF817" s="92"/>
      <c r="CG817" s="92"/>
      <c r="CH817" s="92"/>
      <c r="CI817" s="92"/>
      <c r="CJ817" s="92"/>
      <c r="CK817" s="92"/>
      <c r="CL817" s="92"/>
      <c r="CM817" s="92"/>
      <c r="CN817" s="92"/>
      <c r="CO817" s="92"/>
      <c r="CP817" s="92"/>
      <c r="CQ817" s="92"/>
      <c r="CR817" s="92"/>
      <c r="CS817" s="92"/>
      <c r="CT817" s="92"/>
      <c r="CU817" s="92"/>
      <c r="CV817" s="92"/>
      <c r="CW817" s="92"/>
      <c r="CX817" s="85"/>
      <c r="CY817" s="85"/>
      <c r="CZ817" s="85"/>
      <c r="DA817" s="85"/>
      <c r="DB817" s="85"/>
      <c r="DC817" s="85"/>
      <c r="DD817" s="85"/>
      <c r="DE817" s="85"/>
      <c r="DF817" s="85"/>
      <c r="DG817" s="85"/>
      <c r="DH817" s="85"/>
      <c r="DI817" s="85"/>
      <c r="DJ817" s="85"/>
      <c r="DK817" s="85"/>
      <c r="DL817" s="85"/>
      <c r="DM817" s="85"/>
      <c r="DN817" s="85"/>
      <c r="DO817" s="85"/>
      <c r="DP817" s="85"/>
    </row>
    <row r="818">
      <c r="A818" s="91"/>
      <c r="B818" s="91"/>
      <c r="C818" s="91"/>
      <c r="D818" s="91"/>
      <c r="E818" s="78"/>
      <c r="F818" s="15"/>
      <c r="G818" s="15"/>
      <c r="H818" s="91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  <c r="BC818" s="15"/>
      <c r="BD818" s="15"/>
      <c r="BE818" s="15"/>
      <c r="BF818" s="15"/>
      <c r="BG818" s="15"/>
      <c r="BH818" s="15"/>
      <c r="BI818" s="15"/>
      <c r="BJ818" s="15"/>
      <c r="BK818" s="15"/>
      <c r="BL818" s="15"/>
      <c r="BM818" s="15"/>
      <c r="BN818" s="92"/>
      <c r="BO818" s="92"/>
      <c r="BP818" s="92"/>
      <c r="BQ818" s="92"/>
      <c r="BR818" s="92"/>
      <c r="BS818" s="92"/>
      <c r="BT818" s="92"/>
      <c r="BU818" s="92"/>
      <c r="BV818" s="92"/>
      <c r="BW818" s="92"/>
      <c r="BX818" s="92"/>
      <c r="BY818" s="92"/>
      <c r="BZ818" s="92"/>
      <c r="CA818" s="92"/>
      <c r="CB818" s="92"/>
      <c r="CC818" s="92"/>
      <c r="CD818" s="92"/>
      <c r="CE818" s="92"/>
      <c r="CF818" s="92"/>
      <c r="CG818" s="92"/>
      <c r="CH818" s="92"/>
      <c r="CI818" s="92"/>
      <c r="CJ818" s="92"/>
      <c r="CK818" s="92"/>
      <c r="CL818" s="92"/>
      <c r="CM818" s="92"/>
      <c r="CN818" s="92"/>
      <c r="CO818" s="92"/>
      <c r="CP818" s="92"/>
      <c r="CQ818" s="92"/>
      <c r="CR818" s="92"/>
      <c r="CS818" s="92"/>
      <c r="CT818" s="92"/>
      <c r="CU818" s="92"/>
      <c r="CV818" s="92"/>
      <c r="CW818" s="92"/>
      <c r="CX818" s="85"/>
      <c r="CY818" s="85"/>
      <c r="CZ818" s="85"/>
      <c r="DA818" s="85"/>
      <c r="DB818" s="85"/>
      <c r="DC818" s="85"/>
      <c r="DD818" s="85"/>
      <c r="DE818" s="85"/>
      <c r="DF818" s="85"/>
      <c r="DG818" s="85"/>
      <c r="DH818" s="85"/>
      <c r="DI818" s="85"/>
      <c r="DJ818" s="85"/>
      <c r="DK818" s="85"/>
      <c r="DL818" s="85"/>
      <c r="DM818" s="85"/>
      <c r="DN818" s="85"/>
      <c r="DO818" s="85"/>
      <c r="DP818" s="85"/>
    </row>
    <row r="819">
      <c r="A819" s="91"/>
      <c r="B819" s="91"/>
      <c r="C819" s="91"/>
      <c r="D819" s="91"/>
      <c r="E819" s="78"/>
      <c r="F819" s="15"/>
      <c r="G819" s="15"/>
      <c r="H819" s="91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5"/>
      <c r="BG819" s="15"/>
      <c r="BH819" s="15"/>
      <c r="BI819" s="15"/>
      <c r="BJ819" s="15"/>
      <c r="BK819" s="15"/>
      <c r="BL819" s="15"/>
      <c r="BM819" s="15"/>
      <c r="BN819" s="92"/>
      <c r="BO819" s="92"/>
      <c r="BP819" s="92"/>
      <c r="BQ819" s="92"/>
      <c r="BR819" s="92"/>
      <c r="BS819" s="92"/>
      <c r="BT819" s="92"/>
      <c r="BU819" s="92"/>
      <c r="BV819" s="92"/>
      <c r="BW819" s="92"/>
      <c r="BX819" s="92"/>
      <c r="BY819" s="92"/>
      <c r="BZ819" s="92"/>
      <c r="CA819" s="92"/>
      <c r="CB819" s="92"/>
      <c r="CC819" s="92"/>
      <c r="CD819" s="92"/>
      <c r="CE819" s="92"/>
      <c r="CF819" s="92"/>
      <c r="CG819" s="92"/>
      <c r="CH819" s="92"/>
      <c r="CI819" s="92"/>
      <c r="CJ819" s="92"/>
      <c r="CK819" s="92"/>
      <c r="CL819" s="92"/>
      <c r="CM819" s="92"/>
      <c r="CN819" s="92"/>
      <c r="CO819" s="92"/>
      <c r="CP819" s="92"/>
      <c r="CQ819" s="92"/>
      <c r="CR819" s="92"/>
      <c r="CS819" s="92"/>
      <c r="CT819" s="92"/>
      <c r="CU819" s="92"/>
      <c r="CV819" s="92"/>
      <c r="CW819" s="92"/>
      <c r="CX819" s="85"/>
      <c r="CY819" s="85"/>
      <c r="CZ819" s="85"/>
      <c r="DA819" s="85"/>
      <c r="DB819" s="85"/>
      <c r="DC819" s="85"/>
      <c r="DD819" s="85"/>
      <c r="DE819" s="85"/>
      <c r="DF819" s="85"/>
      <c r="DG819" s="85"/>
      <c r="DH819" s="85"/>
      <c r="DI819" s="85"/>
      <c r="DJ819" s="85"/>
      <c r="DK819" s="85"/>
      <c r="DL819" s="85"/>
      <c r="DM819" s="85"/>
      <c r="DN819" s="85"/>
      <c r="DO819" s="85"/>
      <c r="DP819" s="85"/>
    </row>
    <row r="820">
      <c r="A820" s="91"/>
      <c r="B820" s="91"/>
      <c r="C820" s="91"/>
      <c r="D820" s="91"/>
      <c r="E820" s="78"/>
      <c r="F820" s="15"/>
      <c r="G820" s="15"/>
      <c r="H820" s="91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  <c r="BC820" s="15"/>
      <c r="BD820" s="15"/>
      <c r="BE820" s="15"/>
      <c r="BF820" s="15"/>
      <c r="BG820" s="15"/>
      <c r="BH820" s="15"/>
      <c r="BI820" s="15"/>
      <c r="BJ820" s="15"/>
      <c r="BK820" s="15"/>
      <c r="BL820" s="15"/>
      <c r="BM820" s="15"/>
      <c r="BN820" s="92"/>
      <c r="BO820" s="92"/>
      <c r="BP820" s="92"/>
      <c r="BQ820" s="92"/>
      <c r="BR820" s="92"/>
      <c r="BS820" s="92"/>
      <c r="BT820" s="92"/>
      <c r="BU820" s="92"/>
      <c r="BV820" s="92"/>
      <c r="BW820" s="92"/>
      <c r="BX820" s="92"/>
      <c r="BY820" s="92"/>
      <c r="BZ820" s="92"/>
      <c r="CA820" s="92"/>
      <c r="CB820" s="92"/>
      <c r="CC820" s="92"/>
      <c r="CD820" s="92"/>
      <c r="CE820" s="92"/>
      <c r="CF820" s="92"/>
      <c r="CG820" s="92"/>
      <c r="CH820" s="92"/>
      <c r="CI820" s="92"/>
      <c r="CJ820" s="92"/>
      <c r="CK820" s="92"/>
      <c r="CL820" s="92"/>
      <c r="CM820" s="92"/>
      <c r="CN820" s="92"/>
      <c r="CO820" s="92"/>
      <c r="CP820" s="92"/>
      <c r="CQ820" s="92"/>
      <c r="CR820" s="92"/>
      <c r="CS820" s="92"/>
      <c r="CT820" s="92"/>
      <c r="CU820" s="92"/>
      <c r="CV820" s="92"/>
      <c r="CW820" s="92"/>
      <c r="CX820" s="85"/>
      <c r="CY820" s="85"/>
      <c r="CZ820" s="85"/>
      <c r="DA820" s="85"/>
      <c r="DB820" s="85"/>
      <c r="DC820" s="85"/>
      <c r="DD820" s="85"/>
      <c r="DE820" s="85"/>
      <c r="DF820" s="85"/>
      <c r="DG820" s="85"/>
      <c r="DH820" s="85"/>
      <c r="DI820" s="85"/>
      <c r="DJ820" s="85"/>
      <c r="DK820" s="85"/>
      <c r="DL820" s="85"/>
      <c r="DM820" s="85"/>
      <c r="DN820" s="85"/>
      <c r="DO820" s="85"/>
      <c r="DP820" s="85"/>
    </row>
    <row r="821">
      <c r="A821" s="91"/>
      <c r="B821" s="91"/>
      <c r="C821" s="91"/>
      <c r="D821" s="91"/>
      <c r="E821" s="78"/>
      <c r="F821" s="15"/>
      <c r="G821" s="15"/>
      <c r="H821" s="91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  <c r="BE821" s="15"/>
      <c r="BF821" s="15"/>
      <c r="BG821" s="15"/>
      <c r="BH821" s="15"/>
      <c r="BI821" s="15"/>
      <c r="BJ821" s="15"/>
      <c r="BK821" s="15"/>
      <c r="BL821" s="15"/>
      <c r="BM821" s="15"/>
      <c r="BN821" s="92"/>
      <c r="BO821" s="92"/>
      <c r="BP821" s="92"/>
      <c r="BQ821" s="92"/>
      <c r="BR821" s="92"/>
      <c r="BS821" s="92"/>
      <c r="BT821" s="92"/>
      <c r="BU821" s="92"/>
      <c r="BV821" s="92"/>
      <c r="BW821" s="92"/>
      <c r="BX821" s="92"/>
      <c r="BY821" s="92"/>
      <c r="BZ821" s="92"/>
      <c r="CA821" s="92"/>
      <c r="CB821" s="92"/>
      <c r="CC821" s="92"/>
      <c r="CD821" s="92"/>
      <c r="CE821" s="92"/>
      <c r="CF821" s="92"/>
      <c r="CG821" s="92"/>
      <c r="CH821" s="92"/>
      <c r="CI821" s="92"/>
      <c r="CJ821" s="92"/>
      <c r="CK821" s="92"/>
      <c r="CL821" s="92"/>
      <c r="CM821" s="92"/>
      <c r="CN821" s="92"/>
      <c r="CO821" s="92"/>
      <c r="CP821" s="92"/>
      <c r="CQ821" s="92"/>
      <c r="CR821" s="92"/>
      <c r="CS821" s="92"/>
      <c r="CT821" s="92"/>
      <c r="CU821" s="92"/>
      <c r="CV821" s="92"/>
      <c r="CW821" s="92"/>
      <c r="CX821" s="85"/>
      <c r="CY821" s="85"/>
      <c r="CZ821" s="85"/>
      <c r="DA821" s="85"/>
      <c r="DB821" s="85"/>
      <c r="DC821" s="85"/>
      <c r="DD821" s="85"/>
      <c r="DE821" s="85"/>
      <c r="DF821" s="85"/>
      <c r="DG821" s="85"/>
      <c r="DH821" s="85"/>
      <c r="DI821" s="85"/>
      <c r="DJ821" s="85"/>
      <c r="DK821" s="85"/>
      <c r="DL821" s="85"/>
      <c r="DM821" s="85"/>
      <c r="DN821" s="85"/>
      <c r="DO821" s="85"/>
      <c r="DP821" s="85"/>
    </row>
    <row r="822">
      <c r="A822" s="91"/>
      <c r="B822" s="91"/>
      <c r="C822" s="91"/>
      <c r="D822" s="91"/>
      <c r="E822" s="78"/>
      <c r="F822" s="15"/>
      <c r="G822" s="15"/>
      <c r="H822" s="91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  <c r="BD822" s="15"/>
      <c r="BE822" s="15"/>
      <c r="BF822" s="15"/>
      <c r="BG822" s="15"/>
      <c r="BH822" s="15"/>
      <c r="BI822" s="15"/>
      <c r="BJ822" s="15"/>
      <c r="BK822" s="15"/>
      <c r="BL822" s="15"/>
      <c r="BM822" s="15"/>
      <c r="BN822" s="92"/>
      <c r="BO822" s="92"/>
      <c r="BP822" s="92"/>
      <c r="BQ822" s="92"/>
      <c r="BR822" s="92"/>
      <c r="BS822" s="92"/>
      <c r="BT822" s="92"/>
      <c r="BU822" s="92"/>
      <c r="BV822" s="92"/>
      <c r="BW822" s="92"/>
      <c r="BX822" s="92"/>
      <c r="BY822" s="92"/>
      <c r="BZ822" s="92"/>
      <c r="CA822" s="92"/>
      <c r="CB822" s="92"/>
      <c r="CC822" s="92"/>
      <c r="CD822" s="92"/>
      <c r="CE822" s="92"/>
      <c r="CF822" s="92"/>
      <c r="CG822" s="92"/>
      <c r="CH822" s="92"/>
      <c r="CI822" s="92"/>
      <c r="CJ822" s="92"/>
      <c r="CK822" s="92"/>
      <c r="CL822" s="92"/>
      <c r="CM822" s="92"/>
      <c r="CN822" s="92"/>
      <c r="CO822" s="92"/>
      <c r="CP822" s="92"/>
      <c r="CQ822" s="92"/>
      <c r="CR822" s="92"/>
      <c r="CS822" s="92"/>
      <c r="CT822" s="92"/>
      <c r="CU822" s="92"/>
      <c r="CV822" s="92"/>
      <c r="CW822" s="92"/>
      <c r="CX822" s="85"/>
      <c r="CY822" s="85"/>
      <c r="CZ822" s="85"/>
      <c r="DA822" s="85"/>
      <c r="DB822" s="85"/>
      <c r="DC822" s="85"/>
      <c r="DD822" s="85"/>
      <c r="DE822" s="85"/>
      <c r="DF822" s="85"/>
      <c r="DG822" s="85"/>
      <c r="DH822" s="85"/>
      <c r="DI822" s="85"/>
      <c r="DJ822" s="85"/>
      <c r="DK822" s="85"/>
      <c r="DL822" s="85"/>
      <c r="DM822" s="85"/>
      <c r="DN822" s="85"/>
      <c r="DO822" s="85"/>
      <c r="DP822" s="85"/>
    </row>
    <row r="823">
      <c r="A823" s="91"/>
      <c r="B823" s="91"/>
      <c r="C823" s="91"/>
      <c r="D823" s="91"/>
      <c r="E823" s="78"/>
      <c r="F823" s="15"/>
      <c r="G823" s="15"/>
      <c r="H823" s="91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  <c r="BE823" s="15"/>
      <c r="BF823" s="15"/>
      <c r="BG823" s="15"/>
      <c r="BH823" s="15"/>
      <c r="BI823" s="15"/>
      <c r="BJ823" s="15"/>
      <c r="BK823" s="15"/>
      <c r="BL823" s="15"/>
      <c r="BM823" s="15"/>
      <c r="BN823" s="92"/>
      <c r="BO823" s="92"/>
      <c r="BP823" s="92"/>
      <c r="BQ823" s="92"/>
      <c r="BR823" s="92"/>
      <c r="BS823" s="92"/>
      <c r="BT823" s="92"/>
      <c r="BU823" s="92"/>
      <c r="BV823" s="92"/>
      <c r="BW823" s="92"/>
      <c r="BX823" s="92"/>
      <c r="BY823" s="92"/>
      <c r="BZ823" s="92"/>
      <c r="CA823" s="92"/>
      <c r="CB823" s="92"/>
      <c r="CC823" s="92"/>
      <c r="CD823" s="92"/>
      <c r="CE823" s="92"/>
      <c r="CF823" s="92"/>
      <c r="CG823" s="92"/>
      <c r="CH823" s="92"/>
      <c r="CI823" s="92"/>
      <c r="CJ823" s="92"/>
      <c r="CK823" s="92"/>
      <c r="CL823" s="92"/>
      <c r="CM823" s="92"/>
      <c r="CN823" s="92"/>
      <c r="CO823" s="92"/>
      <c r="CP823" s="92"/>
      <c r="CQ823" s="92"/>
      <c r="CR823" s="92"/>
      <c r="CS823" s="92"/>
      <c r="CT823" s="92"/>
      <c r="CU823" s="92"/>
      <c r="CV823" s="92"/>
      <c r="CW823" s="92"/>
      <c r="CX823" s="85"/>
      <c r="CY823" s="85"/>
      <c r="CZ823" s="85"/>
      <c r="DA823" s="85"/>
      <c r="DB823" s="85"/>
      <c r="DC823" s="85"/>
      <c r="DD823" s="85"/>
      <c r="DE823" s="85"/>
      <c r="DF823" s="85"/>
      <c r="DG823" s="85"/>
      <c r="DH823" s="85"/>
      <c r="DI823" s="85"/>
      <c r="DJ823" s="85"/>
      <c r="DK823" s="85"/>
      <c r="DL823" s="85"/>
      <c r="DM823" s="85"/>
      <c r="DN823" s="85"/>
      <c r="DO823" s="85"/>
      <c r="DP823" s="85"/>
    </row>
    <row r="824">
      <c r="A824" s="91"/>
      <c r="B824" s="91"/>
      <c r="C824" s="91"/>
      <c r="D824" s="91"/>
      <c r="E824" s="78"/>
      <c r="F824" s="15"/>
      <c r="G824" s="15"/>
      <c r="H824" s="91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  <c r="BC824" s="15"/>
      <c r="BD824" s="15"/>
      <c r="BE824" s="15"/>
      <c r="BF824" s="15"/>
      <c r="BG824" s="15"/>
      <c r="BH824" s="15"/>
      <c r="BI824" s="15"/>
      <c r="BJ824" s="15"/>
      <c r="BK824" s="15"/>
      <c r="BL824" s="15"/>
      <c r="BM824" s="15"/>
      <c r="BN824" s="92"/>
      <c r="BO824" s="92"/>
      <c r="BP824" s="92"/>
      <c r="BQ824" s="92"/>
      <c r="BR824" s="92"/>
      <c r="BS824" s="92"/>
      <c r="BT824" s="92"/>
      <c r="BU824" s="92"/>
      <c r="BV824" s="92"/>
      <c r="BW824" s="92"/>
      <c r="BX824" s="92"/>
      <c r="BY824" s="92"/>
      <c r="BZ824" s="92"/>
      <c r="CA824" s="92"/>
      <c r="CB824" s="92"/>
      <c r="CC824" s="92"/>
      <c r="CD824" s="92"/>
      <c r="CE824" s="92"/>
      <c r="CF824" s="92"/>
      <c r="CG824" s="92"/>
      <c r="CH824" s="92"/>
      <c r="CI824" s="92"/>
      <c r="CJ824" s="92"/>
      <c r="CK824" s="92"/>
      <c r="CL824" s="92"/>
      <c r="CM824" s="92"/>
      <c r="CN824" s="92"/>
      <c r="CO824" s="92"/>
      <c r="CP824" s="92"/>
      <c r="CQ824" s="92"/>
      <c r="CR824" s="92"/>
      <c r="CS824" s="92"/>
      <c r="CT824" s="92"/>
      <c r="CU824" s="92"/>
      <c r="CV824" s="92"/>
      <c r="CW824" s="92"/>
      <c r="CX824" s="85"/>
      <c r="CY824" s="85"/>
      <c r="CZ824" s="85"/>
      <c r="DA824" s="85"/>
      <c r="DB824" s="85"/>
      <c r="DC824" s="85"/>
      <c r="DD824" s="85"/>
      <c r="DE824" s="85"/>
      <c r="DF824" s="85"/>
      <c r="DG824" s="85"/>
      <c r="DH824" s="85"/>
      <c r="DI824" s="85"/>
      <c r="DJ824" s="85"/>
      <c r="DK824" s="85"/>
      <c r="DL824" s="85"/>
      <c r="DM824" s="85"/>
      <c r="DN824" s="85"/>
      <c r="DO824" s="85"/>
      <c r="DP824" s="85"/>
    </row>
    <row r="825">
      <c r="A825" s="91"/>
      <c r="B825" s="91"/>
      <c r="C825" s="91"/>
      <c r="D825" s="91"/>
      <c r="E825" s="78"/>
      <c r="F825" s="15"/>
      <c r="G825" s="15"/>
      <c r="H825" s="91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5"/>
      <c r="BG825" s="15"/>
      <c r="BH825" s="15"/>
      <c r="BI825" s="15"/>
      <c r="BJ825" s="15"/>
      <c r="BK825" s="15"/>
      <c r="BL825" s="15"/>
      <c r="BM825" s="15"/>
      <c r="BN825" s="92"/>
      <c r="BO825" s="92"/>
      <c r="BP825" s="92"/>
      <c r="BQ825" s="92"/>
      <c r="BR825" s="92"/>
      <c r="BS825" s="92"/>
      <c r="BT825" s="92"/>
      <c r="BU825" s="92"/>
      <c r="BV825" s="92"/>
      <c r="BW825" s="92"/>
      <c r="BX825" s="92"/>
      <c r="BY825" s="92"/>
      <c r="BZ825" s="92"/>
      <c r="CA825" s="92"/>
      <c r="CB825" s="92"/>
      <c r="CC825" s="92"/>
      <c r="CD825" s="92"/>
      <c r="CE825" s="92"/>
      <c r="CF825" s="92"/>
      <c r="CG825" s="92"/>
      <c r="CH825" s="92"/>
      <c r="CI825" s="92"/>
      <c r="CJ825" s="92"/>
      <c r="CK825" s="92"/>
      <c r="CL825" s="92"/>
      <c r="CM825" s="92"/>
      <c r="CN825" s="92"/>
      <c r="CO825" s="92"/>
      <c r="CP825" s="92"/>
      <c r="CQ825" s="92"/>
      <c r="CR825" s="92"/>
      <c r="CS825" s="92"/>
      <c r="CT825" s="92"/>
      <c r="CU825" s="92"/>
      <c r="CV825" s="92"/>
      <c r="CW825" s="92"/>
      <c r="CX825" s="85"/>
      <c r="CY825" s="85"/>
      <c r="CZ825" s="85"/>
      <c r="DA825" s="85"/>
      <c r="DB825" s="85"/>
      <c r="DC825" s="85"/>
      <c r="DD825" s="85"/>
      <c r="DE825" s="85"/>
      <c r="DF825" s="85"/>
      <c r="DG825" s="85"/>
      <c r="DH825" s="85"/>
      <c r="DI825" s="85"/>
      <c r="DJ825" s="85"/>
      <c r="DK825" s="85"/>
      <c r="DL825" s="85"/>
      <c r="DM825" s="85"/>
      <c r="DN825" s="85"/>
      <c r="DO825" s="85"/>
      <c r="DP825" s="85"/>
    </row>
    <row r="826">
      <c r="A826" s="91"/>
      <c r="B826" s="91"/>
      <c r="C826" s="91"/>
      <c r="D826" s="91"/>
      <c r="E826" s="78"/>
      <c r="F826" s="15"/>
      <c r="G826" s="15"/>
      <c r="H826" s="91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  <c r="BC826" s="15"/>
      <c r="BD826" s="15"/>
      <c r="BE826" s="15"/>
      <c r="BF826" s="15"/>
      <c r="BG826" s="15"/>
      <c r="BH826" s="15"/>
      <c r="BI826" s="15"/>
      <c r="BJ826" s="15"/>
      <c r="BK826" s="15"/>
      <c r="BL826" s="15"/>
      <c r="BM826" s="15"/>
      <c r="BN826" s="92"/>
      <c r="BO826" s="92"/>
      <c r="BP826" s="92"/>
      <c r="BQ826" s="92"/>
      <c r="BR826" s="92"/>
      <c r="BS826" s="92"/>
      <c r="BT826" s="92"/>
      <c r="BU826" s="92"/>
      <c r="BV826" s="92"/>
      <c r="BW826" s="92"/>
      <c r="BX826" s="92"/>
      <c r="BY826" s="92"/>
      <c r="BZ826" s="92"/>
      <c r="CA826" s="92"/>
      <c r="CB826" s="92"/>
      <c r="CC826" s="92"/>
      <c r="CD826" s="92"/>
      <c r="CE826" s="92"/>
      <c r="CF826" s="92"/>
      <c r="CG826" s="92"/>
      <c r="CH826" s="92"/>
      <c r="CI826" s="92"/>
      <c r="CJ826" s="92"/>
      <c r="CK826" s="92"/>
      <c r="CL826" s="92"/>
      <c r="CM826" s="92"/>
      <c r="CN826" s="92"/>
      <c r="CO826" s="92"/>
      <c r="CP826" s="92"/>
      <c r="CQ826" s="92"/>
      <c r="CR826" s="92"/>
      <c r="CS826" s="92"/>
      <c r="CT826" s="92"/>
      <c r="CU826" s="92"/>
      <c r="CV826" s="92"/>
      <c r="CW826" s="92"/>
      <c r="CX826" s="85"/>
      <c r="CY826" s="85"/>
      <c r="CZ826" s="85"/>
      <c r="DA826" s="85"/>
      <c r="DB826" s="85"/>
      <c r="DC826" s="85"/>
      <c r="DD826" s="85"/>
      <c r="DE826" s="85"/>
      <c r="DF826" s="85"/>
      <c r="DG826" s="85"/>
      <c r="DH826" s="85"/>
      <c r="DI826" s="85"/>
      <c r="DJ826" s="85"/>
      <c r="DK826" s="85"/>
      <c r="DL826" s="85"/>
      <c r="DM826" s="85"/>
      <c r="DN826" s="85"/>
      <c r="DO826" s="85"/>
      <c r="DP826" s="85"/>
    </row>
    <row r="827">
      <c r="A827" s="91"/>
      <c r="B827" s="91"/>
      <c r="C827" s="91"/>
      <c r="D827" s="91"/>
      <c r="E827" s="78"/>
      <c r="F827" s="15"/>
      <c r="G827" s="15"/>
      <c r="H827" s="91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  <c r="BE827" s="15"/>
      <c r="BF827" s="15"/>
      <c r="BG827" s="15"/>
      <c r="BH827" s="15"/>
      <c r="BI827" s="15"/>
      <c r="BJ827" s="15"/>
      <c r="BK827" s="15"/>
      <c r="BL827" s="15"/>
      <c r="BM827" s="15"/>
      <c r="BN827" s="92"/>
      <c r="BO827" s="92"/>
      <c r="BP827" s="92"/>
      <c r="BQ827" s="92"/>
      <c r="BR827" s="92"/>
      <c r="BS827" s="92"/>
      <c r="BT827" s="92"/>
      <c r="BU827" s="92"/>
      <c r="BV827" s="92"/>
      <c r="BW827" s="92"/>
      <c r="BX827" s="92"/>
      <c r="BY827" s="92"/>
      <c r="BZ827" s="92"/>
      <c r="CA827" s="92"/>
      <c r="CB827" s="92"/>
      <c r="CC827" s="92"/>
      <c r="CD827" s="92"/>
      <c r="CE827" s="92"/>
      <c r="CF827" s="92"/>
      <c r="CG827" s="92"/>
      <c r="CH827" s="92"/>
      <c r="CI827" s="92"/>
      <c r="CJ827" s="92"/>
      <c r="CK827" s="92"/>
      <c r="CL827" s="92"/>
      <c r="CM827" s="92"/>
      <c r="CN827" s="92"/>
      <c r="CO827" s="92"/>
      <c r="CP827" s="92"/>
      <c r="CQ827" s="92"/>
      <c r="CR827" s="92"/>
      <c r="CS827" s="92"/>
      <c r="CT827" s="92"/>
      <c r="CU827" s="92"/>
      <c r="CV827" s="92"/>
      <c r="CW827" s="92"/>
      <c r="CX827" s="85"/>
      <c r="CY827" s="85"/>
      <c r="CZ827" s="85"/>
      <c r="DA827" s="85"/>
      <c r="DB827" s="85"/>
      <c r="DC827" s="85"/>
      <c r="DD827" s="85"/>
      <c r="DE827" s="85"/>
      <c r="DF827" s="85"/>
      <c r="DG827" s="85"/>
      <c r="DH827" s="85"/>
      <c r="DI827" s="85"/>
      <c r="DJ827" s="85"/>
      <c r="DK827" s="85"/>
      <c r="DL827" s="85"/>
      <c r="DM827" s="85"/>
      <c r="DN827" s="85"/>
      <c r="DO827" s="85"/>
      <c r="DP827" s="85"/>
    </row>
    <row r="828">
      <c r="A828" s="91"/>
      <c r="B828" s="91"/>
      <c r="C828" s="91"/>
      <c r="D828" s="91"/>
      <c r="E828" s="78"/>
      <c r="F828" s="15"/>
      <c r="G828" s="15"/>
      <c r="H828" s="91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  <c r="BC828" s="15"/>
      <c r="BD828" s="15"/>
      <c r="BE828" s="15"/>
      <c r="BF828" s="15"/>
      <c r="BG828" s="15"/>
      <c r="BH828" s="15"/>
      <c r="BI828" s="15"/>
      <c r="BJ828" s="15"/>
      <c r="BK828" s="15"/>
      <c r="BL828" s="15"/>
      <c r="BM828" s="15"/>
      <c r="BN828" s="92"/>
      <c r="BO828" s="92"/>
      <c r="BP828" s="92"/>
      <c r="BQ828" s="92"/>
      <c r="BR828" s="92"/>
      <c r="BS828" s="92"/>
      <c r="BT828" s="92"/>
      <c r="BU828" s="92"/>
      <c r="BV828" s="92"/>
      <c r="BW828" s="92"/>
      <c r="BX828" s="92"/>
      <c r="BY828" s="92"/>
      <c r="BZ828" s="92"/>
      <c r="CA828" s="92"/>
      <c r="CB828" s="92"/>
      <c r="CC828" s="92"/>
      <c r="CD828" s="92"/>
      <c r="CE828" s="92"/>
      <c r="CF828" s="92"/>
      <c r="CG828" s="92"/>
      <c r="CH828" s="92"/>
      <c r="CI828" s="92"/>
      <c r="CJ828" s="92"/>
      <c r="CK828" s="92"/>
      <c r="CL828" s="92"/>
      <c r="CM828" s="92"/>
      <c r="CN828" s="92"/>
      <c r="CO828" s="92"/>
      <c r="CP828" s="92"/>
      <c r="CQ828" s="92"/>
      <c r="CR828" s="92"/>
      <c r="CS828" s="92"/>
      <c r="CT828" s="92"/>
      <c r="CU828" s="92"/>
      <c r="CV828" s="92"/>
      <c r="CW828" s="92"/>
      <c r="CX828" s="85"/>
      <c r="CY828" s="85"/>
      <c r="CZ828" s="85"/>
      <c r="DA828" s="85"/>
      <c r="DB828" s="85"/>
      <c r="DC828" s="85"/>
      <c r="DD828" s="85"/>
      <c r="DE828" s="85"/>
      <c r="DF828" s="85"/>
      <c r="DG828" s="85"/>
      <c r="DH828" s="85"/>
      <c r="DI828" s="85"/>
      <c r="DJ828" s="85"/>
      <c r="DK828" s="85"/>
      <c r="DL828" s="85"/>
      <c r="DM828" s="85"/>
      <c r="DN828" s="85"/>
      <c r="DO828" s="85"/>
      <c r="DP828" s="85"/>
    </row>
    <row r="829">
      <c r="A829" s="91"/>
      <c r="B829" s="91"/>
      <c r="C829" s="91"/>
      <c r="D829" s="91"/>
      <c r="E829" s="78"/>
      <c r="F829" s="15"/>
      <c r="G829" s="15"/>
      <c r="H829" s="91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5"/>
      <c r="BG829" s="15"/>
      <c r="BH829" s="15"/>
      <c r="BI829" s="15"/>
      <c r="BJ829" s="15"/>
      <c r="BK829" s="15"/>
      <c r="BL829" s="15"/>
      <c r="BM829" s="15"/>
      <c r="BN829" s="92"/>
      <c r="BO829" s="92"/>
      <c r="BP829" s="92"/>
      <c r="BQ829" s="92"/>
      <c r="BR829" s="92"/>
      <c r="BS829" s="92"/>
      <c r="BT829" s="92"/>
      <c r="BU829" s="92"/>
      <c r="BV829" s="92"/>
      <c r="BW829" s="92"/>
      <c r="BX829" s="92"/>
      <c r="BY829" s="92"/>
      <c r="BZ829" s="92"/>
      <c r="CA829" s="92"/>
      <c r="CB829" s="92"/>
      <c r="CC829" s="92"/>
      <c r="CD829" s="92"/>
      <c r="CE829" s="92"/>
      <c r="CF829" s="92"/>
      <c r="CG829" s="92"/>
      <c r="CH829" s="92"/>
      <c r="CI829" s="92"/>
      <c r="CJ829" s="92"/>
      <c r="CK829" s="92"/>
      <c r="CL829" s="92"/>
      <c r="CM829" s="92"/>
      <c r="CN829" s="92"/>
      <c r="CO829" s="92"/>
      <c r="CP829" s="92"/>
      <c r="CQ829" s="92"/>
      <c r="CR829" s="92"/>
      <c r="CS829" s="92"/>
      <c r="CT829" s="92"/>
      <c r="CU829" s="92"/>
      <c r="CV829" s="92"/>
      <c r="CW829" s="92"/>
      <c r="CX829" s="85"/>
      <c r="CY829" s="85"/>
      <c r="CZ829" s="85"/>
      <c r="DA829" s="85"/>
      <c r="DB829" s="85"/>
      <c r="DC829" s="85"/>
      <c r="DD829" s="85"/>
      <c r="DE829" s="85"/>
      <c r="DF829" s="85"/>
      <c r="DG829" s="85"/>
      <c r="DH829" s="85"/>
      <c r="DI829" s="85"/>
      <c r="DJ829" s="85"/>
      <c r="DK829" s="85"/>
      <c r="DL829" s="85"/>
      <c r="DM829" s="85"/>
      <c r="DN829" s="85"/>
      <c r="DO829" s="85"/>
      <c r="DP829" s="85"/>
    </row>
    <row r="830">
      <c r="A830" s="91"/>
      <c r="B830" s="91"/>
      <c r="C830" s="91"/>
      <c r="D830" s="91"/>
      <c r="E830" s="78"/>
      <c r="F830" s="15"/>
      <c r="G830" s="15"/>
      <c r="H830" s="91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  <c r="BC830" s="15"/>
      <c r="BD830" s="15"/>
      <c r="BE830" s="15"/>
      <c r="BF830" s="15"/>
      <c r="BG830" s="15"/>
      <c r="BH830" s="15"/>
      <c r="BI830" s="15"/>
      <c r="BJ830" s="15"/>
      <c r="BK830" s="15"/>
      <c r="BL830" s="15"/>
      <c r="BM830" s="15"/>
      <c r="BN830" s="92"/>
      <c r="BO830" s="92"/>
      <c r="BP830" s="92"/>
      <c r="BQ830" s="92"/>
      <c r="BR830" s="92"/>
      <c r="BS830" s="92"/>
      <c r="BT830" s="92"/>
      <c r="BU830" s="92"/>
      <c r="BV830" s="92"/>
      <c r="BW830" s="92"/>
      <c r="BX830" s="92"/>
      <c r="BY830" s="92"/>
      <c r="BZ830" s="92"/>
      <c r="CA830" s="92"/>
      <c r="CB830" s="92"/>
      <c r="CC830" s="92"/>
      <c r="CD830" s="92"/>
      <c r="CE830" s="92"/>
      <c r="CF830" s="92"/>
      <c r="CG830" s="92"/>
      <c r="CH830" s="92"/>
      <c r="CI830" s="92"/>
      <c r="CJ830" s="92"/>
      <c r="CK830" s="92"/>
      <c r="CL830" s="92"/>
      <c r="CM830" s="92"/>
      <c r="CN830" s="92"/>
      <c r="CO830" s="92"/>
      <c r="CP830" s="92"/>
      <c r="CQ830" s="92"/>
      <c r="CR830" s="92"/>
      <c r="CS830" s="92"/>
      <c r="CT830" s="92"/>
      <c r="CU830" s="92"/>
      <c r="CV830" s="92"/>
      <c r="CW830" s="92"/>
      <c r="CX830" s="85"/>
      <c r="CY830" s="85"/>
      <c r="CZ830" s="85"/>
      <c r="DA830" s="85"/>
      <c r="DB830" s="85"/>
      <c r="DC830" s="85"/>
      <c r="DD830" s="85"/>
      <c r="DE830" s="85"/>
      <c r="DF830" s="85"/>
      <c r="DG830" s="85"/>
      <c r="DH830" s="85"/>
      <c r="DI830" s="85"/>
      <c r="DJ830" s="85"/>
      <c r="DK830" s="85"/>
      <c r="DL830" s="85"/>
      <c r="DM830" s="85"/>
      <c r="DN830" s="85"/>
      <c r="DO830" s="85"/>
      <c r="DP830" s="85"/>
    </row>
    <row r="831">
      <c r="A831" s="91"/>
      <c r="B831" s="91"/>
      <c r="C831" s="91"/>
      <c r="D831" s="91"/>
      <c r="E831" s="78"/>
      <c r="F831" s="15"/>
      <c r="G831" s="15"/>
      <c r="H831" s="91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5"/>
      <c r="BG831" s="15"/>
      <c r="BH831" s="15"/>
      <c r="BI831" s="15"/>
      <c r="BJ831" s="15"/>
      <c r="BK831" s="15"/>
      <c r="BL831" s="15"/>
      <c r="BM831" s="15"/>
      <c r="BN831" s="92"/>
      <c r="BO831" s="92"/>
      <c r="BP831" s="92"/>
      <c r="BQ831" s="92"/>
      <c r="BR831" s="92"/>
      <c r="BS831" s="92"/>
      <c r="BT831" s="92"/>
      <c r="BU831" s="92"/>
      <c r="BV831" s="92"/>
      <c r="BW831" s="92"/>
      <c r="BX831" s="92"/>
      <c r="BY831" s="92"/>
      <c r="BZ831" s="92"/>
      <c r="CA831" s="92"/>
      <c r="CB831" s="92"/>
      <c r="CC831" s="92"/>
      <c r="CD831" s="92"/>
      <c r="CE831" s="92"/>
      <c r="CF831" s="92"/>
      <c r="CG831" s="92"/>
      <c r="CH831" s="92"/>
      <c r="CI831" s="92"/>
      <c r="CJ831" s="92"/>
      <c r="CK831" s="92"/>
      <c r="CL831" s="92"/>
      <c r="CM831" s="92"/>
      <c r="CN831" s="92"/>
      <c r="CO831" s="92"/>
      <c r="CP831" s="92"/>
      <c r="CQ831" s="92"/>
      <c r="CR831" s="92"/>
      <c r="CS831" s="92"/>
      <c r="CT831" s="92"/>
      <c r="CU831" s="92"/>
      <c r="CV831" s="92"/>
      <c r="CW831" s="92"/>
      <c r="CX831" s="85"/>
      <c r="CY831" s="85"/>
      <c r="CZ831" s="85"/>
      <c r="DA831" s="85"/>
      <c r="DB831" s="85"/>
      <c r="DC831" s="85"/>
      <c r="DD831" s="85"/>
      <c r="DE831" s="85"/>
      <c r="DF831" s="85"/>
      <c r="DG831" s="85"/>
      <c r="DH831" s="85"/>
      <c r="DI831" s="85"/>
      <c r="DJ831" s="85"/>
      <c r="DK831" s="85"/>
      <c r="DL831" s="85"/>
      <c r="DM831" s="85"/>
      <c r="DN831" s="85"/>
      <c r="DO831" s="85"/>
      <c r="DP831" s="85"/>
    </row>
    <row r="832">
      <c r="A832" s="91"/>
      <c r="B832" s="91"/>
      <c r="C832" s="91"/>
      <c r="D832" s="91"/>
      <c r="E832" s="78"/>
      <c r="F832" s="15"/>
      <c r="G832" s="15"/>
      <c r="H832" s="91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  <c r="BD832" s="15"/>
      <c r="BE832" s="15"/>
      <c r="BF832" s="15"/>
      <c r="BG832" s="15"/>
      <c r="BH832" s="15"/>
      <c r="BI832" s="15"/>
      <c r="BJ832" s="15"/>
      <c r="BK832" s="15"/>
      <c r="BL832" s="15"/>
      <c r="BM832" s="15"/>
      <c r="BN832" s="92"/>
      <c r="BO832" s="92"/>
      <c r="BP832" s="92"/>
      <c r="BQ832" s="92"/>
      <c r="BR832" s="92"/>
      <c r="BS832" s="92"/>
      <c r="BT832" s="92"/>
      <c r="BU832" s="92"/>
      <c r="BV832" s="92"/>
      <c r="BW832" s="92"/>
      <c r="BX832" s="92"/>
      <c r="BY832" s="92"/>
      <c r="BZ832" s="92"/>
      <c r="CA832" s="92"/>
      <c r="CB832" s="92"/>
      <c r="CC832" s="92"/>
      <c r="CD832" s="92"/>
      <c r="CE832" s="92"/>
      <c r="CF832" s="92"/>
      <c r="CG832" s="92"/>
      <c r="CH832" s="92"/>
      <c r="CI832" s="92"/>
      <c r="CJ832" s="92"/>
      <c r="CK832" s="92"/>
      <c r="CL832" s="92"/>
      <c r="CM832" s="92"/>
      <c r="CN832" s="92"/>
      <c r="CO832" s="92"/>
      <c r="CP832" s="92"/>
      <c r="CQ832" s="92"/>
      <c r="CR832" s="92"/>
      <c r="CS832" s="92"/>
      <c r="CT832" s="92"/>
      <c r="CU832" s="92"/>
      <c r="CV832" s="92"/>
      <c r="CW832" s="92"/>
      <c r="CX832" s="85"/>
      <c r="CY832" s="85"/>
      <c r="CZ832" s="85"/>
      <c r="DA832" s="85"/>
      <c r="DB832" s="85"/>
      <c r="DC832" s="85"/>
      <c r="DD832" s="85"/>
      <c r="DE832" s="85"/>
      <c r="DF832" s="85"/>
      <c r="DG832" s="85"/>
      <c r="DH832" s="85"/>
      <c r="DI832" s="85"/>
      <c r="DJ832" s="85"/>
      <c r="DK832" s="85"/>
      <c r="DL832" s="85"/>
      <c r="DM832" s="85"/>
      <c r="DN832" s="85"/>
      <c r="DO832" s="85"/>
      <c r="DP832" s="85"/>
    </row>
    <row r="833">
      <c r="A833" s="91"/>
      <c r="B833" s="91"/>
      <c r="C833" s="91"/>
      <c r="D833" s="91"/>
      <c r="E833" s="78"/>
      <c r="F833" s="15"/>
      <c r="G833" s="15"/>
      <c r="H833" s="91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5"/>
      <c r="BG833" s="15"/>
      <c r="BH833" s="15"/>
      <c r="BI833" s="15"/>
      <c r="BJ833" s="15"/>
      <c r="BK833" s="15"/>
      <c r="BL833" s="15"/>
      <c r="BM833" s="15"/>
      <c r="BN833" s="92"/>
      <c r="BO833" s="92"/>
      <c r="BP833" s="92"/>
      <c r="BQ833" s="92"/>
      <c r="BR833" s="92"/>
      <c r="BS833" s="92"/>
      <c r="BT833" s="92"/>
      <c r="BU833" s="92"/>
      <c r="BV833" s="92"/>
      <c r="BW833" s="92"/>
      <c r="BX833" s="92"/>
      <c r="BY833" s="92"/>
      <c r="BZ833" s="92"/>
      <c r="CA833" s="92"/>
      <c r="CB833" s="92"/>
      <c r="CC833" s="92"/>
      <c r="CD833" s="92"/>
      <c r="CE833" s="92"/>
      <c r="CF833" s="92"/>
      <c r="CG833" s="92"/>
      <c r="CH833" s="92"/>
      <c r="CI833" s="92"/>
      <c r="CJ833" s="92"/>
      <c r="CK833" s="92"/>
      <c r="CL833" s="92"/>
      <c r="CM833" s="92"/>
      <c r="CN833" s="92"/>
      <c r="CO833" s="92"/>
      <c r="CP833" s="92"/>
      <c r="CQ833" s="92"/>
      <c r="CR833" s="92"/>
      <c r="CS833" s="92"/>
      <c r="CT833" s="92"/>
      <c r="CU833" s="92"/>
      <c r="CV833" s="92"/>
      <c r="CW833" s="92"/>
      <c r="CX833" s="85"/>
      <c r="CY833" s="85"/>
      <c r="CZ833" s="85"/>
      <c r="DA833" s="85"/>
      <c r="DB833" s="85"/>
      <c r="DC833" s="85"/>
      <c r="DD833" s="85"/>
      <c r="DE833" s="85"/>
      <c r="DF833" s="85"/>
      <c r="DG833" s="85"/>
      <c r="DH833" s="85"/>
      <c r="DI833" s="85"/>
      <c r="DJ833" s="85"/>
      <c r="DK833" s="85"/>
      <c r="DL833" s="85"/>
      <c r="DM833" s="85"/>
      <c r="DN833" s="85"/>
      <c r="DO833" s="85"/>
      <c r="DP833" s="85"/>
    </row>
    <row r="834">
      <c r="A834" s="91"/>
      <c r="B834" s="91"/>
      <c r="C834" s="91"/>
      <c r="D834" s="91"/>
      <c r="E834" s="78"/>
      <c r="F834" s="15"/>
      <c r="G834" s="15"/>
      <c r="H834" s="91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  <c r="BC834" s="15"/>
      <c r="BD834" s="15"/>
      <c r="BE834" s="15"/>
      <c r="BF834" s="15"/>
      <c r="BG834" s="15"/>
      <c r="BH834" s="15"/>
      <c r="BI834" s="15"/>
      <c r="BJ834" s="15"/>
      <c r="BK834" s="15"/>
      <c r="BL834" s="15"/>
      <c r="BM834" s="15"/>
      <c r="BN834" s="92"/>
      <c r="BO834" s="92"/>
      <c r="BP834" s="92"/>
      <c r="BQ834" s="92"/>
      <c r="BR834" s="92"/>
      <c r="BS834" s="92"/>
      <c r="BT834" s="92"/>
      <c r="BU834" s="92"/>
      <c r="BV834" s="92"/>
      <c r="BW834" s="92"/>
      <c r="BX834" s="92"/>
      <c r="BY834" s="92"/>
      <c r="BZ834" s="92"/>
      <c r="CA834" s="92"/>
      <c r="CB834" s="92"/>
      <c r="CC834" s="92"/>
      <c r="CD834" s="92"/>
      <c r="CE834" s="92"/>
      <c r="CF834" s="92"/>
      <c r="CG834" s="92"/>
      <c r="CH834" s="92"/>
      <c r="CI834" s="92"/>
      <c r="CJ834" s="92"/>
      <c r="CK834" s="92"/>
      <c r="CL834" s="92"/>
      <c r="CM834" s="92"/>
      <c r="CN834" s="92"/>
      <c r="CO834" s="92"/>
      <c r="CP834" s="92"/>
      <c r="CQ834" s="92"/>
      <c r="CR834" s="92"/>
      <c r="CS834" s="92"/>
      <c r="CT834" s="92"/>
      <c r="CU834" s="92"/>
      <c r="CV834" s="92"/>
      <c r="CW834" s="92"/>
      <c r="CX834" s="85"/>
      <c r="CY834" s="85"/>
      <c r="CZ834" s="85"/>
      <c r="DA834" s="85"/>
      <c r="DB834" s="85"/>
      <c r="DC834" s="85"/>
      <c r="DD834" s="85"/>
      <c r="DE834" s="85"/>
      <c r="DF834" s="85"/>
      <c r="DG834" s="85"/>
      <c r="DH834" s="85"/>
      <c r="DI834" s="85"/>
      <c r="DJ834" s="85"/>
      <c r="DK834" s="85"/>
      <c r="DL834" s="85"/>
      <c r="DM834" s="85"/>
      <c r="DN834" s="85"/>
      <c r="DO834" s="85"/>
      <c r="DP834" s="85"/>
    </row>
    <row r="835">
      <c r="A835" s="91"/>
      <c r="B835" s="91"/>
      <c r="C835" s="91"/>
      <c r="D835" s="91"/>
      <c r="E835" s="78"/>
      <c r="F835" s="15"/>
      <c r="G835" s="15"/>
      <c r="H835" s="91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5"/>
      <c r="BG835" s="15"/>
      <c r="BH835" s="15"/>
      <c r="BI835" s="15"/>
      <c r="BJ835" s="15"/>
      <c r="BK835" s="15"/>
      <c r="BL835" s="15"/>
      <c r="BM835" s="15"/>
      <c r="BN835" s="92"/>
      <c r="BO835" s="92"/>
      <c r="BP835" s="92"/>
      <c r="BQ835" s="92"/>
      <c r="BR835" s="92"/>
      <c r="BS835" s="92"/>
      <c r="BT835" s="92"/>
      <c r="BU835" s="92"/>
      <c r="BV835" s="92"/>
      <c r="BW835" s="92"/>
      <c r="BX835" s="92"/>
      <c r="BY835" s="92"/>
      <c r="BZ835" s="92"/>
      <c r="CA835" s="92"/>
      <c r="CB835" s="92"/>
      <c r="CC835" s="92"/>
      <c r="CD835" s="92"/>
      <c r="CE835" s="92"/>
      <c r="CF835" s="92"/>
      <c r="CG835" s="92"/>
      <c r="CH835" s="92"/>
      <c r="CI835" s="92"/>
      <c r="CJ835" s="92"/>
      <c r="CK835" s="92"/>
      <c r="CL835" s="92"/>
      <c r="CM835" s="92"/>
      <c r="CN835" s="92"/>
      <c r="CO835" s="92"/>
      <c r="CP835" s="92"/>
      <c r="CQ835" s="92"/>
      <c r="CR835" s="92"/>
      <c r="CS835" s="92"/>
      <c r="CT835" s="92"/>
      <c r="CU835" s="92"/>
      <c r="CV835" s="92"/>
      <c r="CW835" s="92"/>
      <c r="CX835" s="85"/>
      <c r="CY835" s="85"/>
      <c r="CZ835" s="85"/>
      <c r="DA835" s="85"/>
      <c r="DB835" s="85"/>
      <c r="DC835" s="85"/>
      <c r="DD835" s="85"/>
      <c r="DE835" s="85"/>
      <c r="DF835" s="85"/>
      <c r="DG835" s="85"/>
      <c r="DH835" s="85"/>
      <c r="DI835" s="85"/>
      <c r="DJ835" s="85"/>
      <c r="DK835" s="85"/>
      <c r="DL835" s="85"/>
      <c r="DM835" s="85"/>
      <c r="DN835" s="85"/>
      <c r="DO835" s="85"/>
      <c r="DP835" s="85"/>
    </row>
    <row r="836">
      <c r="A836" s="91"/>
      <c r="B836" s="91"/>
      <c r="C836" s="91"/>
      <c r="D836" s="91"/>
      <c r="E836" s="78"/>
      <c r="F836" s="15"/>
      <c r="G836" s="15"/>
      <c r="H836" s="91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  <c r="BC836" s="15"/>
      <c r="BD836" s="15"/>
      <c r="BE836" s="15"/>
      <c r="BF836" s="15"/>
      <c r="BG836" s="15"/>
      <c r="BH836" s="15"/>
      <c r="BI836" s="15"/>
      <c r="BJ836" s="15"/>
      <c r="BK836" s="15"/>
      <c r="BL836" s="15"/>
      <c r="BM836" s="15"/>
      <c r="BN836" s="92"/>
      <c r="BO836" s="92"/>
      <c r="BP836" s="92"/>
      <c r="BQ836" s="92"/>
      <c r="BR836" s="92"/>
      <c r="BS836" s="92"/>
      <c r="BT836" s="92"/>
      <c r="BU836" s="92"/>
      <c r="BV836" s="92"/>
      <c r="BW836" s="92"/>
      <c r="BX836" s="92"/>
      <c r="BY836" s="92"/>
      <c r="BZ836" s="92"/>
      <c r="CA836" s="92"/>
      <c r="CB836" s="92"/>
      <c r="CC836" s="92"/>
      <c r="CD836" s="92"/>
      <c r="CE836" s="92"/>
      <c r="CF836" s="92"/>
      <c r="CG836" s="92"/>
      <c r="CH836" s="92"/>
      <c r="CI836" s="92"/>
      <c r="CJ836" s="92"/>
      <c r="CK836" s="92"/>
      <c r="CL836" s="92"/>
      <c r="CM836" s="92"/>
      <c r="CN836" s="92"/>
      <c r="CO836" s="92"/>
      <c r="CP836" s="92"/>
      <c r="CQ836" s="92"/>
      <c r="CR836" s="92"/>
      <c r="CS836" s="92"/>
      <c r="CT836" s="92"/>
      <c r="CU836" s="92"/>
      <c r="CV836" s="92"/>
      <c r="CW836" s="92"/>
      <c r="CX836" s="85"/>
      <c r="CY836" s="85"/>
      <c r="CZ836" s="85"/>
      <c r="DA836" s="85"/>
      <c r="DB836" s="85"/>
      <c r="DC836" s="85"/>
      <c r="DD836" s="85"/>
      <c r="DE836" s="85"/>
      <c r="DF836" s="85"/>
      <c r="DG836" s="85"/>
      <c r="DH836" s="85"/>
      <c r="DI836" s="85"/>
      <c r="DJ836" s="85"/>
      <c r="DK836" s="85"/>
      <c r="DL836" s="85"/>
      <c r="DM836" s="85"/>
      <c r="DN836" s="85"/>
      <c r="DO836" s="85"/>
      <c r="DP836" s="85"/>
    </row>
    <row r="837">
      <c r="A837" s="91"/>
      <c r="B837" s="91"/>
      <c r="C837" s="91"/>
      <c r="D837" s="91"/>
      <c r="E837" s="78"/>
      <c r="F837" s="15"/>
      <c r="G837" s="15"/>
      <c r="H837" s="91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  <c r="BE837" s="15"/>
      <c r="BF837" s="15"/>
      <c r="BG837" s="15"/>
      <c r="BH837" s="15"/>
      <c r="BI837" s="15"/>
      <c r="BJ837" s="15"/>
      <c r="BK837" s="15"/>
      <c r="BL837" s="15"/>
      <c r="BM837" s="15"/>
      <c r="BN837" s="92"/>
      <c r="BO837" s="92"/>
      <c r="BP837" s="92"/>
      <c r="BQ837" s="92"/>
      <c r="BR837" s="92"/>
      <c r="BS837" s="92"/>
      <c r="BT837" s="92"/>
      <c r="BU837" s="92"/>
      <c r="BV837" s="92"/>
      <c r="BW837" s="92"/>
      <c r="BX837" s="92"/>
      <c r="BY837" s="92"/>
      <c r="BZ837" s="92"/>
      <c r="CA837" s="92"/>
      <c r="CB837" s="92"/>
      <c r="CC837" s="92"/>
      <c r="CD837" s="92"/>
      <c r="CE837" s="92"/>
      <c r="CF837" s="92"/>
      <c r="CG837" s="92"/>
      <c r="CH837" s="92"/>
      <c r="CI837" s="92"/>
      <c r="CJ837" s="92"/>
      <c r="CK837" s="92"/>
      <c r="CL837" s="92"/>
      <c r="CM837" s="92"/>
      <c r="CN837" s="92"/>
      <c r="CO837" s="92"/>
      <c r="CP837" s="92"/>
      <c r="CQ837" s="92"/>
      <c r="CR837" s="92"/>
      <c r="CS837" s="92"/>
      <c r="CT837" s="92"/>
      <c r="CU837" s="92"/>
      <c r="CV837" s="92"/>
      <c r="CW837" s="92"/>
      <c r="CX837" s="85"/>
      <c r="CY837" s="85"/>
      <c r="CZ837" s="85"/>
      <c r="DA837" s="85"/>
      <c r="DB837" s="85"/>
      <c r="DC837" s="85"/>
      <c r="DD837" s="85"/>
      <c r="DE837" s="85"/>
      <c r="DF837" s="85"/>
      <c r="DG837" s="85"/>
      <c r="DH837" s="85"/>
      <c r="DI837" s="85"/>
      <c r="DJ837" s="85"/>
      <c r="DK837" s="85"/>
      <c r="DL837" s="85"/>
      <c r="DM837" s="85"/>
      <c r="DN837" s="85"/>
      <c r="DO837" s="85"/>
      <c r="DP837" s="85"/>
    </row>
    <row r="838">
      <c r="A838" s="91"/>
      <c r="B838" s="91"/>
      <c r="C838" s="91"/>
      <c r="D838" s="91"/>
      <c r="E838" s="78"/>
      <c r="F838" s="15"/>
      <c r="G838" s="15"/>
      <c r="H838" s="91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  <c r="BD838" s="15"/>
      <c r="BE838" s="15"/>
      <c r="BF838" s="15"/>
      <c r="BG838" s="15"/>
      <c r="BH838" s="15"/>
      <c r="BI838" s="15"/>
      <c r="BJ838" s="15"/>
      <c r="BK838" s="15"/>
      <c r="BL838" s="15"/>
      <c r="BM838" s="15"/>
      <c r="BN838" s="92"/>
      <c r="BO838" s="92"/>
      <c r="BP838" s="92"/>
      <c r="BQ838" s="92"/>
      <c r="BR838" s="92"/>
      <c r="BS838" s="92"/>
      <c r="BT838" s="92"/>
      <c r="BU838" s="92"/>
      <c r="BV838" s="92"/>
      <c r="BW838" s="92"/>
      <c r="BX838" s="92"/>
      <c r="BY838" s="92"/>
      <c r="BZ838" s="92"/>
      <c r="CA838" s="92"/>
      <c r="CB838" s="92"/>
      <c r="CC838" s="92"/>
      <c r="CD838" s="92"/>
      <c r="CE838" s="92"/>
      <c r="CF838" s="92"/>
      <c r="CG838" s="92"/>
      <c r="CH838" s="92"/>
      <c r="CI838" s="92"/>
      <c r="CJ838" s="92"/>
      <c r="CK838" s="92"/>
      <c r="CL838" s="92"/>
      <c r="CM838" s="92"/>
      <c r="CN838" s="92"/>
      <c r="CO838" s="92"/>
      <c r="CP838" s="92"/>
      <c r="CQ838" s="92"/>
      <c r="CR838" s="92"/>
      <c r="CS838" s="92"/>
      <c r="CT838" s="92"/>
      <c r="CU838" s="92"/>
      <c r="CV838" s="92"/>
      <c r="CW838" s="92"/>
      <c r="CX838" s="85"/>
      <c r="CY838" s="85"/>
      <c r="CZ838" s="85"/>
      <c r="DA838" s="85"/>
      <c r="DB838" s="85"/>
      <c r="DC838" s="85"/>
      <c r="DD838" s="85"/>
      <c r="DE838" s="85"/>
      <c r="DF838" s="85"/>
      <c r="DG838" s="85"/>
      <c r="DH838" s="85"/>
      <c r="DI838" s="85"/>
      <c r="DJ838" s="85"/>
      <c r="DK838" s="85"/>
      <c r="DL838" s="85"/>
      <c r="DM838" s="85"/>
      <c r="DN838" s="85"/>
      <c r="DO838" s="85"/>
      <c r="DP838" s="85"/>
    </row>
    <row r="839">
      <c r="A839" s="91"/>
      <c r="B839" s="91"/>
      <c r="C839" s="91"/>
      <c r="D839" s="91"/>
      <c r="E839" s="78"/>
      <c r="F839" s="15"/>
      <c r="G839" s="15"/>
      <c r="H839" s="91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5"/>
      <c r="BG839" s="15"/>
      <c r="BH839" s="15"/>
      <c r="BI839" s="15"/>
      <c r="BJ839" s="15"/>
      <c r="BK839" s="15"/>
      <c r="BL839" s="15"/>
      <c r="BM839" s="15"/>
      <c r="BN839" s="92"/>
      <c r="BO839" s="92"/>
      <c r="BP839" s="92"/>
      <c r="BQ839" s="92"/>
      <c r="BR839" s="92"/>
      <c r="BS839" s="92"/>
      <c r="BT839" s="92"/>
      <c r="BU839" s="92"/>
      <c r="BV839" s="92"/>
      <c r="BW839" s="92"/>
      <c r="BX839" s="92"/>
      <c r="BY839" s="92"/>
      <c r="BZ839" s="92"/>
      <c r="CA839" s="92"/>
      <c r="CB839" s="92"/>
      <c r="CC839" s="92"/>
      <c r="CD839" s="92"/>
      <c r="CE839" s="92"/>
      <c r="CF839" s="92"/>
      <c r="CG839" s="92"/>
      <c r="CH839" s="92"/>
      <c r="CI839" s="92"/>
      <c r="CJ839" s="92"/>
      <c r="CK839" s="92"/>
      <c r="CL839" s="92"/>
      <c r="CM839" s="92"/>
      <c r="CN839" s="92"/>
      <c r="CO839" s="92"/>
      <c r="CP839" s="92"/>
      <c r="CQ839" s="92"/>
      <c r="CR839" s="92"/>
      <c r="CS839" s="92"/>
      <c r="CT839" s="92"/>
      <c r="CU839" s="92"/>
      <c r="CV839" s="92"/>
      <c r="CW839" s="92"/>
      <c r="CX839" s="85"/>
      <c r="CY839" s="85"/>
      <c r="CZ839" s="85"/>
      <c r="DA839" s="85"/>
      <c r="DB839" s="85"/>
      <c r="DC839" s="85"/>
      <c r="DD839" s="85"/>
      <c r="DE839" s="85"/>
      <c r="DF839" s="85"/>
      <c r="DG839" s="85"/>
      <c r="DH839" s="85"/>
      <c r="DI839" s="85"/>
      <c r="DJ839" s="85"/>
      <c r="DK839" s="85"/>
      <c r="DL839" s="85"/>
      <c r="DM839" s="85"/>
      <c r="DN839" s="85"/>
      <c r="DO839" s="85"/>
      <c r="DP839" s="85"/>
    </row>
    <row r="840">
      <c r="A840" s="91"/>
      <c r="B840" s="91"/>
      <c r="C840" s="91"/>
      <c r="D840" s="91"/>
      <c r="E840" s="78"/>
      <c r="F840" s="15"/>
      <c r="G840" s="15"/>
      <c r="H840" s="91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  <c r="BC840" s="15"/>
      <c r="BD840" s="15"/>
      <c r="BE840" s="15"/>
      <c r="BF840" s="15"/>
      <c r="BG840" s="15"/>
      <c r="BH840" s="15"/>
      <c r="BI840" s="15"/>
      <c r="BJ840" s="15"/>
      <c r="BK840" s="15"/>
      <c r="BL840" s="15"/>
      <c r="BM840" s="15"/>
      <c r="BN840" s="92"/>
      <c r="BO840" s="92"/>
      <c r="BP840" s="92"/>
      <c r="BQ840" s="92"/>
      <c r="BR840" s="92"/>
      <c r="BS840" s="92"/>
      <c r="BT840" s="92"/>
      <c r="BU840" s="92"/>
      <c r="BV840" s="92"/>
      <c r="BW840" s="92"/>
      <c r="BX840" s="92"/>
      <c r="BY840" s="92"/>
      <c r="BZ840" s="92"/>
      <c r="CA840" s="92"/>
      <c r="CB840" s="92"/>
      <c r="CC840" s="92"/>
      <c r="CD840" s="92"/>
      <c r="CE840" s="92"/>
      <c r="CF840" s="92"/>
      <c r="CG840" s="92"/>
      <c r="CH840" s="92"/>
      <c r="CI840" s="92"/>
      <c r="CJ840" s="92"/>
      <c r="CK840" s="92"/>
      <c r="CL840" s="92"/>
      <c r="CM840" s="92"/>
      <c r="CN840" s="92"/>
      <c r="CO840" s="92"/>
      <c r="CP840" s="92"/>
      <c r="CQ840" s="92"/>
      <c r="CR840" s="92"/>
      <c r="CS840" s="92"/>
      <c r="CT840" s="92"/>
      <c r="CU840" s="92"/>
      <c r="CV840" s="92"/>
      <c r="CW840" s="92"/>
      <c r="CX840" s="85"/>
      <c r="CY840" s="85"/>
      <c r="CZ840" s="85"/>
      <c r="DA840" s="85"/>
      <c r="DB840" s="85"/>
      <c r="DC840" s="85"/>
      <c r="DD840" s="85"/>
      <c r="DE840" s="85"/>
      <c r="DF840" s="85"/>
      <c r="DG840" s="85"/>
      <c r="DH840" s="85"/>
      <c r="DI840" s="85"/>
      <c r="DJ840" s="85"/>
      <c r="DK840" s="85"/>
      <c r="DL840" s="85"/>
      <c r="DM840" s="85"/>
      <c r="DN840" s="85"/>
      <c r="DO840" s="85"/>
      <c r="DP840" s="85"/>
    </row>
    <row r="841">
      <c r="A841" s="91"/>
      <c r="B841" s="91"/>
      <c r="C841" s="91"/>
      <c r="D841" s="91"/>
      <c r="E841" s="78"/>
      <c r="F841" s="15"/>
      <c r="G841" s="15"/>
      <c r="H841" s="91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5"/>
      <c r="BG841" s="15"/>
      <c r="BH841" s="15"/>
      <c r="BI841" s="15"/>
      <c r="BJ841" s="15"/>
      <c r="BK841" s="15"/>
      <c r="BL841" s="15"/>
      <c r="BM841" s="15"/>
      <c r="BN841" s="92"/>
      <c r="BO841" s="92"/>
      <c r="BP841" s="92"/>
      <c r="BQ841" s="92"/>
      <c r="BR841" s="92"/>
      <c r="BS841" s="92"/>
      <c r="BT841" s="92"/>
      <c r="BU841" s="92"/>
      <c r="BV841" s="92"/>
      <c r="BW841" s="92"/>
      <c r="BX841" s="92"/>
      <c r="BY841" s="92"/>
      <c r="BZ841" s="92"/>
      <c r="CA841" s="92"/>
      <c r="CB841" s="92"/>
      <c r="CC841" s="92"/>
      <c r="CD841" s="92"/>
      <c r="CE841" s="92"/>
      <c r="CF841" s="92"/>
      <c r="CG841" s="92"/>
      <c r="CH841" s="92"/>
      <c r="CI841" s="92"/>
      <c r="CJ841" s="92"/>
      <c r="CK841" s="92"/>
      <c r="CL841" s="92"/>
      <c r="CM841" s="92"/>
      <c r="CN841" s="92"/>
      <c r="CO841" s="92"/>
      <c r="CP841" s="92"/>
      <c r="CQ841" s="92"/>
      <c r="CR841" s="92"/>
      <c r="CS841" s="92"/>
      <c r="CT841" s="92"/>
      <c r="CU841" s="92"/>
      <c r="CV841" s="92"/>
      <c r="CW841" s="92"/>
      <c r="CX841" s="85"/>
      <c r="CY841" s="85"/>
      <c r="CZ841" s="85"/>
      <c r="DA841" s="85"/>
      <c r="DB841" s="85"/>
      <c r="DC841" s="85"/>
      <c r="DD841" s="85"/>
      <c r="DE841" s="85"/>
      <c r="DF841" s="85"/>
      <c r="DG841" s="85"/>
      <c r="DH841" s="85"/>
      <c r="DI841" s="85"/>
      <c r="DJ841" s="85"/>
      <c r="DK841" s="85"/>
      <c r="DL841" s="85"/>
      <c r="DM841" s="85"/>
      <c r="DN841" s="85"/>
      <c r="DO841" s="85"/>
      <c r="DP841" s="85"/>
    </row>
    <row r="842">
      <c r="A842" s="91"/>
      <c r="B842" s="91"/>
      <c r="C842" s="91"/>
      <c r="D842" s="91"/>
      <c r="E842" s="78"/>
      <c r="F842" s="15"/>
      <c r="G842" s="15"/>
      <c r="H842" s="91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  <c r="BD842" s="15"/>
      <c r="BE842" s="15"/>
      <c r="BF842" s="15"/>
      <c r="BG842" s="15"/>
      <c r="BH842" s="15"/>
      <c r="BI842" s="15"/>
      <c r="BJ842" s="15"/>
      <c r="BK842" s="15"/>
      <c r="BL842" s="15"/>
      <c r="BM842" s="15"/>
      <c r="BN842" s="92"/>
      <c r="BO842" s="92"/>
      <c r="BP842" s="92"/>
      <c r="BQ842" s="92"/>
      <c r="BR842" s="92"/>
      <c r="BS842" s="92"/>
      <c r="BT842" s="92"/>
      <c r="BU842" s="92"/>
      <c r="BV842" s="92"/>
      <c r="BW842" s="92"/>
      <c r="BX842" s="92"/>
      <c r="BY842" s="92"/>
      <c r="BZ842" s="92"/>
      <c r="CA842" s="92"/>
      <c r="CB842" s="92"/>
      <c r="CC842" s="92"/>
      <c r="CD842" s="92"/>
      <c r="CE842" s="92"/>
      <c r="CF842" s="92"/>
      <c r="CG842" s="92"/>
      <c r="CH842" s="92"/>
      <c r="CI842" s="92"/>
      <c r="CJ842" s="92"/>
      <c r="CK842" s="92"/>
      <c r="CL842" s="92"/>
      <c r="CM842" s="92"/>
      <c r="CN842" s="92"/>
      <c r="CO842" s="92"/>
      <c r="CP842" s="92"/>
      <c r="CQ842" s="92"/>
      <c r="CR842" s="92"/>
      <c r="CS842" s="92"/>
      <c r="CT842" s="92"/>
      <c r="CU842" s="92"/>
      <c r="CV842" s="92"/>
      <c r="CW842" s="92"/>
      <c r="CX842" s="85"/>
      <c r="CY842" s="85"/>
      <c r="CZ842" s="85"/>
      <c r="DA842" s="85"/>
      <c r="DB842" s="85"/>
      <c r="DC842" s="85"/>
      <c r="DD842" s="85"/>
      <c r="DE842" s="85"/>
      <c r="DF842" s="85"/>
      <c r="DG842" s="85"/>
      <c r="DH842" s="85"/>
      <c r="DI842" s="85"/>
      <c r="DJ842" s="85"/>
      <c r="DK842" s="85"/>
      <c r="DL842" s="85"/>
      <c r="DM842" s="85"/>
      <c r="DN842" s="85"/>
      <c r="DO842" s="85"/>
      <c r="DP842" s="85"/>
    </row>
    <row r="843">
      <c r="A843" s="91"/>
      <c r="B843" s="91"/>
      <c r="C843" s="91"/>
      <c r="D843" s="91"/>
      <c r="E843" s="78"/>
      <c r="F843" s="15"/>
      <c r="G843" s="15"/>
      <c r="H843" s="91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5"/>
      <c r="BG843" s="15"/>
      <c r="BH843" s="15"/>
      <c r="BI843" s="15"/>
      <c r="BJ843" s="15"/>
      <c r="BK843" s="15"/>
      <c r="BL843" s="15"/>
      <c r="BM843" s="15"/>
      <c r="BN843" s="92"/>
      <c r="BO843" s="92"/>
      <c r="BP843" s="92"/>
      <c r="BQ843" s="92"/>
      <c r="BR843" s="92"/>
      <c r="BS843" s="92"/>
      <c r="BT843" s="92"/>
      <c r="BU843" s="92"/>
      <c r="BV843" s="92"/>
      <c r="BW843" s="92"/>
      <c r="BX843" s="92"/>
      <c r="BY843" s="92"/>
      <c r="BZ843" s="92"/>
      <c r="CA843" s="92"/>
      <c r="CB843" s="92"/>
      <c r="CC843" s="92"/>
      <c r="CD843" s="92"/>
      <c r="CE843" s="92"/>
      <c r="CF843" s="92"/>
      <c r="CG843" s="92"/>
      <c r="CH843" s="92"/>
      <c r="CI843" s="92"/>
      <c r="CJ843" s="92"/>
      <c r="CK843" s="92"/>
      <c r="CL843" s="92"/>
      <c r="CM843" s="92"/>
      <c r="CN843" s="92"/>
      <c r="CO843" s="92"/>
      <c r="CP843" s="92"/>
      <c r="CQ843" s="92"/>
      <c r="CR843" s="92"/>
      <c r="CS843" s="92"/>
      <c r="CT843" s="92"/>
      <c r="CU843" s="92"/>
      <c r="CV843" s="92"/>
      <c r="CW843" s="92"/>
      <c r="CX843" s="85"/>
      <c r="CY843" s="85"/>
      <c r="CZ843" s="85"/>
      <c r="DA843" s="85"/>
      <c r="DB843" s="85"/>
      <c r="DC843" s="85"/>
      <c r="DD843" s="85"/>
      <c r="DE843" s="85"/>
      <c r="DF843" s="85"/>
      <c r="DG843" s="85"/>
      <c r="DH843" s="85"/>
      <c r="DI843" s="85"/>
      <c r="DJ843" s="85"/>
      <c r="DK843" s="85"/>
      <c r="DL843" s="85"/>
      <c r="DM843" s="85"/>
      <c r="DN843" s="85"/>
      <c r="DO843" s="85"/>
      <c r="DP843" s="85"/>
    </row>
    <row r="844">
      <c r="A844" s="91"/>
      <c r="B844" s="91"/>
      <c r="C844" s="91"/>
      <c r="D844" s="91"/>
      <c r="E844" s="78"/>
      <c r="F844" s="15"/>
      <c r="G844" s="15"/>
      <c r="H844" s="91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  <c r="BD844" s="15"/>
      <c r="BE844" s="15"/>
      <c r="BF844" s="15"/>
      <c r="BG844" s="15"/>
      <c r="BH844" s="15"/>
      <c r="BI844" s="15"/>
      <c r="BJ844" s="15"/>
      <c r="BK844" s="15"/>
      <c r="BL844" s="15"/>
      <c r="BM844" s="15"/>
      <c r="BN844" s="92"/>
      <c r="BO844" s="92"/>
      <c r="BP844" s="92"/>
      <c r="BQ844" s="92"/>
      <c r="BR844" s="92"/>
      <c r="BS844" s="92"/>
      <c r="BT844" s="92"/>
      <c r="BU844" s="92"/>
      <c r="BV844" s="92"/>
      <c r="BW844" s="92"/>
      <c r="BX844" s="92"/>
      <c r="BY844" s="92"/>
      <c r="BZ844" s="92"/>
      <c r="CA844" s="92"/>
      <c r="CB844" s="92"/>
      <c r="CC844" s="92"/>
      <c r="CD844" s="92"/>
      <c r="CE844" s="92"/>
      <c r="CF844" s="92"/>
      <c r="CG844" s="92"/>
      <c r="CH844" s="92"/>
      <c r="CI844" s="92"/>
      <c r="CJ844" s="92"/>
      <c r="CK844" s="92"/>
      <c r="CL844" s="92"/>
      <c r="CM844" s="92"/>
      <c r="CN844" s="92"/>
      <c r="CO844" s="92"/>
      <c r="CP844" s="92"/>
      <c r="CQ844" s="92"/>
      <c r="CR844" s="92"/>
      <c r="CS844" s="92"/>
      <c r="CT844" s="92"/>
      <c r="CU844" s="92"/>
      <c r="CV844" s="92"/>
      <c r="CW844" s="92"/>
      <c r="CX844" s="85"/>
      <c r="CY844" s="85"/>
      <c r="CZ844" s="85"/>
      <c r="DA844" s="85"/>
      <c r="DB844" s="85"/>
      <c r="DC844" s="85"/>
      <c r="DD844" s="85"/>
      <c r="DE844" s="85"/>
      <c r="DF844" s="85"/>
      <c r="DG844" s="85"/>
      <c r="DH844" s="85"/>
      <c r="DI844" s="85"/>
      <c r="DJ844" s="85"/>
      <c r="DK844" s="85"/>
      <c r="DL844" s="85"/>
      <c r="DM844" s="85"/>
      <c r="DN844" s="85"/>
      <c r="DO844" s="85"/>
      <c r="DP844" s="85"/>
    </row>
    <row r="845">
      <c r="A845" s="91"/>
      <c r="B845" s="91"/>
      <c r="C845" s="91"/>
      <c r="D845" s="91"/>
      <c r="E845" s="78"/>
      <c r="F845" s="15"/>
      <c r="G845" s="15"/>
      <c r="H845" s="91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5"/>
      <c r="BG845" s="15"/>
      <c r="BH845" s="15"/>
      <c r="BI845" s="15"/>
      <c r="BJ845" s="15"/>
      <c r="BK845" s="15"/>
      <c r="BL845" s="15"/>
      <c r="BM845" s="15"/>
      <c r="BN845" s="92"/>
      <c r="BO845" s="92"/>
      <c r="BP845" s="92"/>
      <c r="BQ845" s="92"/>
      <c r="BR845" s="92"/>
      <c r="BS845" s="92"/>
      <c r="BT845" s="92"/>
      <c r="BU845" s="92"/>
      <c r="BV845" s="92"/>
      <c r="BW845" s="92"/>
      <c r="BX845" s="92"/>
      <c r="BY845" s="92"/>
      <c r="BZ845" s="92"/>
      <c r="CA845" s="92"/>
      <c r="CB845" s="92"/>
      <c r="CC845" s="92"/>
      <c r="CD845" s="92"/>
      <c r="CE845" s="92"/>
      <c r="CF845" s="92"/>
      <c r="CG845" s="92"/>
      <c r="CH845" s="92"/>
      <c r="CI845" s="92"/>
      <c r="CJ845" s="92"/>
      <c r="CK845" s="92"/>
      <c r="CL845" s="92"/>
      <c r="CM845" s="92"/>
      <c r="CN845" s="92"/>
      <c r="CO845" s="92"/>
      <c r="CP845" s="92"/>
      <c r="CQ845" s="92"/>
      <c r="CR845" s="92"/>
      <c r="CS845" s="92"/>
      <c r="CT845" s="92"/>
      <c r="CU845" s="92"/>
      <c r="CV845" s="92"/>
      <c r="CW845" s="92"/>
      <c r="CX845" s="85"/>
      <c r="CY845" s="85"/>
      <c r="CZ845" s="85"/>
      <c r="DA845" s="85"/>
      <c r="DB845" s="85"/>
      <c r="DC845" s="85"/>
      <c r="DD845" s="85"/>
      <c r="DE845" s="85"/>
      <c r="DF845" s="85"/>
      <c r="DG845" s="85"/>
      <c r="DH845" s="85"/>
      <c r="DI845" s="85"/>
      <c r="DJ845" s="85"/>
      <c r="DK845" s="85"/>
      <c r="DL845" s="85"/>
      <c r="DM845" s="85"/>
      <c r="DN845" s="85"/>
      <c r="DO845" s="85"/>
      <c r="DP845" s="85"/>
    </row>
    <row r="846">
      <c r="A846" s="91"/>
      <c r="B846" s="91"/>
      <c r="C846" s="91"/>
      <c r="D846" s="91"/>
      <c r="E846" s="78"/>
      <c r="F846" s="15"/>
      <c r="G846" s="15"/>
      <c r="H846" s="91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  <c r="BD846" s="15"/>
      <c r="BE846" s="15"/>
      <c r="BF846" s="15"/>
      <c r="BG846" s="15"/>
      <c r="BH846" s="15"/>
      <c r="BI846" s="15"/>
      <c r="BJ846" s="15"/>
      <c r="BK846" s="15"/>
      <c r="BL846" s="15"/>
      <c r="BM846" s="15"/>
      <c r="BN846" s="92"/>
      <c r="BO846" s="92"/>
      <c r="BP846" s="92"/>
      <c r="BQ846" s="92"/>
      <c r="BR846" s="92"/>
      <c r="BS846" s="92"/>
      <c r="BT846" s="92"/>
      <c r="BU846" s="92"/>
      <c r="BV846" s="92"/>
      <c r="BW846" s="92"/>
      <c r="BX846" s="92"/>
      <c r="BY846" s="92"/>
      <c r="BZ846" s="92"/>
      <c r="CA846" s="92"/>
      <c r="CB846" s="92"/>
      <c r="CC846" s="92"/>
      <c r="CD846" s="92"/>
      <c r="CE846" s="92"/>
      <c r="CF846" s="92"/>
      <c r="CG846" s="92"/>
      <c r="CH846" s="92"/>
      <c r="CI846" s="92"/>
      <c r="CJ846" s="92"/>
      <c r="CK846" s="92"/>
      <c r="CL846" s="92"/>
      <c r="CM846" s="92"/>
      <c r="CN846" s="92"/>
      <c r="CO846" s="92"/>
      <c r="CP846" s="92"/>
      <c r="CQ846" s="92"/>
      <c r="CR846" s="92"/>
      <c r="CS846" s="92"/>
      <c r="CT846" s="92"/>
      <c r="CU846" s="92"/>
      <c r="CV846" s="92"/>
      <c r="CW846" s="92"/>
      <c r="CX846" s="85"/>
      <c r="CY846" s="85"/>
      <c r="CZ846" s="85"/>
      <c r="DA846" s="85"/>
      <c r="DB846" s="85"/>
      <c r="DC846" s="85"/>
      <c r="DD846" s="85"/>
      <c r="DE846" s="85"/>
      <c r="DF846" s="85"/>
      <c r="DG846" s="85"/>
      <c r="DH846" s="85"/>
      <c r="DI846" s="85"/>
      <c r="DJ846" s="85"/>
      <c r="DK846" s="85"/>
      <c r="DL846" s="85"/>
      <c r="DM846" s="85"/>
      <c r="DN846" s="85"/>
      <c r="DO846" s="85"/>
      <c r="DP846" s="85"/>
    </row>
    <row r="847">
      <c r="A847" s="91"/>
      <c r="B847" s="91"/>
      <c r="C847" s="91"/>
      <c r="D847" s="91"/>
      <c r="E847" s="78"/>
      <c r="F847" s="15"/>
      <c r="G847" s="15"/>
      <c r="H847" s="91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5"/>
      <c r="BG847" s="15"/>
      <c r="BH847" s="15"/>
      <c r="BI847" s="15"/>
      <c r="BJ847" s="15"/>
      <c r="BK847" s="15"/>
      <c r="BL847" s="15"/>
      <c r="BM847" s="15"/>
      <c r="BN847" s="92"/>
      <c r="BO847" s="92"/>
      <c r="BP847" s="92"/>
      <c r="BQ847" s="92"/>
      <c r="BR847" s="92"/>
      <c r="BS847" s="92"/>
      <c r="BT847" s="92"/>
      <c r="BU847" s="92"/>
      <c r="BV847" s="92"/>
      <c r="BW847" s="92"/>
      <c r="BX847" s="92"/>
      <c r="BY847" s="92"/>
      <c r="BZ847" s="92"/>
      <c r="CA847" s="92"/>
      <c r="CB847" s="92"/>
      <c r="CC847" s="92"/>
      <c r="CD847" s="92"/>
      <c r="CE847" s="92"/>
      <c r="CF847" s="92"/>
      <c r="CG847" s="92"/>
      <c r="CH847" s="92"/>
      <c r="CI847" s="92"/>
      <c r="CJ847" s="92"/>
      <c r="CK847" s="92"/>
      <c r="CL847" s="92"/>
      <c r="CM847" s="92"/>
      <c r="CN847" s="92"/>
      <c r="CO847" s="92"/>
      <c r="CP847" s="92"/>
      <c r="CQ847" s="92"/>
      <c r="CR847" s="92"/>
      <c r="CS847" s="92"/>
      <c r="CT847" s="92"/>
      <c r="CU847" s="92"/>
      <c r="CV847" s="92"/>
      <c r="CW847" s="92"/>
      <c r="CX847" s="85"/>
      <c r="CY847" s="85"/>
      <c r="CZ847" s="85"/>
      <c r="DA847" s="85"/>
      <c r="DB847" s="85"/>
      <c r="DC847" s="85"/>
      <c r="DD847" s="85"/>
      <c r="DE847" s="85"/>
      <c r="DF847" s="85"/>
      <c r="DG847" s="85"/>
      <c r="DH847" s="85"/>
      <c r="DI847" s="85"/>
      <c r="DJ847" s="85"/>
      <c r="DK847" s="85"/>
      <c r="DL847" s="85"/>
      <c r="DM847" s="85"/>
      <c r="DN847" s="85"/>
      <c r="DO847" s="85"/>
      <c r="DP847" s="85"/>
    </row>
    <row r="848">
      <c r="A848" s="91"/>
      <c r="B848" s="91"/>
      <c r="C848" s="91"/>
      <c r="D848" s="91"/>
      <c r="E848" s="78"/>
      <c r="F848" s="15"/>
      <c r="G848" s="15"/>
      <c r="H848" s="91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  <c r="BD848" s="15"/>
      <c r="BE848" s="15"/>
      <c r="BF848" s="15"/>
      <c r="BG848" s="15"/>
      <c r="BH848" s="15"/>
      <c r="BI848" s="15"/>
      <c r="BJ848" s="15"/>
      <c r="BK848" s="15"/>
      <c r="BL848" s="15"/>
      <c r="BM848" s="15"/>
      <c r="BN848" s="92"/>
      <c r="BO848" s="92"/>
      <c r="BP848" s="92"/>
      <c r="BQ848" s="92"/>
      <c r="BR848" s="92"/>
      <c r="BS848" s="92"/>
      <c r="BT848" s="92"/>
      <c r="BU848" s="92"/>
      <c r="BV848" s="92"/>
      <c r="BW848" s="92"/>
      <c r="BX848" s="92"/>
      <c r="BY848" s="92"/>
      <c r="BZ848" s="92"/>
      <c r="CA848" s="92"/>
      <c r="CB848" s="92"/>
      <c r="CC848" s="92"/>
      <c r="CD848" s="92"/>
      <c r="CE848" s="92"/>
      <c r="CF848" s="92"/>
      <c r="CG848" s="92"/>
      <c r="CH848" s="92"/>
      <c r="CI848" s="92"/>
      <c r="CJ848" s="92"/>
      <c r="CK848" s="92"/>
      <c r="CL848" s="92"/>
      <c r="CM848" s="92"/>
      <c r="CN848" s="92"/>
      <c r="CO848" s="92"/>
      <c r="CP848" s="92"/>
      <c r="CQ848" s="92"/>
      <c r="CR848" s="92"/>
      <c r="CS848" s="92"/>
      <c r="CT848" s="92"/>
      <c r="CU848" s="92"/>
      <c r="CV848" s="92"/>
      <c r="CW848" s="92"/>
      <c r="CX848" s="85"/>
      <c r="CY848" s="85"/>
      <c r="CZ848" s="85"/>
      <c r="DA848" s="85"/>
      <c r="DB848" s="85"/>
      <c r="DC848" s="85"/>
      <c r="DD848" s="85"/>
      <c r="DE848" s="85"/>
      <c r="DF848" s="85"/>
      <c r="DG848" s="85"/>
      <c r="DH848" s="85"/>
      <c r="DI848" s="85"/>
      <c r="DJ848" s="85"/>
      <c r="DK848" s="85"/>
      <c r="DL848" s="85"/>
      <c r="DM848" s="85"/>
      <c r="DN848" s="85"/>
      <c r="DO848" s="85"/>
      <c r="DP848" s="85"/>
    </row>
    <row r="849">
      <c r="A849" s="91"/>
      <c r="B849" s="91"/>
      <c r="C849" s="91"/>
      <c r="D849" s="91"/>
      <c r="E849" s="78"/>
      <c r="F849" s="15"/>
      <c r="G849" s="15"/>
      <c r="H849" s="91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5"/>
      <c r="BF849" s="15"/>
      <c r="BG849" s="15"/>
      <c r="BH849" s="15"/>
      <c r="BI849" s="15"/>
      <c r="BJ849" s="15"/>
      <c r="BK849" s="15"/>
      <c r="BL849" s="15"/>
      <c r="BM849" s="15"/>
      <c r="BN849" s="92"/>
      <c r="BO849" s="92"/>
      <c r="BP849" s="92"/>
      <c r="BQ849" s="92"/>
      <c r="BR849" s="92"/>
      <c r="BS849" s="92"/>
      <c r="BT849" s="92"/>
      <c r="BU849" s="92"/>
      <c r="BV849" s="92"/>
      <c r="BW849" s="92"/>
      <c r="BX849" s="92"/>
      <c r="BY849" s="92"/>
      <c r="BZ849" s="92"/>
      <c r="CA849" s="92"/>
      <c r="CB849" s="92"/>
      <c r="CC849" s="92"/>
      <c r="CD849" s="92"/>
      <c r="CE849" s="92"/>
      <c r="CF849" s="92"/>
      <c r="CG849" s="92"/>
      <c r="CH849" s="92"/>
      <c r="CI849" s="92"/>
      <c r="CJ849" s="92"/>
      <c r="CK849" s="92"/>
      <c r="CL849" s="92"/>
      <c r="CM849" s="92"/>
      <c r="CN849" s="92"/>
      <c r="CO849" s="92"/>
      <c r="CP849" s="92"/>
      <c r="CQ849" s="92"/>
      <c r="CR849" s="92"/>
      <c r="CS849" s="92"/>
      <c r="CT849" s="92"/>
      <c r="CU849" s="92"/>
      <c r="CV849" s="92"/>
      <c r="CW849" s="92"/>
      <c r="CX849" s="85"/>
      <c r="CY849" s="85"/>
      <c r="CZ849" s="85"/>
      <c r="DA849" s="85"/>
      <c r="DB849" s="85"/>
      <c r="DC849" s="85"/>
      <c r="DD849" s="85"/>
      <c r="DE849" s="85"/>
      <c r="DF849" s="85"/>
      <c r="DG849" s="85"/>
      <c r="DH849" s="85"/>
      <c r="DI849" s="85"/>
      <c r="DJ849" s="85"/>
      <c r="DK849" s="85"/>
      <c r="DL849" s="85"/>
      <c r="DM849" s="85"/>
      <c r="DN849" s="85"/>
      <c r="DO849" s="85"/>
      <c r="DP849" s="85"/>
    </row>
    <row r="850">
      <c r="A850" s="91"/>
      <c r="B850" s="91"/>
      <c r="C850" s="91"/>
      <c r="D850" s="91"/>
      <c r="E850" s="78"/>
      <c r="F850" s="15"/>
      <c r="G850" s="15"/>
      <c r="H850" s="91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  <c r="BD850" s="15"/>
      <c r="BE850" s="15"/>
      <c r="BF850" s="15"/>
      <c r="BG850" s="15"/>
      <c r="BH850" s="15"/>
      <c r="BI850" s="15"/>
      <c r="BJ850" s="15"/>
      <c r="BK850" s="15"/>
      <c r="BL850" s="15"/>
      <c r="BM850" s="15"/>
      <c r="BN850" s="92"/>
      <c r="BO850" s="92"/>
      <c r="BP850" s="92"/>
      <c r="BQ850" s="92"/>
      <c r="BR850" s="92"/>
      <c r="BS850" s="92"/>
      <c r="BT850" s="92"/>
      <c r="BU850" s="92"/>
      <c r="BV850" s="92"/>
      <c r="BW850" s="92"/>
      <c r="BX850" s="92"/>
      <c r="BY850" s="92"/>
      <c r="BZ850" s="92"/>
      <c r="CA850" s="92"/>
      <c r="CB850" s="92"/>
      <c r="CC850" s="92"/>
      <c r="CD850" s="92"/>
      <c r="CE850" s="92"/>
      <c r="CF850" s="92"/>
      <c r="CG850" s="92"/>
      <c r="CH850" s="92"/>
      <c r="CI850" s="92"/>
      <c r="CJ850" s="92"/>
      <c r="CK850" s="92"/>
      <c r="CL850" s="92"/>
      <c r="CM850" s="92"/>
      <c r="CN850" s="92"/>
      <c r="CO850" s="92"/>
      <c r="CP850" s="92"/>
      <c r="CQ850" s="92"/>
      <c r="CR850" s="92"/>
      <c r="CS850" s="92"/>
      <c r="CT850" s="92"/>
      <c r="CU850" s="92"/>
      <c r="CV850" s="92"/>
      <c r="CW850" s="92"/>
      <c r="CX850" s="85"/>
      <c r="CY850" s="85"/>
      <c r="CZ850" s="85"/>
      <c r="DA850" s="85"/>
      <c r="DB850" s="85"/>
      <c r="DC850" s="85"/>
      <c r="DD850" s="85"/>
      <c r="DE850" s="85"/>
      <c r="DF850" s="85"/>
      <c r="DG850" s="85"/>
      <c r="DH850" s="85"/>
      <c r="DI850" s="85"/>
      <c r="DJ850" s="85"/>
      <c r="DK850" s="85"/>
      <c r="DL850" s="85"/>
      <c r="DM850" s="85"/>
      <c r="DN850" s="85"/>
      <c r="DO850" s="85"/>
      <c r="DP850" s="85"/>
    </row>
    <row r="851">
      <c r="A851" s="91"/>
      <c r="B851" s="91"/>
      <c r="C851" s="91"/>
      <c r="D851" s="91"/>
      <c r="E851" s="78"/>
      <c r="F851" s="15"/>
      <c r="G851" s="15"/>
      <c r="H851" s="91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5"/>
      <c r="BG851" s="15"/>
      <c r="BH851" s="15"/>
      <c r="BI851" s="15"/>
      <c r="BJ851" s="15"/>
      <c r="BK851" s="15"/>
      <c r="BL851" s="15"/>
      <c r="BM851" s="15"/>
      <c r="BN851" s="92"/>
      <c r="BO851" s="92"/>
      <c r="BP851" s="92"/>
      <c r="BQ851" s="92"/>
      <c r="BR851" s="92"/>
      <c r="BS851" s="92"/>
      <c r="BT851" s="92"/>
      <c r="BU851" s="92"/>
      <c r="BV851" s="92"/>
      <c r="BW851" s="92"/>
      <c r="BX851" s="92"/>
      <c r="BY851" s="92"/>
      <c r="BZ851" s="92"/>
      <c r="CA851" s="92"/>
      <c r="CB851" s="92"/>
      <c r="CC851" s="92"/>
      <c r="CD851" s="92"/>
      <c r="CE851" s="92"/>
      <c r="CF851" s="92"/>
      <c r="CG851" s="92"/>
      <c r="CH851" s="92"/>
      <c r="CI851" s="92"/>
      <c r="CJ851" s="92"/>
      <c r="CK851" s="92"/>
      <c r="CL851" s="92"/>
      <c r="CM851" s="92"/>
      <c r="CN851" s="92"/>
      <c r="CO851" s="92"/>
      <c r="CP851" s="92"/>
      <c r="CQ851" s="92"/>
      <c r="CR851" s="92"/>
      <c r="CS851" s="92"/>
      <c r="CT851" s="92"/>
      <c r="CU851" s="92"/>
      <c r="CV851" s="92"/>
      <c r="CW851" s="92"/>
      <c r="CX851" s="85"/>
      <c r="CY851" s="85"/>
      <c r="CZ851" s="85"/>
      <c r="DA851" s="85"/>
      <c r="DB851" s="85"/>
      <c r="DC851" s="85"/>
      <c r="DD851" s="85"/>
      <c r="DE851" s="85"/>
      <c r="DF851" s="85"/>
      <c r="DG851" s="85"/>
      <c r="DH851" s="85"/>
      <c r="DI851" s="85"/>
      <c r="DJ851" s="85"/>
      <c r="DK851" s="85"/>
      <c r="DL851" s="85"/>
      <c r="DM851" s="85"/>
      <c r="DN851" s="85"/>
      <c r="DO851" s="85"/>
      <c r="DP851" s="85"/>
    </row>
    <row r="852">
      <c r="A852" s="91"/>
      <c r="B852" s="91"/>
      <c r="C852" s="91"/>
      <c r="D852" s="91"/>
      <c r="E852" s="78"/>
      <c r="F852" s="15"/>
      <c r="G852" s="15"/>
      <c r="H852" s="91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  <c r="BD852" s="15"/>
      <c r="BE852" s="15"/>
      <c r="BF852" s="15"/>
      <c r="BG852" s="15"/>
      <c r="BH852" s="15"/>
      <c r="BI852" s="15"/>
      <c r="BJ852" s="15"/>
      <c r="BK852" s="15"/>
      <c r="BL852" s="15"/>
      <c r="BM852" s="15"/>
      <c r="BN852" s="92"/>
      <c r="BO852" s="92"/>
      <c r="BP852" s="92"/>
      <c r="BQ852" s="92"/>
      <c r="BR852" s="92"/>
      <c r="BS852" s="92"/>
      <c r="BT852" s="92"/>
      <c r="BU852" s="92"/>
      <c r="BV852" s="92"/>
      <c r="BW852" s="92"/>
      <c r="BX852" s="92"/>
      <c r="BY852" s="92"/>
      <c r="BZ852" s="92"/>
      <c r="CA852" s="92"/>
      <c r="CB852" s="92"/>
      <c r="CC852" s="92"/>
      <c r="CD852" s="92"/>
      <c r="CE852" s="92"/>
      <c r="CF852" s="92"/>
      <c r="CG852" s="92"/>
      <c r="CH852" s="92"/>
      <c r="CI852" s="92"/>
      <c r="CJ852" s="92"/>
      <c r="CK852" s="92"/>
      <c r="CL852" s="92"/>
      <c r="CM852" s="92"/>
      <c r="CN852" s="92"/>
      <c r="CO852" s="92"/>
      <c r="CP852" s="92"/>
      <c r="CQ852" s="92"/>
      <c r="CR852" s="92"/>
      <c r="CS852" s="92"/>
      <c r="CT852" s="92"/>
      <c r="CU852" s="92"/>
      <c r="CV852" s="92"/>
      <c r="CW852" s="92"/>
      <c r="CX852" s="85"/>
      <c r="CY852" s="85"/>
      <c r="CZ852" s="85"/>
      <c r="DA852" s="85"/>
      <c r="DB852" s="85"/>
      <c r="DC852" s="85"/>
      <c r="DD852" s="85"/>
      <c r="DE852" s="85"/>
      <c r="DF852" s="85"/>
      <c r="DG852" s="85"/>
      <c r="DH852" s="85"/>
      <c r="DI852" s="85"/>
      <c r="DJ852" s="85"/>
      <c r="DK852" s="85"/>
      <c r="DL852" s="85"/>
      <c r="DM852" s="85"/>
      <c r="DN852" s="85"/>
      <c r="DO852" s="85"/>
      <c r="DP852" s="85"/>
    </row>
    <row r="853">
      <c r="A853" s="91"/>
      <c r="B853" s="91"/>
      <c r="C853" s="91"/>
      <c r="D853" s="91"/>
      <c r="E853" s="78"/>
      <c r="F853" s="15"/>
      <c r="G853" s="15"/>
      <c r="H853" s="91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5"/>
      <c r="BG853" s="15"/>
      <c r="BH853" s="15"/>
      <c r="BI853" s="15"/>
      <c r="BJ853" s="15"/>
      <c r="BK853" s="15"/>
      <c r="BL853" s="15"/>
      <c r="BM853" s="15"/>
      <c r="BN853" s="92"/>
      <c r="BO853" s="92"/>
      <c r="BP853" s="92"/>
      <c r="BQ853" s="92"/>
      <c r="BR853" s="92"/>
      <c r="BS853" s="92"/>
      <c r="BT853" s="92"/>
      <c r="BU853" s="92"/>
      <c r="BV853" s="92"/>
      <c r="BW853" s="92"/>
      <c r="BX853" s="92"/>
      <c r="BY853" s="92"/>
      <c r="BZ853" s="92"/>
      <c r="CA853" s="92"/>
      <c r="CB853" s="92"/>
      <c r="CC853" s="92"/>
      <c r="CD853" s="92"/>
      <c r="CE853" s="92"/>
      <c r="CF853" s="92"/>
      <c r="CG853" s="92"/>
      <c r="CH853" s="92"/>
      <c r="CI853" s="92"/>
      <c r="CJ853" s="92"/>
      <c r="CK853" s="92"/>
      <c r="CL853" s="92"/>
      <c r="CM853" s="92"/>
      <c r="CN853" s="92"/>
      <c r="CO853" s="92"/>
      <c r="CP853" s="92"/>
      <c r="CQ853" s="92"/>
      <c r="CR853" s="92"/>
      <c r="CS853" s="92"/>
      <c r="CT853" s="92"/>
      <c r="CU853" s="92"/>
      <c r="CV853" s="92"/>
      <c r="CW853" s="92"/>
      <c r="CX853" s="85"/>
      <c r="CY853" s="85"/>
      <c r="CZ853" s="85"/>
      <c r="DA853" s="85"/>
      <c r="DB853" s="85"/>
      <c r="DC853" s="85"/>
      <c r="DD853" s="85"/>
      <c r="DE853" s="85"/>
      <c r="DF853" s="85"/>
      <c r="DG853" s="85"/>
      <c r="DH853" s="85"/>
      <c r="DI853" s="85"/>
      <c r="DJ853" s="85"/>
      <c r="DK853" s="85"/>
      <c r="DL853" s="85"/>
      <c r="DM853" s="85"/>
      <c r="DN853" s="85"/>
      <c r="DO853" s="85"/>
      <c r="DP853" s="85"/>
    </row>
    <row r="854">
      <c r="A854" s="91"/>
      <c r="B854" s="91"/>
      <c r="C854" s="91"/>
      <c r="D854" s="91"/>
      <c r="E854" s="78"/>
      <c r="F854" s="15"/>
      <c r="G854" s="15"/>
      <c r="H854" s="91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  <c r="BD854" s="15"/>
      <c r="BE854" s="15"/>
      <c r="BF854" s="15"/>
      <c r="BG854" s="15"/>
      <c r="BH854" s="15"/>
      <c r="BI854" s="15"/>
      <c r="BJ854" s="15"/>
      <c r="BK854" s="15"/>
      <c r="BL854" s="15"/>
      <c r="BM854" s="15"/>
      <c r="BN854" s="92"/>
      <c r="BO854" s="92"/>
      <c r="BP854" s="92"/>
      <c r="BQ854" s="92"/>
      <c r="BR854" s="92"/>
      <c r="BS854" s="92"/>
      <c r="BT854" s="92"/>
      <c r="BU854" s="92"/>
      <c r="BV854" s="92"/>
      <c r="BW854" s="92"/>
      <c r="BX854" s="92"/>
      <c r="BY854" s="92"/>
      <c r="BZ854" s="92"/>
      <c r="CA854" s="92"/>
      <c r="CB854" s="92"/>
      <c r="CC854" s="92"/>
      <c r="CD854" s="92"/>
      <c r="CE854" s="92"/>
      <c r="CF854" s="92"/>
      <c r="CG854" s="92"/>
      <c r="CH854" s="92"/>
      <c r="CI854" s="92"/>
      <c r="CJ854" s="92"/>
      <c r="CK854" s="92"/>
      <c r="CL854" s="92"/>
      <c r="CM854" s="92"/>
      <c r="CN854" s="92"/>
      <c r="CO854" s="92"/>
      <c r="CP854" s="92"/>
      <c r="CQ854" s="92"/>
      <c r="CR854" s="92"/>
      <c r="CS854" s="92"/>
      <c r="CT854" s="92"/>
      <c r="CU854" s="92"/>
      <c r="CV854" s="92"/>
      <c r="CW854" s="92"/>
      <c r="CX854" s="85"/>
      <c r="CY854" s="85"/>
      <c r="CZ854" s="85"/>
      <c r="DA854" s="85"/>
      <c r="DB854" s="85"/>
      <c r="DC854" s="85"/>
      <c r="DD854" s="85"/>
      <c r="DE854" s="85"/>
      <c r="DF854" s="85"/>
      <c r="DG854" s="85"/>
      <c r="DH854" s="85"/>
      <c r="DI854" s="85"/>
      <c r="DJ854" s="85"/>
      <c r="DK854" s="85"/>
      <c r="DL854" s="85"/>
      <c r="DM854" s="85"/>
      <c r="DN854" s="85"/>
      <c r="DO854" s="85"/>
      <c r="DP854" s="85"/>
    </row>
    <row r="855">
      <c r="A855" s="91"/>
      <c r="B855" s="91"/>
      <c r="C855" s="91"/>
      <c r="D855" s="91"/>
      <c r="E855" s="78"/>
      <c r="F855" s="15"/>
      <c r="G855" s="15"/>
      <c r="H855" s="91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5"/>
      <c r="BG855" s="15"/>
      <c r="BH855" s="15"/>
      <c r="BI855" s="15"/>
      <c r="BJ855" s="15"/>
      <c r="BK855" s="15"/>
      <c r="BL855" s="15"/>
      <c r="BM855" s="15"/>
      <c r="BN855" s="92"/>
      <c r="BO855" s="92"/>
      <c r="BP855" s="92"/>
      <c r="BQ855" s="92"/>
      <c r="BR855" s="92"/>
      <c r="BS855" s="92"/>
      <c r="BT855" s="92"/>
      <c r="BU855" s="92"/>
      <c r="BV855" s="92"/>
      <c r="BW855" s="92"/>
      <c r="BX855" s="92"/>
      <c r="BY855" s="92"/>
      <c r="BZ855" s="92"/>
      <c r="CA855" s="92"/>
      <c r="CB855" s="92"/>
      <c r="CC855" s="92"/>
      <c r="CD855" s="92"/>
      <c r="CE855" s="92"/>
      <c r="CF855" s="92"/>
      <c r="CG855" s="92"/>
      <c r="CH855" s="92"/>
      <c r="CI855" s="92"/>
      <c r="CJ855" s="92"/>
      <c r="CK855" s="92"/>
      <c r="CL855" s="92"/>
      <c r="CM855" s="92"/>
      <c r="CN855" s="92"/>
      <c r="CO855" s="92"/>
      <c r="CP855" s="92"/>
      <c r="CQ855" s="92"/>
      <c r="CR855" s="92"/>
      <c r="CS855" s="92"/>
      <c r="CT855" s="92"/>
      <c r="CU855" s="92"/>
      <c r="CV855" s="92"/>
      <c r="CW855" s="92"/>
      <c r="CX855" s="85"/>
      <c r="CY855" s="85"/>
      <c r="CZ855" s="85"/>
      <c r="DA855" s="85"/>
      <c r="DB855" s="85"/>
      <c r="DC855" s="85"/>
      <c r="DD855" s="85"/>
      <c r="DE855" s="85"/>
      <c r="DF855" s="85"/>
      <c r="DG855" s="85"/>
      <c r="DH855" s="85"/>
      <c r="DI855" s="85"/>
      <c r="DJ855" s="85"/>
      <c r="DK855" s="85"/>
      <c r="DL855" s="85"/>
      <c r="DM855" s="85"/>
      <c r="DN855" s="85"/>
      <c r="DO855" s="85"/>
      <c r="DP855" s="85"/>
    </row>
    <row r="856">
      <c r="A856" s="91"/>
      <c r="B856" s="91"/>
      <c r="C856" s="91"/>
      <c r="D856" s="91"/>
      <c r="E856" s="78"/>
      <c r="F856" s="15"/>
      <c r="G856" s="15"/>
      <c r="H856" s="91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  <c r="BD856" s="15"/>
      <c r="BE856" s="15"/>
      <c r="BF856" s="15"/>
      <c r="BG856" s="15"/>
      <c r="BH856" s="15"/>
      <c r="BI856" s="15"/>
      <c r="BJ856" s="15"/>
      <c r="BK856" s="15"/>
      <c r="BL856" s="15"/>
      <c r="BM856" s="15"/>
      <c r="BN856" s="92"/>
      <c r="BO856" s="92"/>
      <c r="BP856" s="92"/>
      <c r="BQ856" s="92"/>
      <c r="BR856" s="92"/>
      <c r="BS856" s="92"/>
      <c r="BT856" s="92"/>
      <c r="BU856" s="92"/>
      <c r="BV856" s="92"/>
      <c r="BW856" s="92"/>
      <c r="BX856" s="92"/>
      <c r="BY856" s="92"/>
      <c r="BZ856" s="92"/>
      <c r="CA856" s="92"/>
      <c r="CB856" s="92"/>
      <c r="CC856" s="92"/>
      <c r="CD856" s="92"/>
      <c r="CE856" s="92"/>
      <c r="CF856" s="92"/>
      <c r="CG856" s="92"/>
      <c r="CH856" s="92"/>
      <c r="CI856" s="92"/>
      <c r="CJ856" s="92"/>
      <c r="CK856" s="92"/>
      <c r="CL856" s="92"/>
      <c r="CM856" s="92"/>
      <c r="CN856" s="92"/>
      <c r="CO856" s="92"/>
      <c r="CP856" s="92"/>
      <c r="CQ856" s="92"/>
      <c r="CR856" s="92"/>
      <c r="CS856" s="92"/>
      <c r="CT856" s="92"/>
      <c r="CU856" s="92"/>
      <c r="CV856" s="92"/>
      <c r="CW856" s="92"/>
      <c r="CX856" s="85"/>
      <c r="CY856" s="85"/>
      <c r="CZ856" s="85"/>
      <c r="DA856" s="85"/>
      <c r="DB856" s="85"/>
      <c r="DC856" s="85"/>
      <c r="DD856" s="85"/>
      <c r="DE856" s="85"/>
      <c r="DF856" s="85"/>
      <c r="DG856" s="85"/>
      <c r="DH856" s="85"/>
      <c r="DI856" s="85"/>
      <c r="DJ856" s="85"/>
      <c r="DK856" s="85"/>
      <c r="DL856" s="85"/>
      <c r="DM856" s="85"/>
      <c r="DN856" s="85"/>
      <c r="DO856" s="85"/>
      <c r="DP856" s="85"/>
    </row>
    <row r="857">
      <c r="A857" s="91"/>
      <c r="B857" s="91"/>
      <c r="C857" s="91"/>
      <c r="D857" s="91"/>
      <c r="E857" s="78"/>
      <c r="F857" s="15"/>
      <c r="G857" s="15"/>
      <c r="H857" s="91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5"/>
      <c r="BG857" s="15"/>
      <c r="BH857" s="15"/>
      <c r="BI857" s="15"/>
      <c r="BJ857" s="15"/>
      <c r="BK857" s="15"/>
      <c r="BL857" s="15"/>
      <c r="BM857" s="15"/>
      <c r="BN857" s="92"/>
      <c r="BO857" s="92"/>
      <c r="BP857" s="92"/>
      <c r="BQ857" s="92"/>
      <c r="BR857" s="92"/>
      <c r="BS857" s="92"/>
      <c r="BT857" s="92"/>
      <c r="BU857" s="92"/>
      <c r="BV857" s="92"/>
      <c r="BW857" s="92"/>
      <c r="BX857" s="92"/>
      <c r="BY857" s="92"/>
      <c r="BZ857" s="92"/>
      <c r="CA857" s="92"/>
      <c r="CB857" s="92"/>
      <c r="CC857" s="92"/>
      <c r="CD857" s="92"/>
      <c r="CE857" s="92"/>
      <c r="CF857" s="92"/>
      <c r="CG857" s="92"/>
      <c r="CH857" s="92"/>
      <c r="CI857" s="92"/>
      <c r="CJ857" s="92"/>
      <c r="CK857" s="92"/>
      <c r="CL857" s="92"/>
      <c r="CM857" s="92"/>
      <c r="CN857" s="92"/>
      <c r="CO857" s="92"/>
      <c r="CP857" s="92"/>
      <c r="CQ857" s="92"/>
      <c r="CR857" s="92"/>
      <c r="CS857" s="92"/>
      <c r="CT857" s="92"/>
      <c r="CU857" s="92"/>
      <c r="CV857" s="92"/>
      <c r="CW857" s="92"/>
      <c r="CX857" s="85"/>
      <c r="CY857" s="85"/>
      <c r="CZ857" s="85"/>
      <c r="DA857" s="85"/>
      <c r="DB857" s="85"/>
      <c r="DC857" s="85"/>
      <c r="DD857" s="85"/>
      <c r="DE857" s="85"/>
      <c r="DF857" s="85"/>
      <c r="DG857" s="85"/>
      <c r="DH857" s="85"/>
      <c r="DI857" s="85"/>
      <c r="DJ857" s="85"/>
      <c r="DK857" s="85"/>
      <c r="DL857" s="85"/>
      <c r="DM857" s="85"/>
      <c r="DN857" s="85"/>
      <c r="DO857" s="85"/>
      <c r="DP857" s="85"/>
    </row>
    <row r="858">
      <c r="A858" s="91"/>
      <c r="B858" s="91"/>
      <c r="C858" s="91"/>
      <c r="D858" s="91"/>
      <c r="E858" s="78"/>
      <c r="F858" s="15"/>
      <c r="G858" s="15"/>
      <c r="H858" s="91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  <c r="BD858" s="15"/>
      <c r="BE858" s="15"/>
      <c r="BF858" s="15"/>
      <c r="BG858" s="15"/>
      <c r="BH858" s="15"/>
      <c r="BI858" s="15"/>
      <c r="BJ858" s="15"/>
      <c r="BK858" s="15"/>
      <c r="BL858" s="15"/>
      <c r="BM858" s="15"/>
      <c r="BN858" s="92"/>
      <c r="BO858" s="92"/>
      <c r="BP858" s="92"/>
      <c r="BQ858" s="92"/>
      <c r="BR858" s="92"/>
      <c r="BS858" s="92"/>
      <c r="BT858" s="92"/>
      <c r="BU858" s="92"/>
      <c r="BV858" s="92"/>
      <c r="BW858" s="92"/>
      <c r="BX858" s="92"/>
      <c r="BY858" s="92"/>
      <c r="BZ858" s="92"/>
      <c r="CA858" s="92"/>
      <c r="CB858" s="92"/>
      <c r="CC858" s="92"/>
      <c r="CD858" s="92"/>
      <c r="CE858" s="92"/>
      <c r="CF858" s="92"/>
      <c r="CG858" s="92"/>
      <c r="CH858" s="92"/>
      <c r="CI858" s="92"/>
      <c r="CJ858" s="92"/>
      <c r="CK858" s="92"/>
      <c r="CL858" s="92"/>
      <c r="CM858" s="92"/>
      <c r="CN858" s="92"/>
      <c r="CO858" s="92"/>
      <c r="CP858" s="92"/>
      <c r="CQ858" s="92"/>
      <c r="CR858" s="92"/>
      <c r="CS858" s="92"/>
      <c r="CT858" s="92"/>
      <c r="CU858" s="92"/>
      <c r="CV858" s="92"/>
      <c r="CW858" s="92"/>
      <c r="CX858" s="85"/>
      <c r="CY858" s="85"/>
      <c r="CZ858" s="85"/>
      <c r="DA858" s="85"/>
      <c r="DB858" s="85"/>
      <c r="DC858" s="85"/>
      <c r="DD858" s="85"/>
      <c r="DE858" s="85"/>
      <c r="DF858" s="85"/>
      <c r="DG858" s="85"/>
      <c r="DH858" s="85"/>
      <c r="DI858" s="85"/>
      <c r="DJ858" s="85"/>
      <c r="DK858" s="85"/>
      <c r="DL858" s="85"/>
      <c r="DM858" s="85"/>
      <c r="DN858" s="85"/>
      <c r="DO858" s="85"/>
      <c r="DP858" s="85"/>
    </row>
    <row r="859">
      <c r="A859" s="91"/>
      <c r="B859" s="91"/>
      <c r="C859" s="91"/>
      <c r="D859" s="91"/>
      <c r="E859" s="78"/>
      <c r="F859" s="15"/>
      <c r="G859" s="15"/>
      <c r="H859" s="91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5"/>
      <c r="BG859" s="15"/>
      <c r="BH859" s="15"/>
      <c r="BI859" s="15"/>
      <c r="BJ859" s="15"/>
      <c r="BK859" s="15"/>
      <c r="BL859" s="15"/>
      <c r="BM859" s="15"/>
      <c r="BN859" s="92"/>
      <c r="BO859" s="92"/>
      <c r="BP859" s="92"/>
      <c r="BQ859" s="92"/>
      <c r="BR859" s="92"/>
      <c r="BS859" s="92"/>
      <c r="BT859" s="92"/>
      <c r="BU859" s="92"/>
      <c r="BV859" s="92"/>
      <c r="BW859" s="92"/>
      <c r="BX859" s="92"/>
      <c r="BY859" s="92"/>
      <c r="BZ859" s="92"/>
      <c r="CA859" s="92"/>
      <c r="CB859" s="92"/>
      <c r="CC859" s="92"/>
      <c r="CD859" s="92"/>
      <c r="CE859" s="92"/>
      <c r="CF859" s="92"/>
      <c r="CG859" s="92"/>
      <c r="CH859" s="92"/>
      <c r="CI859" s="92"/>
      <c r="CJ859" s="92"/>
      <c r="CK859" s="92"/>
      <c r="CL859" s="92"/>
      <c r="CM859" s="92"/>
      <c r="CN859" s="92"/>
      <c r="CO859" s="92"/>
      <c r="CP859" s="92"/>
      <c r="CQ859" s="92"/>
      <c r="CR859" s="92"/>
      <c r="CS859" s="92"/>
      <c r="CT859" s="92"/>
      <c r="CU859" s="92"/>
      <c r="CV859" s="92"/>
      <c r="CW859" s="92"/>
      <c r="CX859" s="85"/>
      <c r="CY859" s="85"/>
      <c r="CZ859" s="85"/>
      <c r="DA859" s="85"/>
      <c r="DB859" s="85"/>
      <c r="DC859" s="85"/>
      <c r="DD859" s="85"/>
      <c r="DE859" s="85"/>
      <c r="DF859" s="85"/>
      <c r="DG859" s="85"/>
      <c r="DH859" s="85"/>
      <c r="DI859" s="85"/>
      <c r="DJ859" s="85"/>
      <c r="DK859" s="85"/>
      <c r="DL859" s="85"/>
      <c r="DM859" s="85"/>
      <c r="DN859" s="85"/>
      <c r="DO859" s="85"/>
      <c r="DP859" s="85"/>
    </row>
    <row r="860">
      <c r="A860" s="91"/>
      <c r="B860" s="91"/>
      <c r="C860" s="91"/>
      <c r="D860" s="91"/>
      <c r="E860" s="78"/>
      <c r="F860" s="15"/>
      <c r="G860" s="15"/>
      <c r="H860" s="91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  <c r="BD860" s="15"/>
      <c r="BE860" s="15"/>
      <c r="BF860" s="15"/>
      <c r="BG860" s="15"/>
      <c r="BH860" s="15"/>
      <c r="BI860" s="15"/>
      <c r="BJ860" s="15"/>
      <c r="BK860" s="15"/>
      <c r="BL860" s="15"/>
      <c r="BM860" s="15"/>
      <c r="BN860" s="92"/>
      <c r="BO860" s="92"/>
      <c r="BP860" s="92"/>
      <c r="BQ860" s="92"/>
      <c r="BR860" s="92"/>
      <c r="BS860" s="92"/>
      <c r="BT860" s="92"/>
      <c r="BU860" s="92"/>
      <c r="BV860" s="92"/>
      <c r="BW860" s="92"/>
      <c r="BX860" s="92"/>
      <c r="BY860" s="92"/>
      <c r="BZ860" s="92"/>
      <c r="CA860" s="92"/>
      <c r="CB860" s="92"/>
      <c r="CC860" s="92"/>
      <c r="CD860" s="92"/>
      <c r="CE860" s="92"/>
      <c r="CF860" s="92"/>
      <c r="CG860" s="92"/>
      <c r="CH860" s="92"/>
      <c r="CI860" s="92"/>
      <c r="CJ860" s="92"/>
      <c r="CK860" s="92"/>
      <c r="CL860" s="92"/>
      <c r="CM860" s="92"/>
      <c r="CN860" s="92"/>
      <c r="CO860" s="92"/>
      <c r="CP860" s="92"/>
      <c r="CQ860" s="92"/>
      <c r="CR860" s="92"/>
      <c r="CS860" s="92"/>
      <c r="CT860" s="92"/>
      <c r="CU860" s="92"/>
      <c r="CV860" s="92"/>
      <c r="CW860" s="92"/>
      <c r="CX860" s="85"/>
      <c r="CY860" s="85"/>
      <c r="CZ860" s="85"/>
      <c r="DA860" s="85"/>
      <c r="DB860" s="85"/>
      <c r="DC860" s="85"/>
      <c r="DD860" s="85"/>
      <c r="DE860" s="85"/>
      <c r="DF860" s="85"/>
      <c r="DG860" s="85"/>
      <c r="DH860" s="85"/>
      <c r="DI860" s="85"/>
      <c r="DJ860" s="85"/>
      <c r="DK860" s="85"/>
      <c r="DL860" s="85"/>
      <c r="DM860" s="85"/>
      <c r="DN860" s="85"/>
      <c r="DO860" s="85"/>
      <c r="DP860" s="85"/>
    </row>
    <row r="861">
      <c r="A861" s="91"/>
      <c r="B861" s="91"/>
      <c r="C861" s="91"/>
      <c r="D861" s="91"/>
      <c r="E861" s="78"/>
      <c r="F861" s="15"/>
      <c r="G861" s="15"/>
      <c r="H861" s="91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5"/>
      <c r="BG861" s="15"/>
      <c r="BH861" s="15"/>
      <c r="BI861" s="15"/>
      <c r="BJ861" s="15"/>
      <c r="BK861" s="15"/>
      <c r="BL861" s="15"/>
      <c r="BM861" s="15"/>
      <c r="BN861" s="92"/>
      <c r="BO861" s="92"/>
      <c r="BP861" s="92"/>
      <c r="BQ861" s="92"/>
      <c r="BR861" s="92"/>
      <c r="BS861" s="92"/>
      <c r="BT861" s="92"/>
      <c r="BU861" s="92"/>
      <c r="BV861" s="92"/>
      <c r="BW861" s="92"/>
      <c r="BX861" s="92"/>
      <c r="BY861" s="92"/>
      <c r="BZ861" s="92"/>
      <c r="CA861" s="92"/>
      <c r="CB861" s="92"/>
      <c r="CC861" s="92"/>
      <c r="CD861" s="92"/>
      <c r="CE861" s="92"/>
      <c r="CF861" s="92"/>
      <c r="CG861" s="92"/>
      <c r="CH861" s="92"/>
      <c r="CI861" s="92"/>
      <c r="CJ861" s="92"/>
      <c r="CK861" s="92"/>
      <c r="CL861" s="92"/>
      <c r="CM861" s="92"/>
      <c r="CN861" s="92"/>
      <c r="CO861" s="92"/>
      <c r="CP861" s="92"/>
      <c r="CQ861" s="92"/>
      <c r="CR861" s="92"/>
      <c r="CS861" s="92"/>
      <c r="CT861" s="92"/>
      <c r="CU861" s="92"/>
      <c r="CV861" s="92"/>
      <c r="CW861" s="92"/>
      <c r="CX861" s="85"/>
      <c r="CY861" s="85"/>
      <c r="CZ861" s="85"/>
      <c r="DA861" s="85"/>
      <c r="DB861" s="85"/>
      <c r="DC861" s="85"/>
      <c r="DD861" s="85"/>
      <c r="DE861" s="85"/>
      <c r="DF861" s="85"/>
      <c r="DG861" s="85"/>
      <c r="DH861" s="85"/>
      <c r="DI861" s="85"/>
      <c r="DJ861" s="85"/>
      <c r="DK861" s="85"/>
      <c r="DL861" s="85"/>
      <c r="DM861" s="85"/>
      <c r="DN861" s="85"/>
      <c r="DO861" s="85"/>
      <c r="DP861" s="85"/>
    </row>
    <row r="862">
      <c r="A862" s="91"/>
      <c r="B862" s="91"/>
      <c r="C862" s="91"/>
      <c r="D862" s="91"/>
      <c r="E862" s="78"/>
      <c r="F862" s="15"/>
      <c r="G862" s="15"/>
      <c r="H862" s="91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  <c r="BD862" s="15"/>
      <c r="BE862" s="15"/>
      <c r="BF862" s="15"/>
      <c r="BG862" s="15"/>
      <c r="BH862" s="15"/>
      <c r="BI862" s="15"/>
      <c r="BJ862" s="15"/>
      <c r="BK862" s="15"/>
      <c r="BL862" s="15"/>
      <c r="BM862" s="15"/>
      <c r="BN862" s="92"/>
      <c r="BO862" s="92"/>
      <c r="BP862" s="92"/>
      <c r="BQ862" s="92"/>
      <c r="BR862" s="92"/>
      <c r="BS862" s="92"/>
      <c r="BT862" s="92"/>
      <c r="BU862" s="92"/>
      <c r="BV862" s="92"/>
      <c r="BW862" s="92"/>
      <c r="BX862" s="92"/>
      <c r="BY862" s="92"/>
      <c r="BZ862" s="92"/>
      <c r="CA862" s="92"/>
      <c r="CB862" s="92"/>
      <c r="CC862" s="92"/>
      <c r="CD862" s="92"/>
      <c r="CE862" s="92"/>
      <c r="CF862" s="92"/>
      <c r="CG862" s="92"/>
      <c r="CH862" s="92"/>
      <c r="CI862" s="92"/>
      <c r="CJ862" s="92"/>
      <c r="CK862" s="92"/>
      <c r="CL862" s="92"/>
      <c r="CM862" s="92"/>
      <c r="CN862" s="92"/>
      <c r="CO862" s="92"/>
      <c r="CP862" s="92"/>
      <c r="CQ862" s="92"/>
      <c r="CR862" s="92"/>
      <c r="CS862" s="92"/>
      <c r="CT862" s="92"/>
      <c r="CU862" s="92"/>
      <c r="CV862" s="92"/>
      <c r="CW862" s="92"/>
      <c r="CX862" s="85"/>
      <c r="CY862" s="85"/>
      <c r="CZ862" s="85"/>
      <c r="DA862" s="85"/>
      <c r="DB862" s="85"/>
      <c r="DC862" s="85"/>
      <c r="DD862" s="85"/>
      <c r="DE862" s="85"/>
      <c r="DF862" s="85"/>
      <c r="DG862" s="85"/>
      <c r="DH862" s="85"/>
      <c r="DI862" s="85"/>
      <c r="DJ862" s="85"/>
      <c r="DK862" s="85"/>
      <c r="DL862" s="85"/>
      <c r="DM862" s="85"/>
      <c r="DN862" s="85"/>
      <c r="DO862" s="85"/>
      <c r="DP862" s="85"/>
    </row>
    <row r="863">
      <c r="A863" s="91"/>
      <c r="B863" s="91"/>
      <c r="C863" s="91"/>
      <c r="D863" s="91"/>
      <c r="E863" s="78"/>
      <c r="F863" s="15"/>
      <c r="G863" s="15"/>
      <c r="H863" s="91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5"/>
      <c r="BG863" s="15"/>
      <c r="BH863" s="15"/>
      <c r="BI863" s="15"/>
      <c r="BJ863" s="15"/>
      <c r="BK863" s="15"/>
      <c r="BL863" s="15"/>
      <c r="BM863" s="15"/>
      <c r="BN863" s="92"/>
      <c r="BO863" s="92"/>
      <c r="BP863" s="92"/>
      <c r="BQ863" s="92"/>
      <c r="BR863" s="92"/>
      <c r="BS863" s="92"/>
      <c r="BT863" s="92"/>
      <c r="BU863" s="92"/>
      <c r="BV863" s="92"/>
      <c r="BW863" s="92"/>
      <c r="BX863" s="92"/>
      <c r="BY863" s="92"/>
      <c r="BZ863" s="92"/>
      <c r="CA863" s="92"/>
      <c r="CB863" s="92"/>
      <c r="CC863" s="92"/>
      <c r="CD863" s="92"/>
      <c r="CE863" s="92"/>
      <c r="CF863" s="92"/>
      <c r="CG863" s="92"/>
      <c r="CH863" s="92"/>
      <c r="CI863" s="92"/>
      <c r="CJ863" s="92"/>
      <c r="CK863" s="92"/>
      <c r="CL863" s="92"/>
      <c r="CM863" s="92"/>
      <c r="CN863" s="92"/>
      <c r="CO863" s="92"/>
      <c r="CP863" s="92"/>
      <c r="CQ863" s="92"/>
      <c r="CR863" s="92"/>
      <c r="CS863" s="92"/>
      <c r="CT863" s="92"/>
      <c r="CU863" s="92"/>
      <c r="CV863" s="92"/>
      <c r="CW863" s="92"/>
      <c r="CX863" s="85"/>
      <c r="CY863" s="85"/>
      <c r="CZ863" s="85"/>
      <c r="DA863" s="85"/>
      <c r="DB863" s="85"/>
      <c r="DC863" s="85"/>
      <c r="DD863" s="85"/>
      <c r="DE863" s="85"/>
      <c r="DF863" s="85"/>
      <c r="DG863" s="85"/>
      <c r="DH863" s="85"/>
      <c r="DI863" s="85"/>
      <c r="DJ863" s="85"/>
      <c r="DK863" s="85"/>
      <c r="DL863" s="85"/>
      <c r="DM863" s="85"/>
      <c r="DN863" s="85"/>
      <c r="DO863" s="85"/>
      <c r="DP863" s="85"/>
    </row>
    <row r="864">
      <c r="A864" s="91"/>
      <c r="B864" s="91"/>
      <c r="C864" s="91"/>
      <c r="D864" s="91"/>
      <c r="E864" s="78"/>
      <c r="F864" s="15"/>
      <c r="G864" s="15"/>
      <c r="H864" s="91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  <c r="BD864" s="15"/>
      <c r="BE864" s="15"/>
      <c r="BF864" s="15"/>
      <c r="BG864" s="15"/>
      <c r="BH864" s="15"/>
      <c r="BI864" s="15"/>
      <c r="BJ864" s="15"/>
      <c r="BK864" s="15"/>
      <c r="BL864" s="15"/>
      <c r="BM864" s="15"/>
      <c r="BN864" s="92"/>
      <c r="BO864" s="92"/>
      <c r="BP864" s="92"/>
      <c r="BQ864" s="92"/>
      <c r="BR864" s="92"/>
      <c r="BS864" s="92"/>
      <c r="BT864" s="92"/>
      <c r="BU864" s="92"/>
      <c r="BV864" s="92"/>
      <c r="BW864" s="92"/>
      <c r="BX864" s="92"/>
      <c r="BY864" s="92"/>
      <c r="BZ864" s="92"/>
      <c r="CA864" s="92"/>
      <c r="CB864" s="92"/>
      <c r="CC864" s="92"/>
      <c r="CD864" s="92"/>
      <c r="CE864" s="92"/>
      <c r="CF864" s="92"/>
      <c r="CG864" s="92"/>
      <c r="CH864" s="92"/>
      <c r="CI864" s="92"/>
      <c r="CJ864" s="92"/>
      <c r="CK864" s="92"/>
      <c r="CL864" s="92"/>
      <c r="CM864" s="92"/>
      <c r="CN864" s="92"/>
      <c r="CO864" s="92"/>
      <c r="CP864" s="92"/>
      <c r="CQ864" s="92"/>
      <c r="CR864" s="92"/>
      <c r="CS864" s="92"/>
      <c r="CT864" s="92"/>
      <c r="CU864" s="92"/>
      <c r="CV864" s="92"/>
      <c r="CW864" s="92"/>
      <c r="CX864" s="85"/>
      <c r="CY864" s="85"/>
      <c r="CZ864" s="85"/>
      <c r="DA864" s="85"/>
      <c r="DB864" s="85"/>
      <c r="DC864" s="85"/>
      <c r="DD864" s="85"/>
      <c r="DE864" s="85"/>
      <c r="DF864" s="85"/>
      <c r="DG864" s="85"/>
      <c r="DH864" s="85"/>
      <c r="DI864" s="85"/>
      <c r="DJ864" s="85"/>
      <c r="DK864" s="85"/>
      <c r="DL864" s="85"/>
      <c r="DM864" s="85"/>
      <c r="DN864" s="85"/>
      <c r="DO864" s="85"/>
      <c r="DP864" s="85"/>
    </row>
    <row r="865">
      <c r="A865" s="91"/>
      <c r="B865" s="91"/>
      <c r="C865" s="91"/>
      <c r="D865" s="91"/>
      <c r="E865" s="78"/>
      <c r="F865" s="15"/>
      <c r="G865" s="15"/>
      <c r="H865" s="91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5"/>
      <c r="BG865" s="15"/>
      <c r="BH865" s="15"/>
      <c r="BI865" s="15"/>
      <c r="BJ865" s="15"/>
      <c r="BK865" s="15"/>
      <c r="BL865" s="15"/>
      <c r="BM865" s="15"/>
      <c r="BN865" s="92"/>
      <c r="BO865" s="92"/>
      <c r="BP865" s="92"/>
      <c r="BQ865" s="92"/>
      <c r="BR865" s="92"/>
      <c r="BS865" s="92"/>
      <c r="BT865" s="92"/>
      <c r="BU865" s="92"/>
      <c r="BV865" s="92"/>
      <c r="BW865" s="92"/>
      <c r="BX865" s="92"/>
      <c r="BY865" s="92"/>
      <c r="BZ865" s="92"/>
      <c r="CA865" s="92"/>
      <c r="CB865" s="92"/>
      <c r="CC865" s="92"/>
      <c r="CD865" s="92"/>
      <c r="CE865" s="92"/>
      <c r="CF865" s="92"/>
      <c r="CG865" s="92"/>
      <c r="CH865" s="92"/>
      <c r="CI865" s="92"/>
      <c r="CJ865" s="92"/>
      <c r="CK865" s="92"/>
      <c r="CL865" s="92"/>
      <c r="CM865" s="92"/>
      <c r="CN865" s="92"/>
      <c r="CO865" s="92"/>
      <c r="CP865" s="92"/>
      <c r="CQ865" s="92"/>
      <c r="CR865" s="92"/>
      <c r="CS865" s="92"/>
      <c r="CT865" s="92"/>
      <c r="CU865" s="92"/>
      <c r="CV865" s="92"/>
      <c r="CW865" s="92"/>
      <c r="CX865" s="85"/>
      <c r="CY865" s="85"/>
      <c r="CZ865" s="85"/>
      <c r="DA865" s="85"/>
      <c r="DB865" s="85"/>
      <c r="DC865" s="85"/>
      <c r="DD865" s="85"/>
      <c r="DE865" s="85"/>
      <c r="DF865" s="85"/>
      <c r="DG865" s="85"/>
      <c r="DH865" s="85"/>
      <c r="DI865" s="85"/>
      <c r="DJ865" s="85"/>
      <c r="DK865" s="85"/>
      <c r="DL865" s="85"/>
      <c r="DM865" s="85"/>
      <c r="DN865" s="85"/>
      <c r="DO865" s="85"/>
      <c r="DP865" s="85"/>
    </row>
    <row r="866">
      <c r="A866" s="91"/>
      <c r="B866" s="91"/>
      <c r="C866" s="91"/>
      <c r="D866" s="91"/>
      <c r="E866" s="78"/>
      <c r="F866" s="15"/>
      <c r="G866" s="15"/>
      <c r="H866" s="91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  <c r="BD866" s="15"/>
      <c r="BE866" s="15"/>
      <c r="BF866" s="15"/>
      <c r="BG866" s="15"/>
      <c r="BH866" s="15"/>
      <c r="BI866" s="15"/>
      <c r="BJ866" s="15"/>
      <c r="BK866" s="15"/>
      <c r="BL866" s="15"/>
      <c r="BM866" s="15"/>
      <c r="BN866" s="92"/>
      <c r="BO866" s="92"/>
      <c r="BP866" s="92"/>
      <c r="BQ866" s="92"/>
      <c r="BR866" s="92"/>
      <c r="BS866" s="92"/>
      <c r="BT866" s="92"/>
      <c r="BU866" s="92"/>
      <c r="BV866" s="92"/>
      <c r="BW866" s="92"/>
      <c r="BX866" s="92"/>
      <c r="BY866" s="92"/>
      <c r="BZ866" s="92"/>
      <c r="CA866" s="92"/>
      <c r="CB866" s="92"/>
      <c r="CC866" s="92"/>
      <c r="CD866" s="92"/>
      <c r="CE866" s="92"/>
      <c r="CF866" s="92"/>
      <c r="CG866" s="92"/>
      <c r="CH866" s="92"/>
      <c r="CI866" s="92"/>
      <c r="CJ866" s="92"/>
      <c r="CK866" s="92"/>
      <c r="CL866" s="92"/>
      <c r="CM866" s="92"/>
      <c r="CN866" s="92"/>
      <c r="CO866" s="92"/>
      <c r="CP866" s="92"/>
      <c r="CQ866" s="92"/>
      <c r="CR866" s="92"/>
      <c r="CS866" s="92"/>
      <c r="CT866" s="92"/>
      <c r="CU866" s="92"/>
      <c r="CV866" s="92"/>
      <c r="CW866" s="92"/>
      <c r="CX866" s="85"/>
      <c r="CY866" s="85"/>
      <c r="CZ866" s="85"/>
      <c r="DA866" s="85"/>
      <c r="DB866" s="85"/>
      <c r="DC866" s="85"/>
      <c r="DD866" s="85"/>
      <c r="DE866" s="85"/>
      <c r="DF866" s="85"/>
      <c r="DG866" s="85"/>
      <c r="DH866" s="85"/>
      <c r="DI866" s="85"/>
      <c r="DJ866" s="85"/>
      <c r="DK866" s="85"/>
      <c r="DL866" s="85"/>
      <c r="DM866" s="85"/>
      <c r="DN866" s="85"/>
      <c r="DO866" s="85"/>
      <c r="DP866" s="85"/>
    </row>
    <row r="867">
      <c r="A867" s="91"/>
      <c r="B867" s="91"/>
      <c r="C867" s="91"/>
      <c r="D867" s="91"/>
      <c r="E867" s="78"/>
      <c r="F867" s="15"/>
      <c r="G867" s="15"/>
      <c r="H867" s="91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5"/>
      <c r="BG867" s="15"/>
      <c r="BH867" s="15"/>
      <c r="BI867" s="15"/>
      <c r="BJ867" s="15"/>
      <c r="BK867" s="15"/>
      <c r="BL867" s="15"/>
      <c r="BM867" s="15"/>
      <c r="BN867" s="92"/>
      <c r="BO867" s="92"/>
      <c r="BP867" s="92"/>
      <c r="BQ867" s="92"/>
      <c r="BR867" s="92"/>
      <c r="BS867" s="92"/>
      <c r="BT867" s="92"/>
      <c r="BU867" s="92"/>
      <c r="BV867" s="92"/>
      <c r="BW867" s="92"/>
      <c r="BX867" s="92"/>
      <c r="BY867" s="92"/>
      <c r="BZ867" s="92"/>
      <c r="CA867" s="92"/>
      <c r="CB867" s="92"/>
      <c r="CC867" s="92"/>
      <c r="CD867" s="92"/>
      <c r="CE867" s="92"/>
      <c r="CF867" s="92"/>
      <c r="CG867" s="92"/>
      <c r="CH867" s="92"/>
      <c r="CI867" s="92"/>
      <c r="CJ867" s="92"/>
      <c r="CK867" s="92"/>
      <c r="CL867" s="92"/>
      <c r="CM867" s="92"/>
      <c r="CN867" s="92"/>
      <c r="CO867" s="92"/>
      <c r="CP867" s="92"/>
      <c r="CQ867" s="92"/>
      <c r="CR867" s="92"/>
      <c r="CS867" s="92"/>
      <c r="CT867" s="92"/>
      <c r="CU867" s="92"/>
      <c r="CV867" s="92"/>
      <c r="CW867" s="92"/>
      <c r="CX867" s="85"/>
      <c r="CY867" s="85"/>
      <c r="CZ867" s="85"/>
      <c r="DA867" s="85"/>
      <c r="DB867" s="85"/>
      <c r="DC867" s="85"/>
      <c r="DD867" s="85"/>
      <c r="DE867" s="85"/>
      <c r="DF867" s="85"/>
      <c r="DG867" s="85"/>
      <c r="DH867" s="85"/>
      <c r="DI867" s="85"/>
      <c r="DJ867" s="85"/>
      <c r="DK867" s="85"/>
      <c r="DL867" s="85"/>
      <c r="DM867" s="85"/>
      <c r="DN867" s="85"/>
      <c r="DO867" s="85"/>
      <c r="DP867" s="85"/>
    </row>
    <row r="868">
      <c r="A868" s="91"/>
      <c r="B868" s="91"/>
      <c r="C868" s="91"/>
      <c r="D868" s="91"/>
      <c r="E868" s="78"/>
      <c r="F868" s="15"/>
      <c r="G868" s="15"/>
      <c r="H868" s="91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  <c r="BD868" s="15"/>
      <c r="BE868" s="15"/>
      <c r="BF868" s="15"/>
      <c r="BG868" s="15"/>
      <c r="BH868" s="15"/>
      <c r="BI868" s="15"/>
      <c r="BJ868" s="15"/>
      <c r="BK868" s="15"/>
      <c r="BL868" s="15"/>
      <c r="BM868" s="15"/>
      <c r="BN868" s="92"/>
      <c r="BO868" s="92"/>
      <c r="BP868" s="92"/>
      <c r="BQ868" s="92"/>
      <c r="BR868" s="92"/>
      <c r="BS868" s="92"/>
      <c r="BT868" s="92"/>
      <c r="BU868" s="92"/>
      <c r="BV868" s="92"/>
      <c r="BW868" s="92"/>
      <c r="BX868" s="92"/>
      <c r="BY868" s="92"/>
      <c r="BZ868" s="92"/>
      <c r="CA868" s="92"/>
      <c r="CB868" s="92"/>
      <c r="CC868" s="92"/>
      <c r="CD868" s="92"/>
      <c r="CE868" s="92"/>
      <c r="CF868" s="92"/>
      <c r="CG868" s="92"/>
      <c r="CH868" s="92"/>
      <c r="CI868" s="92"/>
      <c r="CJ868" s="92"/>
      <c r="CK868" s="92"/>
      <c r="CL868" s="92"/>
      <c r="CM868" s="92"/>
      <c r="CN868" s="92"/>
      <c r="CO868" s="92"/>
      <c r="CP868" s="92"/>
      <c r="CQ868" s="92"/>
      <c r="CR868" s="92"/>
      <c r="CS868" s="92"/>
      <c r="CT868" s="92"/>
      <c r="CU868" s="92"/>
      <c r="CV868" s="92"/>
      <c r="CW868" s="92"/>
      <c r="CX868" s="85"/>
      <c r="CY868" s="85"/>
      <c r="CZ868" s="85"/>
      <c r="DA868" s="85"/>
      <c r="DB868" s="85"/>
      <c r="DC868" s="85"/>
      <c r="DD868" s="85"/>
      <c r="DE868" s="85"/>
      <c r="DF868" s="85"/>
      <c r="DG868" s="85"/>
      <c r="DH868" s="85"/>
      <c r="DI868" s="85"/>
      <c r="DJ868" s="85"/>
      <c r="DK868" s="85"/>
      <c r="DL868" s="85"/>
      <c r="DM868" s="85"/>
      <c r="DN868" s="85"/>
      <c r="DO868" s="85"/>
      <c r="DP868" s="85"/>
    </row>
    <row r="869">
      <c r="A869" s="91"/>
      <c r="B869" s="91"/>
      <c r="C869" s="91"/>
      <c r="D869" s="91"/>
      <c r="E869" s="78"/>
      <c r="F869" s="15"/>
      <c r="G869" s="15"/>
      <c r="H869" s="91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  <c r="BE869" s="15"/>
      <c r="BF869" s="15"/>
      <c r="BG869" s="15"/>
      <c r="BH869" s="15"/>
      <c r="BI869" s="15"/>
      <c r="BJ869" s="15"/>
      <c r="BK869" s="15"/>
      <c r="BL869" s="15"/>
      <c r="BM869" s="15"/>
      <c r="BN869" s="92"/>
      <c r="BO869" s="92"/>
      <c r="BP869" s="92"/>
      <c r="BQ869" s="92"/>
      <c r="BR869" s="92"/>
      <c r="BS869" s="92"/>
      <c r="BT869" s="92"/>
      <c r="BU869" s="92"/>
      <c r="BV869" s="92"/>
      <c r="BW869" s="92"/>
      <c r="BX869" s="92"/>
      <c r="BY869" s="92"/>
      <c r="BZ869" s="92"/>
      <c r="CA869" s="92"/>
      <c r="CB869" s="92"/>
      <c r="CC869" s="92"/>
      <c r="CD869" s="92"/>
      <c r="CE869" s="92"/>
      <c r="CF869" s="92"/>
      <c r="CG869" s="92"/>
      <c r="CH869" s="92"/>
      <c r="CI869" s="92"/>
      <c r="CJ869" s="92"/>
      <c r="CK869" s="92"/>
      <c r="CL869" s="92"/>
      <c r="CM869" s="92"/>
      <c r="CN869" s="92"/>
      <c r="CO869" s="92"/>
      <c r="CP869" s="92"/>
      <c r="CQ869" s="92"/>
      <c r="CR869" s="92"/>
      <c r="CS869" s="92"/>
      <c r="CT869" s="92"/>
      <c r="CU869" s="92"/>
      <c r="CV869" s="92"/>
      <c r="CW869" s="92"/>
      <c r="CX869" s="85"/>
      <c r="CY869" s="85"/>
      <c r="CZ869" s="85"/>
      <c r="DA869" s="85"/>
      <c r="DB869" s="85"/>
      <c r="DC869" s="85"/>
      <c r="DD869" s="85"/>
      <c r="DE869" s="85"/>
      <c r="DF869" s="85"/>
      <c r="DG869" s="85"/>
      <c r="DH869" s="85"/>
      <c r="DI869" s="85"/>
      <c r="DJ869" s="85"/>
      <c r="DK869" s="85"/>
      <c r="DL869" s="85"/>
      <c r="DM869" s="85"/>
      <c r="DN869" s="85"/>
      <c r="DO869" s="85"/>
      <c r="DP869" s="85"/>
    </row>
    <row r="870">
      <c r="A870" s="91"/>
      <c r="B870" s="91"/>
      <c r="C870" s="91"/>
      <c r="D870" s="91"/>
      <c r="E870" s="78"/>
      <c r="F870" s="15"/>
      <c r="G870" s="15"/>
      <c r="H870" s="91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  <c r="BC870" s="15"/>
      <c r="BD870" s="15"/>
      <c r="BE870" s="15"/>
      <c r="BF870" s="15"/>
      <c r="BG870" s="15"/>
      <c r="BH870" s="15"/>
      <c r="BI870" s="15"/>
      <c r="BJ870" s="15"/>
      <c r="BK870" s="15"/>
      <c r="BL870" s="15"/>
      <c r="BM870" s="15"/>
      <c r="BN870" s="92"/>
      <c r="BO870" s="92"/>
      <c r="BP870" s="92"/>
      <c r="BQ870" s="92"/>
      <c r="BR870" s="92"/>
      <c r="BS870" s="92"/>
      <c r="BT870" s="92"/>
      <c r="BU870" s="92"/>
      <c r="BV870" s="92"/>
      <c r="BW870" s="92"/>
      <c r="BX870" s="92"/>
      <c r="BY870" s="92"/>
      <c r="BZ870" s="92"/>
      <c r="CA870" s="92"/>
      <c r="CB870" s="92"/>
      <c r="CC870" s="92"/>
      <c r="CD870" s="92"/>
      <c r="CE870" s="92"/>
      <c r="CF870" s="92"/>
      <c r="CG870" s="92"/>
      <c r="CH870" s="92"/>
      <c r="CI870" s="92"/>
      <c r="CJ870" s="92"/>
      <c r="CK870" s="92"/>
      <c r="CL870" s="92"/>
      <c r="CM870" s="92"/>
      <c r="CN870" s="92"/>
      <c r="CO870" s="92"/>
      <c r="CP870" s="92"/>
      <c r="CQ870" s="92"/>
      <c r="CR870" s="92"/>
      <c r="CS870" s="92"/>
      <c r="CT870" s="92"/>
      <c r="CU870" s="92"/>
      <c r="CV870" s="92"/>
      <c r="CW870" s="92"/>
      <c r="CX870" s="85"/>
      <c r="CY870" s="85"/>
      <c r="CZ870" s="85"/>
      <c r="DA870" s="85"/>
      <c r="DB870" s="85"/>
      <c r="DC870" s="85"/>
      <c r="DD870" s="85"/>
      <c r="DE870" s="85"/>
      <c r="DF870" s="85"/>
      <c r="DG870" s="85"/>
      <c r="DH870" s="85"/>
      <c r="DI870" s="85"/>
      <c r="DJ870" s="85"/>
      <c r="DK870" s="85"/>
      <c r="DL870" s="85"/>
      <c r="DM870" s="85"/>
      <c r="DN870" s="85"/>
      <c r="DO870" s="85"/>
      <c r="DP870" s="85"/>
    </row>
    <row r="871">
      <c r="A871" s="91"/>
      <c r="B871" s="91"/>
      <c r="C871" s="91"/>
      <c r="D871" s="91"/>
      <c r="E871" s="78"/>
      <c r="F871" s="15"/>
      <c r="G871" s="15"/>
      <c r="H871" s="91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5"/>
      <c r="BG871" s="15"/>
      <c r="BH871" s="15"/>
      <c r="BI871" s="15"/>
      <c r="BJ871" s="15"/>
      <c r="BK871" s="15"/>
      <c r="BL871" s="15"/>
      <c r="BM871" s="15"/>
      <c r="BN871" s="92"/>
      <c r="BO871" s="92"/>
      <c r="BP871" s="92"/>
      <c r="BQ871" s="92"/>
      <c r="BR871" s="92"/>
      <c r="BS871" s="92"/>
      <c r="BT871" s="92"/>
      <c r="BU871" s="92"/>
      <c r="BV871" s="92"/>
      <c r="BW871" s="92"/>
      <c r="BX871" s="92"/>
      <c r="BY871" s="92"/>
      <c r="BZ871" s="92"/>
      <c r="CA871" s="92"/>
      <c r="CB871" s="92"/>
      <c r="CC871" s="92"/>
      <c r="CD871" s="92"/>
      <c r="CE871" s="92"/>
      <c r="CF871" s="92"/>
      <c r="CG871" s="92"/>
      <c r="CH871" s="92"/>
      <c r="CI871" s="92"/>
      <c r="CJ871" s="92"/>
      <c r="CK871" s="92"/>
      <c r="CL871" s="92"/>
      <c r="CM871" s="92"/>
      <c r="CN871" s="92"/>
      <c r="CO871" s="92"/>
      <c r="CP871" s="92"/>
      <c r="CQ871" s="92"/>
      <c r="CR871" s="92"/>
      <c r="CS871" s="92"/>
      <c r="CT871" s="92"/>
      <c r="CU871" s="92"/>
      <c r="CV871" s="92"/>
      <c r="CW871" s="92"/>
      <c r="CX871" s="85"/>
      <c r="CY871" s="85"/>
      <c r="CZ871" s="85"/>
      <c r="DA871" s="85"/>
      <c r="DB871" s="85"/>
      <c r="DC871" s="85"/>
      <c r="DD871" s="85"/>
      <c r="DE871" s="85"/>
      <c r="DF871" s="85"/>
      <c r="DG871" s="85"/>
      <c r="DH871" s="85"/>
      <c r="DI871" s="85"/>
      <c r="DJ871" s="85"/>
      <c r="DK871" s="85"/>
      <c r="DL871" s="85"/>
      <c r="DM871" s="85"/>
      <c r="DN871" s="85"/>
      <c r="DO871" s="85"/>
      <c r="DP871" s="85"/>
    </row>
    <row r="872">
      <c r="A872" s="91"/>
      <c r="B872" s="91"/>
      <c r="C872" s="91"/>
      <c r="D872" s="91"/>
      <c r="E872" s="78"/>
      <c r="F872" s="15"/>
      <c r="G872" s="15"/>
      <c r="H872" s="91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  <c r="BD872" s="15"/>
      <c r="BE872" s="15"/>
      <c r="BF872" s="15"/>
      <c r="BG872" s="15"/>
      <c r="BH872" s="15"/>
      <c r="BI872" s="15"/>
      <c r="BJ872" s="15"/>
      <c r="BK872" s="15"/>
      <c r="BL872" s="15"/>
      <c r="BM872" s="15"/>
      <c r="BN872" s="92"/>
      <c r="BO872" s="92"/>
      <c r="BP872" s="92"/>
      <c r="BQ872" s="92"/>
      <c r="BR872" s="92"/>
      <c r="BS872" s="92"/>
      <c r="BT872" s="92"/>
      <c r="BU872" s="92"/>
      <c r="BV872" s="92"/>
      <c r="BW872" s="92"/>
      <c r="BX872" s="92"/>
      <c r="BY872" s="92"/>
      <c r="BZ872" s="92"/>
      <c r="CA872" s="92"/>
      <c r="CB872" s="92"/>
      <c r="CC872" s="92"/>
      <c r="CD872" s="92"/>
      <c r="CE872" s="92"/>
      <c r="CF872" s="92"/>
      <c r="CG872" s="92"/>
      <c r="CH872" s="92"/>
      <c r="CI872" s="92"/>
      <c r="CJ872" s="92"/>
      <c r="CK872" s="92"/>
      <c r="CL872" s="92"/>
      <c r="CM872" s="92"/>
      <c r="CN872" s="92"/>
      <c r="CO872" s="92"/>
      <c r="CP872" s="92"/>
      <c r="CQ872" s="92"/>
      <c r="CR872" s="92"/>
      <c r="CS872" s="92"/>
      <c r="CT872" s="92"/>
      <c r="CU872" s="92"/>
      <c r="CV872" s="92"/>
      <c r="CW872" s="92"/>
      <c r="CX872" s="85"/>
      <c r="CY872" s="85"/>
      <c r="CZ872" s="85"/>
      <c r="DA872" s="85"/>
      <c r="DB872" s="85"/>
      <c r="DC872" s="85"/>
      <c r="DD872" s="85"/>
      <c r="DE872" s="85"/>
      <c r="DF872" s="85"/>
      <c r="DG872" s="85"/>
      <c r="DH872" s="85"/>
      <c r="DI872" s="85"/>
      <c r="DJ872" s="85"/>
      <c r="DK872" s="85"/>
      <c r="DL872" s="85"/>
      <c r="DM872" s="85"/>
      <c r="DN872" s="85"/>
      <c r="DO872" s="85"/>
      <c r="DP872" s="85"/>
    </row>
    <row r="873">
      <c r="A873" s="91"/>
      <c r="B873" s="91"/>
      <c r="C873" s="91"/>
      <c r="D873" s="91"/>
      <c r="E873" s="78"/>
      <c r="F873" s="15"/>
      <c r="G873" s="15"/>
      <c r="H873" s="91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  <c r="BE873" s="15"/>
      <c r="BF873" s="15"/>
      <c r="BG873" s="15"/>
      <c r="BH873" s="15"/>
      <c r="BI873" s="15"/>
      <c r="BJ873" s="15"/>
      <c r="BK873" s="15"/>
      <c r="BL873" s="15"/>
      <c r="BM873" s="15"/>
      <c r="BN873" s="92"/>
      <c r="BO873" s="92"/>
      <c r="BP873" s="92"/>
      <c r="BQ873" s="92"/>
      <c r="BR873" s="92"/>
      <c r="BS873" s="92"/>
      <c r="BT873" s="92"/>
      <c r="BU873" s="92"/>
      <c r="BV873" s="92"/>
      <c r="BW873" s="92"/>
      <c r="BX873" s="92"/>
      <c r="BY873" s="92"/>
      <c r="BZ873" s="92"/>
      <c r="CA873" s="92"/>
      <c r="CB873" s="92"/>
      <c r="CC873" s="92"/>
      <c r="CD873" s="92"/>
      <c r="CE873" s="92"/>
      <c r="CF873" s="92"/>
      <c r="CG873" s="92"/>
      <c r="CH873" s="92"/>
      <c r="CI873" s="92"/>
      <c r="CJ873" s="92"/>
      <c r="CK873" s="92"/>
      <c r="CL873" s="92"/>
      <c r="CM873" s="92"/>
      <c r="CN873" s="92"/>
      <c r="CO873" s="92"/>
      <c r="CP873" s="92"/>
      <c r="CQ873" s="92"/>
      <c r="CR873" s="92"/>
      <c r="CS873" s="92"/>
      <c r="CT873" s="92"/>
      <c r="CU873" s="92"/>
      <c r="CV873" s="92"/>
      <c r="CW873" s="92"/>
      <c r="CX873" s="85"/>
      <c r="CY873" s="85"/>
      <c r="CZ873" s="85"/>
      <c r="DA873" s="85"/>
      <c r="DB873" s="85"/>
      <c r="DC873" s="85"/>
      <c r="DD873" s="85"/>
      <c r="DE873" s="85"/>
      <c r="DF873" s="85"/>
      <c r="DG873" s="85"/>
      <c r="DH873" s="85"/>
      <c r="DI873" s="85"/>
      <c r="DJ873" s="85"/>
      <c r="DK873" s="85"/>
      <c r="DL873" s="85"/>
      <c r="DM873" s="85"/>
      <c r="DN873" s="85"/>
      <c r="DO873" s="85"/>
      <c r="DP873" s="85"/>
    </row>
    <row r="874">
      <c r="A874" s="91"/>
      <c r="B874" s="91"/>
      <c r="C874" s="91"/>
      <c r="D874" s="91"/>
      <c r="E874" s="78"/>
      <c r="F874" s="15"/>
      <c r="G874" s="15"/>
      <c r="H874" s="91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  <c r="BC874" s="15"/>
      <c r="BD874" s="15"/>
      <c r="BE874" s="15"/>
      <c r="BF874" s="15"/>
      <c r="BG874" s="15"/>
      <c r="BH874" s="15"/>
      <c r="BI874" s="15"/>
      <c r="BJ874" s="15"/>
      <c r="BK874" s="15"/>
      <c r="BL874" s="15"/>
      <c r="BM874" s="15"/>
      <c r="BN874" s="92"/>
      <c r="BO874" s="92"/>
      <c r="BP874" s="92"/>
      <c r="BQ874" s="92"/>
      <c r="BR874" s="92"/>
      <c r="BS874" s="92"/>
      <c r="BT874" s="92"/>
      <c r="BU874" s="92"/>
      <c r="BV874" s="92"/>
      <c r="BW874" s="92"/>
      <c r="BX874" s="92"/>
      <c r="BY874" s="92"/>
      <c r="BZ874" s="92"/>
      <c r="CA874" s="92"/>
      <c r="CB874" s="92"/>
      <c r="CC874" s="92"/>
      <c r="CD874" s="92"/>
      <c r="CE874" s="92"/>
      <c r="CF874" s="92"/>
      <c r="CG874" s="92"/>
      <c r="CH874" s="92"/>
      <c r="CI874" s="92"/>
      <c r="CJ874" s="92"/>
      <c r="CK874" s="92"/>
      <c r="CL874" s="92"/>
      <c r="CM874" s="92"/>
      <c r="CN874" s="92"/>
      <c r="CO874" s="92"/>
      <c r="CP874" s="92"/>
      <c r="CQ874" s="92"/>
      <c r="CR874" s="92"/>
      <c r="CS874" s="92"/>
      <c r="CT874" s="92"/>
      <c r="CU874" s="92"/>
      <c r="CV874" s="92"/>
      <c r="CW874" s="92"/>
      <c r="CX874" s="85"/>
      <c r="CY874" s="85"/>
      <c r="CZ874" s="85"/>
      <c r="DA874" s="85"/>
      <c r="DB874" s="85"/>
      <c r="DC874" s="85"/>
      <c r="DD874" s="85"/>
      <c r="DE874" s="85"/>
      <c r="DF874" s="85"/>
      <c r="DG874" s="85"/>
      <c r="DH874" s="85"/>
      <c r="DI874" s="85"/>
      <c r="DJ874" s="85"/>
      <c r="DK874" s="85"/>
      <c r="DL874" s="85"/>
      <c r="DM874" s="85"/>
      <c r="DN874" s="85"/>
      <c r="DO874" s="85"/>
      <c r="DP874" s="85"/>
    </row>
    <row r="875">
      <c r="A875" s="91"/>
      <c r="B875" s="91"/>
      <c r="C875" s="91"/>
      <c r="D875" s="91"/>
      <c r="E875" s="78"/>
      <c r="F875" s="15"/>
      <c r="G875" s="15"/>
      <c r="H875" s="91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  <c r="BE875" s="15"/>
      <c r="BF875" s="15"/>
      <c r="BG875" s="15"/>
      <c r="BH875" s="15"/>
      <c r="BI875" s="15"/>
      <c r="BJ875" s="15"/>
      <c r="BK875" s="15"/>
      <c r="BL875" s="15"/>
      <c r="BM875" s="15"/>
      <c r="BN875" s="92"/>
      <c r="BO875" s="92"/>
      <c r="BP875" s="92"/>
      <c r="BQ875" s="92"/>
      <c r="BR875" s="92"/>
      <c r="BS875" s="92"/>
      <c r="BT875" s="92"/>
      <c r="BU875" s="92"/>
      <c r="BV875" s="92"/>
      <c r="BW875" s="92"/>
      <c r="BX875" s="92"/>
      <c r="BY875" s="92"/>
      <c r="BZ875" s="92"/>
      <c r="CA875" s="92"/>
      <c r="CB875" s="92"/>
      <c r="CC875" s="92"/>
      <c r="CD875" s="92"/>
      <c r="CE875" s="92"/>
      <c r="CF875" s="92"/>
      <c r="CG875" s="92"/>
      <c r="CH875" s="92"/>
      <c r="CI875" s="92"/>
      <c r="CJ875" s="92"/>
      <c r="CK875" s="92"/>
      <c r="CL875" s="92"/>
      <c r="CM875" s="92"/>
      <c r="CN875" s="92"/>
      <c r="CO875" s="92"/>
      <c r="CP875" s="92"/>
      <c r="CQ875" s="92"/>
      <c r="CR875" s="92"/>
      <c r="CS875" s="92"/>
      <c r="CT875" s="92"/>
      <c r="CU875" s="92"/>
      <c r="CV875" s="92"/>
      <c r="CW875" s="92"/>
      <c r="CX875" s="85"/>
      <c r="CY875" s="85"/>
      <c r="CZ875" s="85"/>
      <c r="DA875" s="85"/>
      <c r="DB875" s="85"/>
      <c r="DC875" s="85"/>
      <c r="DD875" s="85"/>
      <c r="DE875" s="85"/>
      <c r="DF875" s="85"/>
      <c r="DG875" s="85"/>
      <c r="DH875" s="85"/>
      <c r="DI875" s="85"/>
      <c r="DJ875" s="85"/>
      <c r="DK875" s="85"/>
      <c r="DL875" s="85"/>
      <c r="DM875" s="85"/>
      <c r="DN875" s="85"/>
      <c r="DO875" s="85"/>
      <c r="DP875" s="85"/>
    </row>
    <row r="876">
      <c r="A876" s="91"/>
      <c r="B876" s="91"/>
      <c r="C876" s="91"/>
      <c r="D876" s="91"/>
      <c r="E876" s="78"/>
      <c r="F876" s="15"/>
      <c r="G876" s="15"/>
      <c r="H876" s="91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  <c r="BC876" s="15"/>
      <c r="BD876" s="15"/>
      <c r="BE876" s="15"/>
      <c r="BF876" s="15"/>
      <c r="BG876" s="15"/>
      <c r="BH876" s="15"/>
      <c r="BI876" s="15"/>
      <c r="BJ876" s="15"/>
      <c r="BK876" s="15"/>
      <c r="BL876" s="15"/>
      <c r="BM876" s="15"/>
      <c r="BN876" s="92"/>
      <c r="BO876" s="92"/>
      <c r="BP876" s="92"/>
      <c r="BQ876" s="92"/>
      <c r="BR876" s="92"/>
      <c r="BS876" s="92"/>
      <c r="BT876" s="92"/>
      <c r="BU876" s="92"/>
      <c r="BV876" s="92"/>
      <c r="BW876" s="92"/>
      <c r="BX876" s="92"/>
      <c r="BY876" s="92"/>
      <c r="BZ876" s="92"/>
      <c r="CA876" s="92"/>
      <c r="CB876" s="92"/>
      <c r="CC876" s="92"/>
      <c r="CD876" s="92"/>
      <c r="CE876" s="92"/>
      <c r="CF876" s="92"/>
      <c r="CG876" s="92"/>
      <c r="CH876" s="92"/>
      <c r="CI876" s="92"/>
      <c r="CJ876" s="92"/>
      <c r="CK876" s="92"/>
      <c r="CL876" s="92"/>
      <c r="CM876" s="92"/>
      <c r="CN876" s="92"/>
      <c r="CO876" s="92"/>
      <c r="CP876" s="92"/>
      <c r="CQ876" s="92"/>
      <c r="CR876" s="92"/>
      <c r="CS876" s="92"/>
      <c r="CT876" s="92"/>
      <c r="CU876" s="92"/>
      <c r="CV876" s="92"/>
      <c r="CW876" s="92"/>
      <c r="CX876" s="85"/>
      <c r="CY876" s="85"/>
      <c r="CZ876" s="85"/>
      <c r="DA876" s="85"/>
      <c r="DB876" s="85"/>
      <c r="DC876" s="85"/>
      <c r="DD876" s="85"/>
      <c r="DE876" s="85"/>
      <c r="DF876" s="85"/>
      <c r="DG876" s="85"/>
      <c r="DH876" s="85"/>
      <c r="DI876" s="85"/>
      <c r="DJ876" s="85"/>
      <c r="DK876" s="85"/>
      <c r="DL876" s="85"/>
      <c r="DM876" s="85"/>
      <c r="DN876" s="85"/>
      <c r="DO876" s="85"/>
      <c r="DP876" s="85"/>
    </row>
    <row r="877">
      <c r="A877" s="91"/>
      <c r="B877" s="91"/>
      <c r="C877" s="91"/>
      <c r="D877" s="91"/>
      <c r="E877" s="78"/>
      <c r="F877" s="15"/>
      <c r="G877" s="15"/>
      <c r="H877" s="91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5"/>
      <c r="BG877" s="15"/>
      <c r="BH877" s="15"/>
      <c r="BI877" s="15"/>
      <c r="BJ877" s="15"/>
      <c r="BK877" s="15"/>
      <c r="BL877" s="15"/>
      <c r="BM877" s="15"/>
      <c r="BN877" s="92"/>
      <c r="BO877" s="92"/>
      <c r="BP877" s="92"/>
      <c r="BQ877" s="92"/>
      <c r="BR877" s="92"/>
      <c r="BS877" s="92"/>
      <c r="BT877" s="92"/>
      <c r="BU877" s="92"/>
      <c r="BV877" s="92"/>
      <c r="BW877" s="92"/>
      <c r="BX877" s="92"/>
      <c r="BY877" s="92"/>
      <c r="BZ877" s="92"/>
      <c r="CA877" s="92"/>
      <c r="CB877" s="92"/>
      <c r="CC877" s="92"/>
      <c r="CD877" s="92"/>
      <c r="CE877" s="92"/>
      <c r="CF877" s="92"/>
      <c r="CG877" s="92"/>
      <c r="CH877" s="92"/>
      <c r="CI877" s="92"/>
      <c r="CJ877" s="92"/>
      <c r="CK877" s="92"/>
      <c r="CL877" s="92"/>
      <c r="CM877" s="92"/>
      <c r="CN877" s="92"/>
      <c r="CO877" s="92"/>
      <c r="CP877" s="92"/>
      <c r="CQ877" s="92"/>
      <c r="CR877" s="92"/>
      <c r="CS877" s="92"/>
      <c r="CT877" s="92"/>
      <c r="CU877" s="92"/>
      <c r="CV877" s="92"/>
      <c r="CW877" s="92"/>
      <c r="CX877" s="85"/>
      <c r="CY877" s="85"/>
      <c r="CZ877" s="85"/>
      <c r="DA877" s="85"/>
      <c r="DB877" s="85"/>
      <c r="DC877" s="85"/>
      <c r="DD877" s="85"/>
      <c r="DE877" s="85"/>
      <c r="DF877" s="85"/>
      <c r="DG877" s="85"/>
      <c r="DH877" s="85"/>
      <c r="DI877" s="85"/>
      <c r="DJ877" s="85"/>
      <c r="DK877" s="85"/>
      <c r="DL877" s="85"/>
      <c r="DM877" s="85"/>
      <c r="DN877" s="85"/>
      <c r="DO877" s="85"/>
      <c r="DP877" s="85"/>
    </row>
    <row r="878">
      <c r="A878" s="91"/>
      <c r="B878" s="91"/>
      <c r="C878" s="91"/>
      <c r="D878" s="91"/>
      <c r="E878" s="78"/>
      <c r="F878" s="15"/>
      <c r="G878" s="15"/>
      <c r="H878" s="91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  <c r="BD878" s="15"/>
      <c r="BE878" s="15"/>
      <c r="BF878" s="15"/>
      <c r="BG878" s="15"/>
      <c r="BH878" s="15"/>
      <c r="BI878" s="15"/>
      <c r="BJ878" s="15"/>
      <c r="BK878" s="15"/>
      <c r="BL878" s="15"/>
      <c r="BM878" s="15"/>
      <c r="BN878" s="92"/>
      <c r="BO878" s="92"/>
      <c r="BP878" s="92"/>
      <c r="BQ878" s="92"/>
      <c r="BR878" s="92"/>
      <c r="BS878" s="92"/>
      <c r="BT878" s="92"/>
      <c r="BU878" s="92"/>
      <c r="BV878" s="92"/>
      <c r="BW878" s="92"/>
      <c r="BX878" s="92"/>
      <c r="BY878" s="92"/>
      <c r="BZ878" s="92"/>
      <c r="CA878" s="92"/>
      <c r="CB878" s="92"/>
      <c r="CC878" s="92"/>
      <c r="CD878" s="92"/>
      <c r="CE878" s="92"/>
      <c r="CF878" s="92"/>
      <c r="CG878" s="92"/>
      <c r="CH878" s="92"/>
      <c r="CI878" s="92"/>
      <c r="CJ878" s="92"/>
      <c r="CK878" s="92"/>
      <c r="CL878" s="92"/>
      <c r="CM878" s="92"/>
      <c r="CN878" s="92"/>
      <c r="CO878" s="92"/>
      <c r="CP878" s="92"/>
      <c r="CQ878" s="92"/>
      <c r="CR878" s="92"/>
      <c r="CS878" s="92"/>
      <c r="CT878" s="92"/>
      <c r="CU878" s="92"/>
      <c r="CV878" s="92"/>
      <c r="CW878" s="92"/>
      <c r="CX878" s="85"/>
      <c r="CY878" s="85"/>
      <c r="CZ878" s="85"/>
      <c r="DA878" s="85"/>
      <c r="DB878" s="85"/>
      <c r="DC878" s="85"/>
      <c r="DD878" s="85"/>
      <c r="DE878" s="85"/>
      <c r="DF878" s="85"/>
      <c r="DG878" s="85"/>
      <c r="DH878" s="85"/>
      <c r="DI878" s="85"/>
      <c r="DJ878" s="85"/>
      <c r="DK878" s="85"/>
      <c r="DL878" s="85"/>
      <c r="DM878" s="85"/>
      <c r="DN878" s="85"/>
      <c r="DO878" s="85"/>
      <c r="DP878" s="85"/>
    </row>
    <row r="879">
      <c r="A879" s="91"/>
      <c r="B879" s="91"/>
      <c r="C879" s="91"/>
      <c r="D879" s="91"/>
      <c r="E879" s="78"/>
      <c r="F879" s="15"/>
      <c r="G879" s="15"/>
      <c r="H879" s="91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5"/>
      <c r="BG879" s="15"/>
      <c r="BH879" s="15"/>
      <c r="BI879" s="15"/>
      <c r="BJ879" s="15"/>
      <c r="BK879" s="15"/>
      <c r="BL879" s="15"/>
      <c r="BM879" s="15"/>
      <c r="BN879" s="92"/>
      <c r="BO879" s="92"/>
      <c r="BP879" s="92"/>
      <c r="BQ879" s="92"/>
      <c r="BR879" s="92"/>
      <c r="BS879" s="92"/>
      <c r="BT879" s="92"/>
      <c r="BU879" s="92"/>
      <c r="BV879" s="92"/>
      <c r="BW879" s="92"/>
      <c r="BX879" s="92"/>
      <c r="BY879" s="92"/>
      <c r="BZ879" s="92"/>
      <c r="CA879" s="92"/>
      <c r="CB879" s="92"/>
      <c r="CC879" s="92"/>
      <c r="CD879" s="92"/>
      <c r="CE879" s="92"/>
      <c r="CF879" s="92"/>
      <c r="CG879" s="92"/>
      <c r="CH879" s="92"/>
      <c r="CI879" s="92"/>
      <c r="CJ879" s="92"/>
      <c r="CK879" s="92"/>
      <c r="CL879" s="92"/>
      <c r="CM879" s="92"/>
      <c r="CN879" s="92"/>
      <c r="CO879" s="92"/>
      <c r="CP879" s="92"/>
      <c r="CQ879" s="92"/>
      <c r="CR879" s="92"/>
      <c r="CS879" s="92"/>
      <c r="CT879" s="92"/>
      <c r="CU879" s="92"/>
      <c r="CV879" s="92"/>
      <c r="CW879" s="92"/>
      <c r="CX879" s="85"/>
      <c r="CY879" s="85"/>
      <c r="CZ879" s="85"/>
      <c r="DA879" s="85"/>
      <c r="DB879" s="85"/>
      <c r="DC879" s="85"/>
      <c r="DD879" s="85"/>
      <c r="DE879" s="85"/>
      <c r="DF879" s="85"/>
      <c r="DG879" s="85"/>
      <c r="DH879" s="85"/>
      <c r="DI879" s="85"/>
      <c r="DJ879" s="85"/>
      <c r="DK879" s="85"/>
      <c r="DL879" s="85"/>
      <c r="DM879" s="85"/>
      <c r="DN879" s="85"/>
      <c r="DO879" s="85"/>
      <c r="DP879" s="85"/>
    </row>
    <row r="880">
      <c r="A880" s="91"/>
      <c r="B880" s="91"/>
      <c r="C880" s="91"/>
      <c r="D880" s="91"/>
      <c r="E880" s="78"/>
      <c r="F880" s="15"/>
      <c r="G880" s="15"/>
      <c r="H880" s="91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  <c r="BD880" s="15"/>
      <c r="BE880" s="15"/>
      <c r="BF880" s="15"/>
      <c r="BG880" s="15"/>
      <c r="BH880" s="15"/>
      <c r="BI880" s="15"/>
      <c r="BJ880" s="15"/>
      <c r="BK880" s="15"/>
      <c r="BL880" s="15"/>
      <c r="BM880" s="15"/>
      <c r="BN880" s="92"/>
      <c r="BO880" s="92"/>
      <c r="BP880" s="92"/>
      <c r="BQ880" s="92"/>
      <c r="BR880" s="92"/>
      <c r="BS880" s="92"/>
      <c r="BT880" s="92"/>
      <c r="BU880" s="92"/>
      <c r="BV880" s="92"/>
      <c r="BW880" s="92"/>
      <c r="BX880" s="92"/>
      <c r="BY880" s="92"/>
      <c r="BZ880" s="92"/>
      <c r="CA880" s="92"/>
      <c r="CB880" s="92"/>
      <c r="CC880" s="92"/>
      <c r="CD880" s="92"/>
      <c r="CE880" s="92"/>
      <c r="CF880" s="92"/>
      <c r="CG880" s="92"/>
      <c r="CH880" s="92"/>
      <c r="CI880" s="92"/>
      <c r="CJ880" s="92"/>
      <c r="CK880" s="92"/>
      <c r="CL880" s="92"/>
      <c r="CM880" s="92"/>
      <c r="CN880" s="92"/>
      <c r="CO880" s="92"/>
      <c r="CP880" s="92"/>
      <c r="CQ880" s="92"/>
      <c r="CR880" s="92"/>
      <c r="CS880" s="92"/>
      <c r="CT880" s="92"/>
      <c r="CU880" s="92"/>
      <c r="CV880" s="92"/>
      <c r="CW880" s="92"/>
      <c r="CX880" s="85"/>
      <c r="CY880" s="85"/>
      <c r="CZ880" s="85"/>
      <c r="DA880" s="85"/>
      <c r="DB880" s="85"/>
      <c r="DC880" s="85"/>
      <c r="DD880" s="85"/>
      <c r="DE880" s="85"/>
      <c r="DF880" s="85"/>
      <c r="DG880" s="85"/>
      <c r="DH880" s="85"/>
      <c r="DI880" s="85"/>
      <c r="DJ880" s="85"/>
      <c r="DK880" s="85"/>
      <c r="DL880" s="85"/>
      <c r="DM880" s="85"/>
      <c r="DN880" s="85"/>
      <c r="DO880" s="85"/>
      <c r="DP880" s="85"/>
    </row>
    <row r="881">
      <c r="A881" s="91"/>
      <c r="B881" s="91"/>
      <c r="C881" s="91"/>
      <c r="D881" s="91"/>
      <c r="E881" s="78"/>
      <c r="F881" s="15"/>
      <c r="G881" s="15"/>
      <c r="H881" s="91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5"/>
      <c r="BG881" s="15"/>
      <c r="BH881" s="15"/>
      <c r="BI881" s="15"/>
      <c r="BJ881" s="15"/>
      <c r="BK881" s="15"/>
      <c r="BL881" s="15"/>
      <c r="BM881" s="15"/>
      <c r="BN881" s="92"/>
      <c r="BO881" s="92"/>
      <c r="BP881" s="92"/>
      <c r="BQ881" s="92"/>
      <c r="BR881" s="92"/>
      <c r="BS881" s="92"/>
      <c r="BT881" s="92"/>
      <c r="BU881" s="92"/>
      <c r="BV881" s="92"/>
      <c r="BW881" s="92"/>
      <c r="BX881" s="92"/>
      <c r="BY881" s="92"/>
      <c r="BZ881" s="92"/>
      <c r="CA881" s="92"/>
      <c r="CB881" s="92"/>
      <c r="CC881" s="92"/>
      <c r="CD881" s="92"/>
      <c r="CE881" s="92"/>
      <c r="CF881" s="92"/>
      <c r="CG881" s="92"/>
      <c r="CH881" s="92"/>
      <c r="CI881" s="92"/>
      <c r="CJ881" s="92"/>
      <c r="CK881" s="92"/>
      <c r="CL881" s="92"/>
      <c r="CM881" s="92"/>
      <c r="CN881" s="92"/>
      <c r="CO881" s="92"/>
      <c r="CP881" s="92"/>
      <c r="CQ881" s="92"/>
      <c r="CR881" s="92"/>
      <c r="CS881" s="92"/>
      <c r="CT881" s="92"/>
      <c r="CU881" s="92"/>
      <c r="CV881" s="92"/>
      <c r="CW881" s="92"/>
      <c r="CX881" s="85"/>
      <c r="CY881" s="85"/>
      <c r="CZ881" s="85"/>
      <c r="DA881" s="85"/>
      <c r="DB881" s="85"/>
      <c r="DC881" s="85"/>
      <c r="DD881" s="85"/>
      <c r="DE881" s="85"/>
      <c r="DF881" s="85"/>
      <c r="DG881" s="85"/>
      <c r="DH881" s="85"/>
      <c r="DI881" s="85"/>
      <c r="DJ881" s="85"/>
      <c r="DK881" s="85"/>
      <c r="DL881" s="85"/>
      <c r="DM881" s="85"/>
      <c r="DN881" s="85"/>
      <c r="DO881" s="85"/>
      <c r="DP881" s="85"/>
    </row>
    <row r="882">
      <c r="A882" s="91"/>
      <c r="B882" s="91"/>
      <c r="C882" s="91"/>
      <c r="D882" s="91"/>
      <c r="E882" s="78"/>
      <c r="F882" s="15"/>
      <c r="G882" s="15"/>
      <c r="H882" s="91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  <c r="BD882" s="15"/>
      <c r="BE882" s="15"/>
      <c r="BF882" s="15"/>
      <c r="BG882" s="15"/>
      <c r="BH882" s="15"/>
      <c r="BI882" s="15"/>
      <c r="BJ882" s="15"/>
      <c r="BK882" s="15"/>
      <c r="BL882" s="15"/>
      <c r="BM882" s="15"/>
      <c r="BN882" s="92"/>
      <c r="BO882" s="92"/>
      <c r="BP882" s="92"/>
      <c r="BQ882" s="92"/>
      <c r="BR882" s="92"/>
      <c r="BS882" s="92"/>
      <c r="BT882" s="92"/>
      <c r="BU882" s="92"/>
      <c r="BV882" s="92"/>
      <c r="BW882" s="92"/>
      <c r="BX882" s="92"/>
      <c r="BY882" s="92"/>
      <c r="BZ882" s="92"/>
      <c r="CA882" s="92"/>
      <c r="CB882" s="92"/>
      <c r="CC882" s="92"/>
      <c r="CD882" s="92"/>
      <c r="CE882" s="92"/>
      <c r="CF882" s="92"/>
      <c r="CG882" s="92"/>
      <c r="CH882" s="92"/>
      <c r="CI882" s="92"/>
      <c r="CJ882" s="92"/>
      <c r="CK882" s="92"/>
      <c r="CL882" s="92"/>
      <c r="CM882" s="92"/>
      <c r="CN882" s="92"/>
      <c r="CO882" s="92"/>
      <c r="CP882" s="92"/>
      <c r="CQ882" s="92"/>
      <c r="CR882" s="92"/>
      <c r="CS882" s="92"/>
      <c r="CT882" s="92"/>
      <c r="CU882" s="92"/>
      <c r="CV882" s="92"/>
      <c r="CW882" s="92"/>
      <c r="CX882" s="85"/>
      <c r="CY882" s="85"/>
      <c r="CZ882" s="85"/>
      <c r="DA882" s="85"/>
      <c r="DB882" s="85"/>
      <c r="DC882" s="85"/>
      <c r="DD882" s="85"/>
      <c r="DE882" s="85"/>
      <c r="DF882" s="85"/>
      <c r="DG882" s="85"/>
      <c r="DH882" s="85"/>
      <c r="DI882" s="85"/>
      <c r="DJ882" s="85"/>
      <c r="DK882" s="85"/>
      <c r="DL882" s="85"/>
      <c r="DM882" s="85"/>
      <c r="DN882" s="85"/>
      <c r="DO882" s="85"/>
      <c r="DP882" s="85"/>
    </row>
    <row r="883">
      <c r="A883" s="91"/>
      <c r="B883" s="91"/>
      <c r="C883" s="91"/>
      <c r="D883" s="91"/>
      <c r="E883" s="78"/>
      <c r="F883" s="15"/>
      <c r="G883" s="15"/>
      <c r="H883" s="91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5"/>
      <c r="BF883" s="15"/>
      <c r="BG883" s="15"/>
      <c r="BH883" s="15"/>
      <c r="BI883" s="15"/>
      <c r="BJ883" s="15"/>
      <c r="BK883" s="15"/>
      <c r="BL883" s="15"/>
      <c r="BM883" s="15"/>
      <c r="BN883" s="92"/>
      <c r="BO883" s="92"/>
      <c r="BP883" s="92"/>
      <c r="BQ883" s="92"/>
      <c r="BR883" s="92"/>
      <c r="BS883" s="92"/>
      <c r="BT883" s="92"/>
      <c r="BU883" s="92"/>
      <c r="BV883" s="92"/>
      <c r="BW883" s="92"/>
      <c r="BX883" s="92"/>
      <c r="BY883" s="92"/>
      <c r="BZ883" s="92"/>
      <c r="CA883" s="92"/>
      <c r="CB883" s="92"/>
      <c r="CC883" s="92"/>
      <c r="CD883" s="92"/>
      <c r="CE883" s="92"/>
      <c r="CF883" s="92"/>
      <c r="CG883" s="92"/>
      <c r="CH883" s="92"/>
      <c r="CI883" s="92"/>
      <c r="CJ883" s="92"/>
      <c r="CK883" s="92"/>
      <c r="CL883" s="92"/>
      <c r="CM883" s="92"/>
      <c r="CN883" s="92"/>
      <c r="CO883" s="92"/>
      <c r="CP883" s="92"/>
      <c r="CQ883" s="92"/>
      <c r="CR883" s="92"/>
      <c r="CS883" s="92"/>
      <c r="CT883" s="92"/>
      <c r="CU883" s="92"/>
      <c r="CV883" s="92"/>
      <c r="CW883" s="92"/>
      <c r="CX883" s="85"/>
      <c r="CY883" s="85"/>
      <c r="CZ883" s="85"/>
      <c r="DA883" s="85"/>
      <c r="DB883" s="85"/>
      <c r="DC883" s="85"/>
      <c r="DD883" s="85"/>
      <c r="DE883" s="85"/>
      <c r="DF883" s="85"/>
      <c r="DG883" s="85"/>
      <c r="DH883" s="85"/>
      <c r="DI883" s="85"/>
      <c r="DJ883" s="85"/>
      <c r="DK883" s="85"/>
      <c r="DL883" s="85"/>
      <c r="DM883" s="85"/>
      <c r="DN883" s="85"/>
      <c r="DO883" s="85"/>
      <c r="DP883" s="85"/>
    </row>
    <row r="884">
      <c r="A884" s="91"/>
      <c r="B884" s="91"/>
      <c r="C884" s="91"/>
      <c r="D884" s="91"/>
      <c r="E884" s="78"/>
      <c r="F884" s="15"/>
      <c r="G884" s="15"/>
      <c r="H884" s="91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  <c r="BD884" s="15"/>
      <c r="BE884" s="15"/>
      <c r="BF884" s="15"/>
      <c r="BG884" s="15"/>
      <c r="BH884" s="15"/>
      <c r="BI884" s="15"/>
      <c r="BJ884" s="15"/>
      <c r="BK884" s="15"/>
      <c r="BL884" s="15"/>
      <c r="BM884" s="15"/>
      <c r="BN884" s="92"/>
      <c r="BO884" s="92"/>
      <c r="BP884" s="92"/>
      <c r="BQ884" s="92"/>
      <c r="BR884" s="92"/>
      <c r="BS884" s="92"/>
      <c r="BT884" s="92"/>
      <c r="BU884" s="92"/>
      <c r="BV884" s="92"/>
      <c r="BW884" s="92"/>
      <c r="BX884" s="92"/>
      <c r="BY884" s="92"/>
      <c r="BZ884" s="92"/>
      <c r="CA884" s="92"/>
      <c r="CB884" s="92"/>
      <c r="CC884" s="92"/>
      <c r="CD884" s="92"/>
      <c r="CE884" s="92"/>
      <c r="CF884" s="92"/>
      <c r="CG884" s="92"/>
      <c r="CH884" s="92"/>
      <c r="CI884" s="92"/>
      <c r="CJ884" s="92"/>
      <c r="CK884" s="92"/>
      <c r="CL884" s="92"/>
      <c r="CM884" s="92"/>
      <c r="CN884" s="92"/>
      <c r="CO884" s="92"/>
      <c r="CP884" s="92"/>
      <c r="CQ884" s="92"/>
      <c r="CR884" s="92"/>
      <c r="CS884" s="92"/>
      <c r="CT884" s="92"/>
      <c r="CU884" s="92"/>
      <c r="CV884" s="92"/>
      <c r="CW884" s="92"/>
      <c r="CX884" s="85"/>
      <c r="CY884" s="85"/>
      <c r="CZ884" s="85"/>
      <c r="DA884" s="85"/>
      <c r="DB884" s="85"/>
      <c r="DC884" s="85"/>
      <c r="DD884" s="85"/>
      <c r="DE884" s="85"/>
      <c r="DF884" s="85"/>
      <c r="DG884" s="85"/>
      <c r="DH884" s="85"/>
      <c r="DI884" s="85"/>
      <c r="DJ884" s="85"/>
      <c r="DK884" s="85"/>
      <c r="DL884" s="85"/>
      <c r="DM884" s="85"/>
      <c r="DN884" s="85"/>
      <c r="DO884" s="85"/>
      <c r="DP884" s="85"/>
    </row>
    <row r="885">
      <c r="A885" s="91"/>
      <c r="B885" s="91"/>
      <c r="C885" s="91"/>
      <c r="D885" s="91"/>
      <c r="E885" s="78"/>
      <c r="F885" s="15"/>
      <c r="G885" s="15"/>
      <c r="H885" s="91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5"/>
      <c r="BG885" s="15"/>
      <c r="BH885" s="15"/>
      <c r="BI885" s="15"/>
      <c r="BJ885" s="15"/>
      <c r="BK885" s="15"/>
      <c r="BL885" s="15"/>
      <c r="BM885" s="15"/>
      <c r="BN885" s="92"/>
      <c r="BO885" s="92"/>
      <c r="BP885" s="92"/>
      <c r="BQ885" s="92"/>
      <c r="BR885" s="92"/>
      <c r="BS885" s="92"/>
      <c r="BT885" s="92"/>
      <c r="BU885" s="92"/>
      <c r="BV885" s="92"/>
      <c r="BW885" s="92"/>
      <c r="BX885" s="92"/>
      <c r="BY885" s="92"/>
      <c r="BZ885" s="92"/>
      <c r="CA885" s="92"/>
      <c r="CB885" s="92"/>
      <c r="CC885" s="92"/>
      <c r="CD885" s="92"/>
      <c r="CE885" s="92"/>
      <c r="CF885" s="92"/>
      <c r="CG885" s="92"/>
      <c r="CH885" s="92"/>
      <c r="CI885" s="92"/>
      <c r="CJ885" s="92"/>
      <c r="CK885" s="92"/>
      <c r="CL885" s="92"/>
      <c r="CM885" s="92"/>
      <c r="CN885" s="92"/>
      <c r="CO885" s="92"/>
      <c r="CP885" s="92"/>
      <c r="CQ885" s="92"/>
      <c r="CR885" s="92"/>
      <c r="CS885" s="92"/>
      <c r="CT885" s="92"/>
      <c r="CU885" s="92"/>
      <c r="CV885" s="92"/>
      <c r="CW885" s="92"/>
      <c r="CX885" s="85"/>
      <c r="CY885" s="85"/>
      <c r="CZ885" s="85"/>
      <c r="DA885" s="85"/>
      <c r="DB885" s="85"/>
      <c r="DC885" s="85"/>
      <c r="DD885" s="85"/>
      <c r="DE885" s="85"/>
      <c r="DF885" s="85"/>
      <c r="DG885" s="85"/>
      <c r="DH885" s="85"/>
      <c r="DI885" s="85"/>
      <c r="DJ885" s="85"/>
      <c r="DK885" s="85"/>
      <c r="DL885" s="85"/>
      <c r="DM885" s="85"/>
      <c r="DN885" s="85"/>
      <c r="DO885" s="85"/>
      <c r="DP885" s="85"/>
    </row>
    <row r="886">
      <c r="A886" s="91"/>
      <c r="B886" s="91"/>
      <c r="C886" s="91"/>
      <c r="D886" s="91"/>
      <c r="E886" s="78"/>
      <c r="F886" s="15"/>
      <c r="G886" s="15"/>
      <c r="H886" s="91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  <c r="BD886" s="15"/>
      <c r="BE886" s="15"/>
      <c r="BF886" s="15"/>
      <c r="BG886" s="15"/>
      <c r="BH886" s="15"/>
      <c r="BI886" s="15"/>
      <c r="BJ886" s="15"/>
      <c r="BK886" s="15"/>
      <c r="BL886" s="15"/>
      <c r="BM886" s="15"/>
      <c r="BN886" s="92"/>
      <c r="BO886" s="92"/>
      <c r="BP886" s="92"/>
      <c r="BQ886" s="92"/>
      <c r="BR886" s="92"/>
      <c r="BS886" s="92"/>
      <c r="BT886" s="92"/>
      <c r="BU886" s="92"/>
      <c r="BV886" s="92"/>
      <c r="BW886" s="92"/>
      <c r="BX886" s="92"/>
      <c r="BY886" s="92"/>
      <c r="BZ886" s="92"/>
      <c r="CA886" s="92"/>
      <c r="CB886" s="92"/>
      <c r="CC886" s="92"/>
      <c r="CD886" s="92"/>
      <c r="CE886" s="92"/>
      <c r="CF886" s="92"/>
      <c r="CG886" s="92"/>
      <c r="CH886" s="92"/>
      <c r="CI886" s="92"/>
      <c r="CJ886" s="92"/>
      <c r="CK886" s="92"/>
      <c r="CL886" s="92"/>
      <c r="CM886" s="92"/>
      <c r="CN886" s="92"/>
      <c r="CO886" s="92"/>
      <c r="CP886" s="92"/>
      <c r="CQ886" s="92"/>
      <c r="CR886" s="92"/>
      <c r="CS886" s="92"/>
      <c r="CT886" s="92"/>
      <c r="CU886" s="92"/>
      <c r="CV886" s="92"/>
      <c r="CW886" s="92"/>
      <c r="CX886" s="85"/>
      <c r="CY886" s="85"/>
      <c r="CZ886" s="85"/>
      <c r="DA886" s="85"/>
      <c r="DB886" s="85"/>
      <c r="DC886" s="85"/>
      <c r="DD886" s="85"/>
      <c r="DE886" s="85"/>
      <c r="DF886" s="85"/>
      <c r="DG886" s="85"/>
      <c r="DH886" s="85"/>
      <c r="DI886" s="85"/>
      <c r="DJ886" s="85"/>
      <c r="DK886" s="85"/>
      <c r="DL886" s="85"/>
      <c r="DM886" s="85"/>
      <c r="DN886" s="85"/>
      <c r="DO886" s="85"/>
      <c r="DP886" s="85"/>
    </row>
    <row r="887">
      <c r="A887" s="91"/>
      <c r="B887" s="91"/>
      <c r="C887" s="91"/>
      <c r="D887" s="91"/>
      <c r="E887" s="78"/>
      <c r="F887" s="15"/>
      <c r="G887" s="15"/>
      <c r="H887" s="91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5"/>
      <c r="BG887" s="15"/>
      <c r="BH887" s="15"/>
      <c r="BI887" s="15"/>
      <c r="BJ887" s="15"/>
      <c r="BK887" s="15"/>
      <c r="BL887" s="15"/>
      <c r="BM887" s="15"/>
      <c r="BN887" s="92"/>
      <c r="BO887" s="92"/>
      <c r="BP887" s="92"/>
      <c r="BQ887" s="92"/>
      <c r="BR887" s="92"/>
      <c r="BS887" s="92"/>
      <c r="BT887" s="92"/>
      <c r="BU887" s="92"/>
      <c r="BV887" s="92"/>
      <c r="BW887" s="92"/>
      <c r="BX887" s="92"/>
      <c r="BY887" s="92"/>
      <c r="BZ887" s="92"/>
      <c r="CA887" s="92"/>
      <c r="CB887" s="92"/>
      <c r="CC887" s="92"/>
      <c r="CD887" s="92"/>
      <c r="CE887" s="92"/>
      <c r="CF887" s="92"/>
      <c r="CG887" s="92"/>
      <c r="CH887" s="92"/>
      <c r="CI887" s="92"/>
      <c r="CJ887" s="92"/>
      <c r="CK887" s="92"/>
      <c r="CL887" s="92"/>
      <c r="CM887" s="92"/>
      <c r="CN887" s="92"/>
      <c r="CO887" s="92"/>
      <c r="CP887" s="92"/>
      <c r="CQ887" s="92"/>
      <c r="CR887" s="92"/>
      <c r="CS887" s="92"/>
      <c r="CT887" s="92"/>
      <c r="CU887" s="92"/>
      <c r="CV887" s="92"/>
      <c r="CW887" s="92"/>
      <c r="CX887" s="85"/>
      <c r="CY887" s="85"/>
      <c r="CZ887" s="85"/>
      <c r="DA887" s="85"/>
      <c r="DB887" s="85"/>
      <c r="DC887" s="85"/>
      <c r="DD887" s="85"/>
      <c r="DE887" s="85"/>
      <c r="DF887" s="85"/>
      <c r="DG887" s="85"/>
      <c r="DH887" s="85"/>
      <c r="DI887" s="85"/>
      <c r="DJ887" s="85"/>
      <c r="DK887" s="85"/>
      <c r="DL887" s="85"/>
      <c r="DM887" s="85"/>
      <c r="DN887" s="85"/>
      <c r="DO887" s="85"/>
      <c r="DP887" s="85"/>
    </row>
    <row r="888">
      <c r="A888" s="91"/>
      <c r="B888" s="91"/>
      <c r="C888" s="91"/>
      <c r="D888" s="91"/>
      <c r="E888" s="78"/>
      <c r="F888" s="15"/>
      <c r="G888" s="15"/>
      <c r="H888" s="91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  <c r="BD888" s="15"/>
      <c r="BE888" s="15"/>
      <c r="BF888" s="15"/>
      <c r="BG888" s="15"/>
      <c r="BH888" s="15"/>
      <c r="BI888" s="15"/>
      <c r="BJ888" s="15"/>
      <c r="BK888" s="15"/>
      <c r="BL888" s="15"/>
      <c r="BM888" s="15"/>
      <c r="BN888" s="92"/>
      <c r="BO888" s="92"/>
      <c r="BP888" s="92"/>
      <c r="BQ888" s="92"/>
      <c r="BR888" s="92"/>
      <c r="BS888" s="92"/>
      <c r="BT888" s="92"/>
      <c r="BU888" s="92"/>
      <c r="BV888" s="92"/>
      <c r="BW888" s="92"/>
      <c r="BX888" s="92"/>
      <c r="BY888" s="92"/>
      <c r="BZ888" s="92"/>
      <c r="CA888" s="92"/>
      <c r="CB888" s="92"/>
      <c r="CC888" s="92"/>
      <c r="CD888" s="92"/>
      <c r="CE888" s="92"/>
      <c r="CF888" s="92"/>
      <c r="CG888" s="92"/>
      <c r="CH888" s="92"/>
      <c r="CI888" s="92"/>
      <c r="CJ888" s="92"/>
      <c r="CK888" s="92"/>
      <c r="CL888" s="92"/>
      <c r="CM888" s="92"/>
      <c r="CN888" s="92"/>
      <c r="CO888" s="92"/>
      <c r="CP888" s="92"/>
      <c r="CQ888" s="92"/>
      <c r="CR888" s="92"/>
      <c r="CS888" s="92"/>
      <c r="CT888" s="92"/>
      <c r="CU888" s="92"/>
      <c r="CV888" s="92"/>
      <c r="CW888" s="92"/>
      <c r="CX888" s="85"/>
      <c r="CY888" s="85"/>
      <c r="CZ888" s="85"/>
      <c r="DA888" s="85"/>
      <c r="DB888" s="85"/>
      <c r="DC888" s="85"/>
      <c r="DD888" s="85"/>
      <c r="DE888" s="85"/>
      <c r="DF888" s="85"/>
      <c r="DG888" s="85"/>
      <c r="DH888" s="85"/>
      <c r="DI888" s="85"/>
      <c r="DJ888" s="85"/>
      <c r="DK888" s="85"/>
      <c r="DL888" s="85"/>
      <c r="DM888" s="85"/>
      <c r="DN888" s="85"/>
      <c r="DO888" s="85"/>
      <c r="DP888" s="85"/>
    </row>
    <row r="889">
      <c r="A889" s="91"/>
      <c r="B889" s="91"/>
      <c r="C889" s="91"/>
      <c r="D889" s="91"/>
      <c r="E889" s="78"/>
      <c r="F889" s="15"/>
      <c r="G889" s="15"/>
      <c r="H889" s="91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5"/>
      <c r="BF889" s="15"/>
      <c r="BG889" s="15"/>
      <c r="BH889" s="15"/>
      <c r="BI889" s="15"/>
      <c r="BJ889" s="15"/>
      <c r="BK889" s="15"/>
      <c r="BL889" s="15"/>
      <c r="BM889" s="15"/>
      <c r="BN889" s="92"/>
      <c r="BO889" s="92"/>
      <c r="BP889" s="92"/>
      <c r="BQ889" s="92"/>
      <c r="BR889" s="92"/>
      <c r="BS889" s="92"/>
      <c r="BT889" s="92"/>
      <c r="BU889" s="92"/>
      <c r="BV889" s="92"/>
      <c r="BW889" s="92"/>
      <c r="BX889" s="92"/>
      <c r="BY889" s="92"/>
      <c r="BZ889" s="92"/>
      <c r="CA889" s="92"/>
      <c r="CB889" s="92"/>
      <c r="CC889" s="92"/>
      <c r="CD889" s="92"/>
      <c r="CE889" s="92"/>
      <c r="CF889" s="92"/>
      <c r="CG889" s="92"/>
      <c r="CH889" s="92"/>
      <c r="CI889" s="92"/>
      <c r="CJ889" s="92"/>
      <c r="CK889" s="92"/>
      <c r="CL889" s="92"/>
      <c r="CM889" s="92"/>
      <c r="CN889" s="92"/>
      <c r="CO889" s="92"/>
      <c r="CP889" s="92"/>
      <c r="CQ889" s="92"/>
      <c r="CR889" s="92"/>
      <c r="CS889" s="92"/>
      <c r="CT889" s="92"/>
      <c r="CU889" s="92"/>
      <c r="CV889" s="92"/>
      <c r="CW889" s="92"/>
      <c r="CX889" s="85"/>
      <c r="CY889" s="85"/>
      <c r="CZ889" s="85"/>
      <c r="DA889" s="85"/>
      <c r="DB889" s="85"/>
      <c r="DC889" s="85"/>
      <c r="DD889" s="85"/>
      <c r="DE889" s="85"/>
      <c r="DF889" s="85"/>
      <c r="DG889" s="85"/>
      <c r="DH889" s="85"/>
      <c r="DI889" s="85"/>
      <c r="DJ889" s="85"/>
      <c r="DK889" s="85"/>
      <c r="DL889" s="85"/>
      <c r="DM889" s="85"/>
      <c r="DN889" s="85"/>
      <c r="DO889" s="85"/>
      <c r="DP889" s="85"/>
    </row>
    <row r="890">
      <c r="A890" s="91"/>
      <c r="B890" s="91"/>
      <c r="C890" s="91"/>
      <c r="D890" s="91"/>
      <c r="E890" s="78"/>
      <c r="F890" s="15"/>
      <c r="G890" s="15"/>
      <c r="H890" s="91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  <c r="BD890" s="15"/>
      <c r="BE890" s="15"/>
      <c r="BF890" s="15"/>
      <c r="BG890" s="15"/>
      <c r="BH890" s="15"/>
      <c r="BI890" s="15"/>
      <c r="BJ890" s="15"/>
      <c r="BK890" s="15"/>
      <c r="BL890" s="15"/>
      <c r="BM890" s="15"/>
      <c r="BN890" s="92"/>
      <c r="BO890" s="92"/>
      <c r="BP890" s="92"/>
      <c r="BQ890" s="92"/>
      <c r="BR890" s="92"/>
      <c r="BS890" s="92"/>
      <c r="BT890" s="92"/>
      <c r="BU890" s="92"/>
      <c r="BV890" s="92"/>
      <c r="BW890" s="92"/>
      <c r="BX890" s="92"/>
      <c r="BY890" s="92"/>
      <c r="BZ890" s="92"/>
      <c r="CA890" s="92"/>
      <c r="CB890" s="92"/>
      <c r="CC890" s="92"/>
      <c r="CD890" s="92"/>
      <c r="CE890" s="92"/>
      <c r="CF890" s="92"/>
      <c r="CG890" s="92"/>
      <c r="CH890" s="92"/>
      <c r="CI890" s="92"/>
      <c r="CJ890" s="92"/>
      <c r="CK890" s="92"/>
      <c r="CL890" s="92"/>
      <c r="CM890" s="92"/>
      <c r="CN890" s="92"/>
      <c r="CO890" s="92"/>
      <c r="CP890" s="92"/>
      <c r="CQ890" s="92"/>
      <c r="CR890" s="92"/>
      <c r="CS890" s="92"/>
      <c r="CT890" s="92"/>
      <c r="CU890" s="92"/>
      <c r="CV890" s="92"/>
      <c r="CW890" s="92"/>
      <c r="CX890" s="85"/>
      <c r="CY890" s="85"/>
      <c r="CZ890" s="85"/>
      <c r="DA890" s="85"/>
      <c r="DB890" s="85"/>
      <c r="DC890" s="85"/>
      <c r="DD890" s="85"/>
      <c r="DE890" s="85"/>
      <c r="DF890" s="85"/>
      <c r="DG890" s="85"/>
      <c r="DH890" s="85"/>
      <c r="DI890" s="85"/>
      <c r="DJ890" s="85"/>
      <c r="DK890" s="85"/>
      <c r="DL890" s="85"/>
      <c r="DM890" s="85"/>
      <c r="DN890" s="85"/>
      <c r="DO890" s="85"/>
      <c r="DP890" s="85"/>
    </row>
    <row r="891">
      <c r="A891" s="91"/>
      <c r="B891" s="91"/>
      <c r="C891" s="91"/>
      <c r="D891" s="91"/>
      <c r="E891" s="78"/>
      <c r="F891" s="15"/>
      <c r="G891" s="15"/>
      <c r="H891" s="91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5"/>
      <c r="BG891" s="15"/>
      <c r="BH891" s="15"/>
      <c r="BI891" s="15"/>
      <c r="BJ891" s="15"/>
      <c r="BK891" s="15"/>
      <c r="BL891" s="15"/>
      <c r="BM891" s="15"/>
      <c r="BN891" s="92"/>
      <c r="BO891" s="92"/>
      <c r="BP891" s="92"/>
      <c r="BQ891" s="92"/>
      <c r="BR891" s="92"/>
      <c r="BS891" s="92"/>
      <c r="BT891" s="92"/>
      <c r="BU891" s="92"/>
      <c r="BV891" s="92"/>
      <c r="BW891" s="92"/>
      <c r="BX891" s="92"/>
      <c r="BY891" s="92"/>
      <c r="BZ891" s="92"/>
      <c r="CA891" s="92"/>
      <c r="CB891" s="92"/>
      <c r="CC891" s="92"/>
      <c r="CD891" s="92"/>
      <c r="CE891" s="92"/>
      <c r="CF891" s="92"/>
      <c r="CG891" s="92"/>
      <c r="CH891" s="92"/>
      <c r="CI891" s="92"/>
      <c r="CJ891" s="92"/>
      <c r="CK891" s="92"/>
      <c r="CL891" s="92"/>
      <c r="CM891" s="92"/>
      <c r="CN891" s="92"/>
      <c r="CO891" s="92"/>
      <c r="CP891" s="92"/>
      <c r="CQ891" s="92"/>
      <c r="CR891" s="92"/>
      <c r="CS891" s="92"/>
      <c r="CT891" s="92"/>
      <c r="CU891" s="92"/>
      <c r="CV891" s="92"/>
      <c r="CW891" s="92"/>
      <c r="CX891" s="85"/>
      <c r="CY891" s="85"/>
      <c r="CZ891" s="85"/>
      <c r="DA891" s="85"/>
      <c r="DB891" s="85"/>
      <c r="DC891" s="85"/>
      <c r="DD891" s="85"/>
      <c r="DE891" s="85"/>
      <c r="DF891" s="85"/>
      <c r="DG891" s="85"/>
      <c r="DH891" s="85"/>
      <c r="DI891" s="85"/>
      <c r="DJ891" s="85"/>
      <c r="DK891" s="85"/>
      <c r="DL891" s="85"/>
      <c r="DM891" s="85"/>
      <c r="DN891" s="85"/>
      <c r="DO891" s="85"/>
      <c r="DP891" s="85"/>
    </row>
    <row r="892">
      <c r="A892" s="91"/>
      <c r="B892" s="91"/>
      <c r="C892" s="91"/>
      <c r="D892" s="91"/>
      <c r="E892" s="78"/>
      <c r="F892" s="15"/>
      <c r="G892" s="15"/>
      <c r="H892" s="91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  <c r="BC892" s="15"/>
      <c r="BD892" s="15"/>
      <c r="BE892" s="15"/>
      <c r="BF892" s="15"/>
      <c r="BG892" s="15"/>
      <c r="BH892" s="15"/>
      <c r="BI892" s="15"/>
      <c r="BJ892" s="15"/>
      <c r="BK892" s="15"/>
      <c r="BL892" s="15"/>
      <c r="BM892" s="15"/>
      <c r="BN892" s="92"/>
      <c r="BO892" s="92"/>
      <c r="BP892" s="92"/>
      <c r="BQ892" s="92"/>
      <c r="BR892" s="92"/>
      <c r="BS892" s="92"/>
      <c r="BT892" s="92"/>
      <c r="BU892" s="92"/>
      <c r="BV892" s="92"/>
      <c r="BW892" s="92"/>
      <c r="BX892" s="92"/>
      <c r="BY892" s="92"/>
      <c r="BZ892" s="92"/>
      <c r="CA892" s="92"/>
      <c r="CB892" s="92"/>
      <c r="CC892" s="92"/>
      <c r="CD892" s="92"/>
      <c r="CE892" s="92"/>
      <c r="CF892" s="92"/>
      <c r="CG892" s="92"/>
      <c r="CH892" s="92"/>
      <c r="CI892" s="92"/>
      <c r="CJ892" s="92"/>
      <c r="CK892" s="92"/>
      <c r="CL892" s="92"/>
      <c r="CM892" s="92"/>
      <c r="CN892" s="92"/>
      <c r="CO892" s="92"/>
      <c r="CP892" s="92"/>
      <c r="CQ892" s="92"/>
      <c r="CR892" s="92"/>
      <c r="CS892" s="92"/>
      <c r="CT892" s="92"/>
      <c r="CU892" s="92"/>
      <c r="CV892" s="92"/>
      <c r="CW892" s="92"/>
      <c r="CX892" s="85"/>
      <c r="CY892" s="85"/>
      <c r="CZ892" s="85"/>
      <c r="DA892" s="85"/>
      <c r="DB892" s="85"/>
      <c r="DC892" s="85"/>
      <c r="DD892" s="85"/>
      <c r="DE892" s="85"/>
      <c r="DF892" s="85"/>
      <c r="DG892" s="85"/>
      <c r="DH892" s="85"/>
      <c r="DI892" s="85"/>
      <c r="DJ892" s="85"/>
      <c r="DK892" s="85"/>
      <c r="DL892" s="85"/>
      <c r="DM892" s="85"/>
      <c r="DN892" s="85"/>
      <c r="DO892" s="85"/>
      <c r="DP892" s="85"/>
    </row>
    <row r="893">
      <c r="A893" s="91"/>
      <c r="B893" s="91"/>
      <c r="C893" s="91"/>
      <c r="D893" s="91"/>
      <c r="E893" s="78"/>
      <c r="F893" s="15"/>
      <c r="G893" s="15"/>
      <c r="H893" s="91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5"/>
      <c r="BF893" s="15"/>
      <c r="BG893" s="15"/>
      <c r="BH893" s="15"/>
      <c r="BI893" s="15"/>
      <c r="BJ893" s="15"/>
      <c r="BK893" s="15"/>
      <c r="BL893" s="15"/>
      <c r="BM893" s="15"/>
      <c r="BN893" s="92"/>
      <c r="BO893" s="92"/>
      <c r="BP893" s="92"/>
      <c r="BQ893" s="92"/>
      <c r="BR893" s="92"/>
      <c r="BS893" s="92"/>
      <c r="BT893" s="92"/>
      <c r="BU893" s="92"/>
      <c r="BV893" s="92"/>
      <c r="BW893" s="92"/>
      <c r="BX893" s="92"/>
      <c r="BY893" s="92"/>
      <c r="BZ893" s="92"/>
      <c r="CA893" s="92"/>
      <c r="CB893" s="92"/>
      <c r="CC893" s="92"/>
      <c r="CD893" s="92"/>
      <c r="CE893" s="92"/>
      <c r="CF893" s="92"/>
      <c r="CG893" s="92"/>
      <c r="CH893" s="92"/>
      <c r="CI893" s="92"/>
      <c r="CJ893" s="92"/>
      <c r="CK893" s="92"/>
      <c r="CL893" s="92"/>
      <c r="CM893" s="92"/>
      <c r="CN893" s="92"/>
      <c r="CO893" s="92"/>
      <c r="CP893" s="92"/>
      <c r="CQ893" s="92"/>
      <c r="CR893" s="92"/>
      <c r="CS893" s="92"/>
      <c r="CT893" s="92"/>
      <c r="CU893" s="92"/>
      <c r="CV893" s="92"/>
      <c r="CW893" s="92"/>
      <c r="CX893" s="85"/>
      <c r="CY893" s="85"/>
      <c r="CZ893" s="85"/>
      <c r="DA893" s="85"/>
      <c r="DB893" s="85"/>
      <c r="DC893" s="85"/>
      <c r="DD893" s="85"/>
      <c r="DE893" s="85"/>
      <c r="DF893" s="85"/>
      <c r="DG893" s="85"/>
      <c r="DH893" s="85"/>
      <c r="DI893" s="85"/>
      <c r="DJ893" s="85"/>
      <c r="DK893" s="85"/>
      <c r="DL893" s="85"/>
      <c r="DM893" s="85"/>
      <c r="DN893" s="85"/>
      <c r="DO893" s="85"/>
      <c r="DP893" s="85"/>
    </row>
    <row r="894">
      <c r="A894" s="91"/>
      <c r="B894" s="91"/>
      <c r="C894" s="91"/>
      <c r="D894" s="91"/>
      <c r="E894" s="78"/>
      <c r="F894" s="15"/>
      <c r="G894" s="15"/>
      <c r="H894" s="91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  <c r="BD894" s="15"/>
      <c r="BE894" s="15"/>
      <c r="BF894" s="15"/>
      <c r="BG894" s="15"/>
      <c r="BH894" s="15"/>
      <c r="BI894" s="15"/>
      <c r="BJ894" s="15"/>
      <c r="BK894" s="15"/>
      <c r="BL894" s="15"/>
      <c r="BM894" s="15"/>
      <c r="BN894" s="92"/>
      <c r="BO894" s="92"/>
      <c r="BP894" s="92"/>
      <c r="BQ894" s="92"/>
      <c r="BR894" s="92"/>
      <c r="BS894" s="92"/>
      <c r="BT894" s="92"/>
      <c r="BU894" s="92"/>
      <c r="BV894" s="92"/>
      <c r="BW894" s="92"/>
      <c r="BX894" s="92"/>
      <c r="BY894" s="92"/>
      <c r="BZ894" s="92"/>
      <c r="CA894" s="92"/>
      <c r="CB894" s="92"/>
      <c r="CC894" s="92"/>
      <c r="CD894" s="92"/>
      <c r="CE894" s="92"/>
      <c r="CF894" s="92"/>
      <c r="CG894" s="92"/>
      <c r="CH894" s="92"/>
      <c r="CI894" s="92"/>
      <c r="CJ894" s="92"/>
      <c r="CK894" s="92"/>
      <c r="CL894" s="92"/>
      <c r="CM894" s="92"/>
      <c r="CN894" s="92"/>
      <c r="CO894" s="92"/>
      <c r="CP894" s="92"/>
      <c r="CQ894" s="92"/>
      <c r="CR894" s="92"/>
      <c r="CS894" s="92"/>
      <c r="CT894" s="92"/>
      <c r="CU894" s="92"/>
      <c r="CV894" s="92"/>
      <c r="CW894" s="92"/>
      <c r="CX894" s="85"/>
      <c r="CY894" s="85"/>
      <c r="CZ894" s="85"/>
      <c r="DA894" s="85"/>
      <c r="DB894" s="85"/>
      <c r="DC894" s="85"/>
      <c r="DD894" s="85"/>
      <c r="DE894" s="85"/>
      <c r="DF894" s="85"/>
      <c r="DG894" s="85"/>
      <c r="DH894" s="85"/>
      <c r="DI894" s="85"/>
      <c r="DJ894" s="85"/>
      <c r="DK894" s="85"/>
      <c r="DL894" s="85"/>
      <c r="DM894" s="85"/>
      <c r="DN894" s="85"/>
      <c r="DO894" s="85"/>
      <c r="DP894" s="85"/>
    </row>
    <row r="895">
      <c r="A895" s="91"/>
      <c r="B895" s="91"/>
      <c r="C895" s="91"/>
      <c r="D895" s="91"/>
      <c r="E895" s="78"/>
      <c r="F895" s="15"/>
      <c r="G895" s="15"/>
      <c r="H895" s="91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  <c r="BE895" s="15"/>
      <c r="BF895" s="15"/>
      <c r="BG895" s="15"/>
      <c r="BH895" s="15"/>
      <c r="BI895" s="15"/>
      <c r="BJ895" s="15"/>
      <c r="BK895" s="15"/>
      <c r="BL895" s="15"/>
      <c r="BM895" s="15"/>
      <c r="BN895" s="92"/>
      <c r="BO895" s="92"/>
      <c r="BP895" s="92"/>
      <c r="BQ895" s="92"/>
      <c r="BR895" s="92"/>
      <c r="BS895" s="92"/>
      <c r="BT895" s="92"/>
      <c r="BU895" s="92"/>
      <c r="BV895" s="92"/>
      <c r="BW895" s="92"/>
      <c r="BX895" s="92"/>
      <c r="BY895" s="92"/>
      <c r="BZ895" s="92"/>
      <c r="CA895" s="92"/>
      <c r="CB895" s="92"/>
      <c r="CC895" s="92"/>
      <c r="CD895" s="92"/>
      <c r="CE895" s="92"/>
      <c r="CF895" s="92"/>
      <c r="CG895" s="92"/>
      <c r="CH895" s="92"/>
      <c r="CI895" s="92"/>
      <c r="CJ895" s="92"/>
      <c r="CK895" s="92"/>
      <c r="CL895" s="92"/>
      <c r="CM895" s="92"/>
      <c r="CN895" s="92"/>
      <c r="CO895" s="92"/>
      <c r="CP895" s="92"/>
      <c r="CQ895" s="92"/>
      <c r="CR895" s="92"/>
      <c r="CS895" s="92"/>
      <c r="CT895" s="92"/>
      <c r="CU895" s="92"/>
      <c r="CV895" s="92"/>
      <c r="CW895" s="92"/>
      <c r="CX895" s="85"/>
      <c r="CY895" s="85"/>
      <c r="CZ895" s="85"/>
      <c r="DA895" s="85"/>
      <c r="DB895" s="85"/>
      <c r="DC895" s="85"/>
      <c r="DD895" s="85"/>
      <c r="DE895" s="85"/>
      <c r="DF895" s="85"/>
      <c r="DG895" s="85"/>
      <c r="DH895" s="85"/>
      <c r="DI895" s="85"/>
      <c r="DJ895" s="85"/>
      <c r="DK895" s="85"/>
      <c r="DL895" s="85"/>
      <c r="DM895" s="85"/>
      <c r="DN895" s="85"/>
      <c r="DO895" s="85"/>
      <c r="DP895" s="85"/>
    </row>
    <row r="896">
      <c r="A896" s="91"/>
      <c r="B896" s="91"/>
      <c r="C896" s="91"/>
      <c r="D896" s="91"/>
      <c r="E896" s="78"/>
      <c r="F896" s="15"/>
      <c r="G896" s="15"/>
      <c r="H896" s="91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  <c r="BC896" s="15"/>
      <c r="BD896" s="15"/>
      <c r="BE896" s="15"/>
      <c r="BF896" s="15"/>
      <c r="BG896" s="15"/>
      <c r="BH896" s="15"/>
      <c r="BI896" s="15"/>
      <c r="BJ896" s="15"/>
      <c r="BK896" s="15"/>
      <c r="BL896" s="15"/>
      <c r="BM896" s="15"/>
      <c r="BN896" s="92"/>
      <c r="BO896" s="92"/>
      <c r="BP896" s="92"/>
      <c r="BQ896" s="92"/>
      <c r="BR896" s="92"/>
      <c r="BS896" s="92"/>
      <c r="BT896" s="92"/>
      <c r="BU896" s="92"/>
      <c r="BV896" s="92"/>
      <c r="BW896" s="92"/>
      <c r="BX896" s="92"/>
      <c r="BY896" s="92"/>
      <c r="BZ896" s="92"/>
      <c r="CA896" s="92"/>
      <c r="CB896" s="92"/>
      <c r="CC896" s="92"/>
      <c r="CD896" s="92"/>
      <c r="CE896" s="92"/>
      <c r="CF896" s="92"/>
      <c r="CG896" s="92"/>
      <c r="CH896" s="92"/>
      <c r="CI896" s="92"/>
      <c r="CJ896" s="92"/>
      <c r="CK896" s="92"/>
      <c r="CL896" s="92"/>
      <c r="CM896" s="92"/>
      <c r="CN896" s="92"/>
      <c r="CO896" s="92"/>
      <c r="CP896" s="92"/>
      <c r="CQ896" s="92"/>
      <c r="CR896" s="92"/>
      <c r="CS896" s="92"/>
      <c r="CT896" s="92"/>
      <c r="CU896" s="92"/>
      <c r="CV896" s="92"/>
      <c r="CW896" s="92"/>
      <c r="CX896" s="85"/>
      <c r="CY896" s="85"/>
      <c r="CZ896" s="85"/>
      <c r="DA896" s="85"/>
      <c r="DB896" s="85"/>
      <c r="DC896" s="85"/>
      <c r="DD896" s="85"/>
      <c r="DE896" s="85"/>
      <c r="DF896" s="85"/>
      <c r="DG896" s="85"/>
      <c r="DH896" s="85"/>
      <c r="DI896" s="85"/>
      <c r="DJ896" s="85"/>
      <c r="DK896" s="85"/>
      <c r="DL896" s="85"/>
      <c r="DM896" s="85"/>
      <c r="DN896" s="85"/>
      <c r="DO896" s="85"/>
      <c r="DP896" s="85"/>
    </row>
    <row r="897">
      <c r="A897" s="91"/>
      <c r="B897" s="91"/>
      <c r="C897" s="91"/>
      <c r="D897" s="91"/>
      <c r="E897" s="78"/>
      <c r="F897" s="15"/>
      <c r="G897" s="15"/>
      <c r="H897" s="91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  <c r="BE897" s="15"/>
      <c r="BF897" s="15"/>
      <c r="BG897" s="15"/>
      <c r="BH897" s="15"/>
      <c r="BI897" s="15"/>
      <c r="BJ897" s="15"/>
      <c r="BK897" s="15"/>
      <c r="BL897" s="15"/>
      <c r="BM897" s="15"/>
      <c r="BN897" s="92"/>
      <c r="BO897" s="92"/>
      <c r="BP897" s="92"/>
      <c r="BQ897" s="92"/>
      <c r="BR897" s="92"/>
      <c r="BS897" s="92"/>
      <c r="BT897" s="92"/>
      <c r="BU897" s="92"/>
      <c r="BV897" s="92"/>
      <c r="BW897" s="92"/>
      <c r="BX897" s="92"/>
      <c r="BY897" s="92"/>
      <c r="BZ897" s="92"/>
      <c r="CA897" s="92"/>
      <c r="CB897" s="92"/>
      <c r="CC897" s="92"/>
      <c r="CD897" s="92"/>
      <c r="CE897" s="92"/>
      <c r="CF897" s="92"/>
      <c r="CG897" s="92"/>
      <c r="CH897" s="92"/>
      <c r="CI897" s="92"/>
      <c r="CJ897" s="92"/>
      <c r="CK897" s="92"/>
      <c r="CL897" s="92"/>
      <c r="CM897" s="92"/>
      <c r="CN897" s="92"/>
      <c r="CO897" s="92"/>
      <c r="CP897" s="92"/>
      <c r="CQ897" s="92"/>
      <c r="CR897" s="92"/>
      <c r="CS897" s="92"/>
      <c r="CT897" s="92"/>
      <c r="CU897" s="92"/>
      <c r="CV897" s="92"/>
      <c r="CW897" s="92"/>
      <c r="CX897" s="85"/>
      <c r="CY897" s="85"/>
      <c r="CZ897" s="85"/>
      <c r="DA897" s="85"/>
      <c r="DB897" s="85"/>
      <c r="DC897" s="85"/>
      <c r="DD897" s="85"/>
      <c r="DE897" s="85"/>
      <c r="DF897" s="85"/>
      <c r="DG897" s="85"/>
      <c r="DH897" s="85"/>
      <c r="DI897" s="85"/>
      <c r="DJ897" s="85"/>
      <c r="DK897" s="85"/>
      <c r="DL897" s="85"/>
      <c r="DM897" s="85"/>
      <c r="DN897" s="85"/>
      <c r="DO897" s="85"/>
      <c r="DP897" s="85"/>
    </row>
    <row r="898">
      <c r="A898" s="91"/>
      <c r="B898" s="91"/>
      <c r="C898" s="91"/>
      <c r="D898" s="91"/>
      <c r="E898" s="78"/>
      <c r="F898" s="15"/>
      <c r="G898" s="15"/>
      <c r="H898" s="91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  <c r="BD898" s="15"/>
      <c r="BE898" s="15"/>
      <c r="BF898" s="15"/>
      <c r="BG898" s="15"/>
      <c r="BH898" s="15"/>
      <c r="BI898" s="15"/>
      <c r="BJ898" s="15"/>
      <c r="BK898" s="15"/>
      <c r="BL898" s="15"/>
      <c r="BM898" s="15"/>
      <c r="BN898" s="92"/>
      <c r="BO898" s="92"/>
      <c r="BP898" s="92"/>
      <c r="BQ898" s="92"/>
      <c r="BR898" s="92"/>
      <c r="BS898" s="92"/>
      <c r="BT898" s="92"/>
      <c r="BU898" s="92"/>
      <c r="BV898" s="92"/>
      <c r="BW898" s="92"/>
      <c r="BX898" s="92"/>
      <c r="BY898" s="92"/>
      <c r="BZ898" s="92"/>
      <c r="CA898" s="92"/>
      <c r="CB898" s="92"/>
      <c r="CC898" s="92"/>
      <c r="CD898" s="92"/>
      <c r="CE898" s="92"/>
      <c r="CF898" s="92"/>
      <c r="CG898" s="92"/>
      <c r="CH898" s="92"/>
      <c r="CI898" s="92"/>
      <c r="CJ898" s="92"/>
      <c r="CK898" s="92"/>
      <c r="CL898" s="92"/>
      <c r="CM898" s="92"/>
      <c r="CN898" s="92"/>
      <c r="CO898" s="92"/>
      <c r="CP898" s="92"/>
      <c r="CQ898" s="92"/>
      <c r="CR898" s="92"/>
      <c r="CS898" s="92"/>
      <c r="CT898" s="92"/>
      <c r="CU898" s="92"/>
      <c r="CV898" s="92"/>
      <c r="CW898" s="92"/>
      <c r="CX898" s="85"/>
      <c r="CY898" s="85"/>
      <c r="CZ898" s="85"/>
      <c r="DA898" s="85"/>
      <c r="DB898" s="85"/>
      <c r="DC898" s="85"/>
      <c r="DD898" s="85"/>
      <c r="DE898" s="85"/>
      <c r="DF898" s="85"/>
      <c r="DG898" s="85"/>
      <c r="DH898" s="85"/>
      <c r="DI898" s="85"/>
      <c r="DJ898" s="85"/>
      <c r="DK898" s="85"/>
      <c r="DL898" s="85"/>
      <c r="DM898" s="85"/>
      <c r="DN898" s="85"/>
      <c r="DO898" s="85"/>
      <c r="DP898" s="85"/>
    </row>
    <row r="899">
      <c r="A899" s="91"/>
      <c r="B899" s="91"/>
      <c r="C899" s="91"/>
      <c r="D899" s="91"/>
      <c r="E899" s="78"/>
      <c r="F899" s="15"/>
      <c r="G899" s="15"/>
      <c r="H899" s="91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5"/>
      <c r="BF899" s="15"/>
      <c r="BG899" s="15"/>
      <c r="BH899" s="15"/>
      <c r="BI899" s="15"/>
      <c r="BJ899" s="15"/>
      <c r="BK899" s="15"/>
      <c r="BL899" s="15"/>
      <c r="BM899" s="15"/>
      <c r="BN899" s="92"/>
      <c r="BO899" s="92"/>
      <c r="BP899" s="92"/>
      <c r="BQ899" s="92"/>
      <c r="BR899" s="92"/>
      <c r="BS899" s="92"/>
      <c r="BT899" s="92"/>
      <c r="BU899" s="92"/>
      <c r="BV899" s="92"/>
      <c r="BW899" s="92"/>
      <c r="BX899" s="92"/>
      <c r="BY899" s="92"/>
      <c r="BZ899" s="92"/>
      <c r="CA899" s="92"/>
      <c r="CB899" s="92"/>
      <c r="CC899" s="92"/>
      <c r="CD899" s="92"/>
      <c r="CE899" s="92"/>
      <c r="CF899" s="92"/>
      <c r="CG899" s="92"/>
      <c r="CH899" s="92"/>
      <c r="CI899" s="92"/>
      <c r="CJ899" s="92"/>
      <c r="CK899" s="92"/>
      <c r="CL899" s="92"/>
      <c r="CM899" s="92"/>
      <c r="CN899" s="92"/>
      <c r="CO899" s="92"/>
      <c r="CP899" s="92"/>
      <c r="CQ899" s="92"/>
      <c r="CR899" s="92"/>
      <c r="CS899" s="92"/>
      <c r="CT899" s="92"/>
      <c r="CU899" s="92"/>
      <c r="CV899" s="92"/>
      <c r="CW899" s="92"/>
      <c r="CX899" s="85"/>
      <c r="CY899" s="85"/>
      <c r="CZ899" s="85"/>
      <c r="DA899" s="85"/>
      <c r="DB899" s="85"/>
      <c r="DC899" s="85"/>
      <c r="DD899" s="85"/>
      <c r="DE899" s="85"/>
      <c r="DF899" s="85"/>
      <c r="DG899" s="85"/>
      <c r="DH899" s="85"/>
      <c r="DI899" s="85"/>
      <c r="DJ899" s="85"/>
      <c r="DK899" s="85"/>
      <c r="DL899" s="85"/>
      <c r="DM899" s="85"/>
      <c r="DN899" s="85"/>
      <c r="DO899" s="85"/>
      <c r="DP899" s="85"/>
    </row>
    <row r="900">
      <c r="A900" s="91"/>
      <c r="B900" s="91"/>
      <c r="C900" s="91"/>
      <c r="D900" s="91"/>
      <c r="E900" s="78"/>
      <c r="F900" s="15"/>
      <c r="G900" s="15"/>
      <c r="H900" s="91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  <c r="BC900" s="15"/>
      <c r="BD900" s="15"/>
      <c r="BE900" s="15"/>
      <c r="BF900" s="15"/>
      <c r="BG900" s="15"/>
      <c r="BH900" s="15"/>
      <c r="BI900" s="15"/>
      <c r="BJ900" s="15"/>
      <c r="BK900" s="15"/>
      <c r="BL900" s="15"/>
      <c r="BM900" s="15"/>
      <c r="BN900" s="92"/>
      <c r="BO900" s="92"/>
      <c r="BP900" s="92"/>
      <c r="BQ900" s="92"/>
      <c r="BR900" s="92"/>
      <c r="BS900" s="92"/>
      <c r="BT900" s="92"/>
      <c r="BU900" s="92"/>
      <c r="BV900" s="92"/>
      <c r="BW900" s="92"/>
      <c r="BX900" s="92"/>
      <c r="BY900" s="92"/>
      <c r="BZ900" s="92"/>
      <c r="CA900" s="92"/>
      <c r="CB900" s="92"/>
      <c r="CC900" s="92"/>
      <c r="CD900" s="92"/>
      <c r="CE900" s="92"/>
      <c r="CF900" s="92"/>
      <c r="CG900" s="92"/>
      <c r="CH900" s="92"/>
      <c r="CI900" s="92"/>
      <c r="CJ900" s="92"/>
      <c r="CK900" s="92"/>
      <c r="CL900" s="92"/>
      <c r="CM900" s="92"/>
      <c r="CN900" s="92"/>
      <c r="CO900" s="92"/>
      <c r="CP900" s="92"/>
      <c r="CQ900" s="92"/>
      <c r="CR900" s="92"/>
      <c r="CS900" s="92"/>
      <c r="CT900" s="92"/>
      <c r="CU900" s="92"/>
      <c r="CV900" s="92"/>
      <c r="CW900" s="92"/>
      <c r="CX900" s="85"/>
      <c r="CY900" s="85"/>
      <c r="CZ900" s="85"/>
      <c r="DA900" s="85"/>
      <c r="DB900" s="85"/>
      <c r="DC900" s="85"/>
      <c r="DD900" s="85"/>
      <c r="DE900" s="85"/>
      <c r="DF900" s="85"/>
      <c r="DG900" s="85"/>
      <c r="DH900" s="85"/>
      <c r="DI900" s="85"/>
      <c r="DJ900" s="85"/>
      <c r="DK900" s="85"/>
      <c r="DL900" s="85"/>
      <c r="DM900" s="85"/>
      <c r="DN900" s="85"/>
      <c r="DO900" s="85"/>
      <c r="DP900" s="85"/>
    </row>
    <row r="901">
      <c r="A901" s="91"/>
      <c r="B901" s="91"/>
      <c r="C901" s="91"/>
      <c r="D901" s="91"/>
      <c r="E901" s="78"/>
      <c r="F901" s="15"/>
      <c r="G901" s="15"/>
      <c r="H901" s="91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  <c r="BE901" s="15"/>
      <c r="BF901" s="15"/>
      <c r="BG901" s="15"/>
      <c r="BH901" s="15"/>
      <c r="BI901" s="15"/>
      <c r="BJ901" s="15"/>
      <c r="BK901" s="15"/>
      <c r="BL901" s="15"/>
      <c r="BM901" s="15"/>
      <c r="BN901" s="92"/>
      <c r="BO901" s="92"/>
      <c r="BP901" s="92"/>
      <c r="BQ901" s="92"/>
      <c r="BR901" s="92"/>
      <c r="BS901" s="92"/>
      <c r="BT901" s="92"/>
      <c r="BU901" s="92"/>
      <c r="BV901" s="92"/>
      <c r="BW901" s="92"/>
      <c r="BX901" s="92"/>
      <c r="BY901" s="92"/>
      <c r="BZ901" s="92"/>
      <c r="CA901" s="92"/>
      <c r="CB901" s="92"/>
      <c r="CC901" s="92"/>
      <c r="CD901" s="92"/>
      <c r="CE901" s="92"/>
      <c r="CF901" s="92"/>
      <c r="CG901" s="92"/>
      <c r="CH901" s="92"/>
      <c r="CI901" s="92"/>
      <c r="CJ901" s="92"/>
      <c r="CK901" s="92"/>
      <c r="CL901" s="92"/>
      <c r="CM901" s="92"/>
      <c r="CN901" s="92"/>
      <c r="CO901" s="92"/>
      <c r="CP901" s="92"/>
      <c r="CQ901" s="92"/>
      <c r="CR901" s="92"/>
      <c r="CS901" s="92"/>
      <c r="CT901" s="92"/>
      <c r="CU901" s="92"/>
      <c r="CV901" s="92"/>
      <c r="CW901" s="92"/>
      <c r="CX901" s="85"/>
      <c r="CY901" s="85"/>
      <c r="CZ901" s="85"/>
      <c r="DA901" s="85"/>
      <c r="DB901" s="85"/>
      <c r="DC901" s="85"/>
      <c r="DD901" s="85"/>
      <c r="DE901" s="85"/>
      <c r="DF901" s="85"/>
      <c r="DG901" s="85"/>
      <c r="DH901" s="85"/>
      <c r="DI901" s="85"/>
      <c r="DJ901" s="85"/>
      <c r="DK901" s="85"/>
      <c r="DL901" s="85"/>
      <c r="DM901" s="85"/>
      <c r="DN901" s="85"/>
      <c r="DO901" s="85"/>
      <c r="DP901" s="85"/>
    </row>
    <row r="902">
      <c r="A902" s="91"/>
      <c r="B902" s="91"/>
      <c r="C902" s="91"/>
      <c r="D902" s="91"/>
      <c r="E902" s="78"/>
      <c r="F902" s="15"/>
      <c r="G902" s="15"/>
      <c r="H902" s="91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  <c r="BC902" s="15"/>
      <c r="BD902" s="15"/>
      <c r="BE902" s="15"/>
      <c r="BF902" s="15"/>
      <c r="BG902" s="15"/>
      <c r="BH902" s="15"/>
      <c r="BI902" s="15"/>
      <c r="BJ902" s="15"/>
      <c r="BK902" s="15"/>
      <c r="BL902" s="15"/>
      <c r="BM902" s="15"/>
      <c r="BN902" s="92"/>
      <c r="BO902" s="92"/>
      <c r="BP902" s="92"/>
      <c r="BQ902" s="92"/>
      <c r="BR902" s="92"/>
      <c r="BS902" s="92"/>
      <c r="BT902" s="92"/>
      <c r="BU902" s="92"/>
      <c r="BV902" s="92"/>
      <c r="BW902" s="92"/>
      <c r="BX902" s="92"/>
      <c r="BY902" s="92"/>
      <c r="BZ902" s="92"/>
      <c r="CA902" s="92"/>
      <c r="CB902" s="92"/>
      <c r="CC902" s="92"/>
      <c r="CD902" s="92"/>
      <c r="CE902" s="92"/>
      <c r="CF902" s="92"/>
      <c r="CG902" s="92"/>
      <c r="CH902" s="92"/>
      <c r="CI902" s="92"/>
      <c r="CJ902" s="92"/>
      <c r="CK902" s="92"/>
      <c r="CL902" s="92"/>
      <c r="CM902" s="92"/>
      <c r="CN902" s="92"/>
      <c r="CO902" s="92"/>
      <c r="CP902" s="92"/>
      <c r="CQ902" s="92"/>
      <c r="CR902" s="92"/>
      <c r="CS902" s="92"/>
      <c r="CT902" s="92"/>
      <c r="CU902" s="92"/>
      <c r="CV902" s="92"/>
      <c r="CW902" s="92"/>
      <c r="CX902" s="85"/>
      <c r="CY902" s="85"/>
      <c r="CZ902" s="85"/>
      <c r="DA902" s="85"/>
      <c r="DB902" s="85"/>
      <c r="DC902" s="85"/>
      <c r="DD902" s="85"/>
      <c r="DE902" s="85"/>
      <c r="DF902" s="85"/>
      <c r="DG902" s="85"/>
      <c r="DH902" s="85"/>
      <c r="DI902" s="85"/>
      <c r="DJ902" s="85"/>
      <c r="DK902" s="85"/>
      <c r="DL902" s="85"/>
      <c r="DM902" s="85"/>
      <c r="DN902" s="85"/>
      <c r="DO902" s="85"/>
      <c r="DP902" s="85"/>
    </row>
    <row r="903">
      <c r="A903" s="91"/>
      <c r="B903" s="91"/>
      <c r="C903" s="91"/>
      <c r="D903" s="91"/>
      <c r="E903" s="78"/>
      <c r="F903" s="15"/>
      <c r="G903" s="15"/>
      <c r="H903" s="91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5"/>
      <c r="BF903" s="15"/>
      <c r="BG903" s="15"/>
      <c r="BH903" s="15"/>
      <c r="BI903" s="15"/>
      <c r="BJ903" s="15"/>
      <c r="BK903" s="15"/>
      <c r="BL903" s="15"/>
      <c r="BM903" s="15"/>
      <c r="BN903" s="92"/>
      <c r="BO903" s="92"/>
      <c r="BP903" s="92"/>
      <c r="BQ903" s="92"/>
      <c r="BR903" s="92"/>
      <c r="BS903" s="92"/>
      <c r="BT903" s="92"/>
      <c r="BU903" s="92"/>
      <c r="BV903" s="92"/>
      <c r="BW903" s="92"/>
      <c r="BX903" s="92"/>
      <c r="BY903" s="92"/>
      <c r="BZ903" s="92"/>
      <c r="CA903" s="92"/>
      <c r="CB903" s="92"/>
      <c r="CC903" s="92"/>
      <c r="CD903" s="92"/>
      <c r="CE903" s="92"/>
      <c r="CF903" s="92"/>
      <c r="CG903" s="92"/>
      <c r="CH903" s="92"/>
      <c r="CI903" s="92"/>
      <c r="CJ903" s="92"/>
      <c r="CK903" s="92"/>
      <c r="CL903" s="92"/>
      <c r="CM903" s="92"/>
      <c r="CN903" s="92"/>
      <c r="CO903" s="92"/>
      <c r="CP903" s="92"/>
      <c r="CQ903" s="92"/>
      <c r="CR903" s="92"/>
      <c r="CS903" s="92"/>
      <c r="CT903" s="92"/>
      <c r="CU903" s="92"/>
      <c r="CV903" s="92"/>
      <c r="CW903" s="92"/>
      <c r="CX903" s="85"/>
      <c r="CY903" s="85"/>
      <c r="CZ903" s="85"/>
      <c r="DA903" s="85"/>
      <c r="DB903" s="85"/>
      <c r="DC903" s="85"/>
      <c r="DD903" s="85"/>
      <c r="DE903" s="85"/>
      <c r="DF903" s="85"/>
      <c r="DG903" s="85"/>
      <c r="DH903" s="85"/>
      <c r="DI903" s="85"/>
      <c r="DJ903" s="85"/>
      <c r="DK903" s="85"/>
      <c r="DL903" s="85"/>
      <c r="DM903" s="85"/>
      <c r="DN903" s="85"/>
      <c r="DO903" s="85"/>
      <c r="DP903" s="85"/>
    </row>
    <row r="904">
      <c r="A904" s="91"/>
      <c r="B904" s="91"/>
      <c r="C904" s="91"/>
      <c r="D904" s="91"/>
      <c r="E904" s="78"/>
      <c r="F904" s="15"/>
      <c r="G904" s="15"/>
      <c r="H904" s="91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  <c r="BC904" s="15"/>
      <c r="BD904" s="15"/>
      <c r="BE904" s="15"/>
      <c r="BF904" s="15"/>
      <c r="BG904" s="15"/>
      <c r="BH904" s="15"/>
      <c r="BI904" s="15"/>
      <c r="BJ904" s="15"/>
      <c r="BK904" s="15"/>
      <c r="BL904" s="15"/>
      <c r="BM904" s="15"/>
      <c r="BN904" s="92"/>
      <c r="BO904" s="92"/>
      <c r="BP904" s="92"/>
      <c r="BQ904" s="92"/>
      <c r="BR904" s="92"/>
      <c r="BS904" s="92"/>
      <c r="BT904" s="92"/>
      <c r="BU904" s="92"/>
      <c r="BV904" s="92"/>
      <c r="BW904" s="92"/>
      <c r="BX904" s="92"/>
      <c r="BY904" s="92"/>
      <c r="BZ904" s="92"/>
      <c r="CA904" s="92"/>
      <c r="CB904" s="92"/>
      <c r="CC904" s="92"/>
      <c r="CD904" s="92"/>
      <c r="CE904" s="92"/>
      <c r="CF904" s="92"/>
      <c r="CG904" s="92"/>
      <c r="CH904" s="92"/>
      <c r="CI904" s="92"/>
      <c r="CJ904" s="92"/>
      <c r="CK904" s="92"/>
      <c r="CL904" s="92"/>
      <c r="CM904" s="92"/>
      <c r="CN904" s="92"/>
      <c r="CO904" s="92"/>
      <c r="CP904" s="92"/>
      <c r="CQ904" s="92"/>
      <c r="CR904" s="92"/>
      <c r="CS904" s="92"/>
      <c r="CT904" s="92"/>
      <c r="CU904" s="92"/>
      <c r="CV904" s="92"/>
      <c r="CW904" s="92"/>
      <c r="CX904" s="85"/>
      <c r="CY904" s="85"/>
      <c r="CZ904" s="85"/>
      <c r="DA904" s="85"/>
      <c r="DB904" s="85"/>
      <c r="DC904" s="85"/>
      <c r="DD904" s="85"/>
      <c r="DE904" s="85"/>
      <c r="DF904" s="85"/>
      <c r="DG904" s="85"/>
      <c r="DH904" s="85"/>
      <c r="DI904" s="85"/>
      <c r="DJ904" s="85"/>
      <c r="DK904" s="85"/>
      <c r="DL904" s="85"/>
      <c r="DM904" s="85"/>
      <c r="DN904" s="85"/>
      <c r="DO904" s="85"/>
      <c r="DP904" s="85"/>
    </row>
    <row r="905">
      <c r="A905" s="91"/>
      <c r="B905" s="91"/>
      <c r="C905" s="91"/>
      <c r="D905" s="91"/>
      <c r="E905" s="78"/>
      <c r="F905" s="15"/>
      <c r="G905" s="15"/>
      <c r="H905" s="91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  <c r="BE905" s="15"/>
      <c r="BF905" s="15"/>
      <c r="BG905" s="15"/>
      <c r="BH905" s="15"/>
      <c r="BI905" s="15"/>
      <c r="BJ905" s="15"/>
      <c r="BK905" s="15"/>
      <c r="BL905" s="15"/>
      <c r="BM905" s="15"/>
      <c r="BN905" s="92"/>
      <c r="BO905" s="92"/>
      <c r="BP905" s="92"/>
      <c r="BQ905" s="92"/>
      <c r="BR905" s="92"/>
      <c r="BS905" s="92"/>
      <c r="BT905" s="92"/>
      <c r="BU905" s="92"/>
      <c r="BV905" s="92"/>
      <c r="BW905" s="92"/>
      <c r="BX905" s="92"/>
      <c r="BY905" s="92"/>
      <c r="BZ905" s="92"/>
      <c r="CA905" s="92"/>
      <c r="CB905" s="92"/>
      <c r="CC905" s="92"/>
      <c r="CD905" s="92"/>
      <c r="CE905" s="92"/>
      <c r="CF905" s="92"/>
      <c r="CG905" s="92"/>
      <c r="CH905" s="92"/>
      <c r="CI905" s="92"/>
      <c r="CJ905" s="92"/>
      <c r="CK905" s="92"/>
      <c r="CL905" s="92"/>
      <c r="CM905" s="92"/>
      <c r="CN905" s="92"/>
      <c r="CO905" s="92"/>
      <c r="CP905" s="92"/>
      <c r="CQ905" s="92"/>
      <c r="CR905" s="92"/>
      <c r="CS905" s="92"/>
      <c r="CT905" s="92"/>
      <c r="CU905" s="92"/>
      <c r="CV905" s="92"/>
      <c r="CW905" s="92"/>
      <c r="CX905" s="85"/>
      <c r="CY905" s="85"/>
      <c r="CZ905" s="85"/>
      <c r="DA905" s="85"/>
      <c r="DB905" s="85"/>
      <c r="DC905" s="85"/>
      <c r="DD905" s="85"/>
      <c r="DE905" s="85"/>
      <c r="DF905" s="85"/>
      <c r="DG905" s="85"/>
      <c r="DH905" s="85"/>
      <c r="DI905" s="85"/>
      <c r="DJ905" s="85"/>
      <c r="DK905" s="85"/>
      <c r="DL905" s="85"/>
      <c r="DM905" s="85"/>
      <c r="DN905" s="85"/>
      <c r="DO905" s="85"/>
      <c r="DP905" s="85"/>
    </row>
    <row r="906">
      <c r="A906" s="91"/>
      <c r="B906" s="91"/>
      <c r="C906" s="91"/>
      <c r="D906" s="91"/>
      <c r="E906" s="78"/>
      <c r="F906" s="15"/>
      <c r="G906" s="15"/>
      <c r="H906" s="91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  <c r="BC906" s="15"/>
      <c r="BD906" s="15"/>
      <c r="BE906" s="15"/>
      <c r="BF906" s="15"/>
      <c r="BG906" s="15"/>
      <c r="BH906" s="15"/>
      <c r="BI906" s="15"/>
      <c r="BJ906" s="15"/>
      <c r="BK906" s="15"/>
      <c r="BL906" s="15"/>
      <c r="BM906" s="15"/>
      <c r="BN906" s="92"/>
      <c r="BO906" s="92"/>
      <c r="BP906" s="92"/>
      <c r="BQ906" s="92"/>
      <c r="BR906" s="92"/>
      <c r="BS906" s="92"/>
      <c r="BT906" s="92"/>
      <c r="BU906" s="92"/>
      <c r="BV906" s="92"/>
      <c r="BW906" s="92"/>
      <c r="BX906" s="92"/>
      <c r="BY906" s="92"/>
      <c r="BZ906" s="92"/>
      <c r="CA906" s="92"/>
      <c r="CB906" s="92"/>
      <c r="CC906" s="92"/>
      <c r="CD906" s="92"/>
      <c r="CE906" s="92"/>
      <c r="CF906" s="92"/>
      <c r="CG906" s="92"/>
      <c r="CH906" s="92"/>
      <c r="CI906" s="92"/>
      <c r="CJ906" s="92"/>
      <c r="CK906" s="92"/>
      <c r="CL906" s="92"/>
      <c r="CM906" s="92"/>
      <c r="CN906" s="92"/>
      <c r="CO906" s="92"/>
      <c r="CP906" s="92"/>
      <c r="CQ906" s="92"/>
      <c r="CR906" s="92"/>
      <c r="CS906" s="92"/>
      <c r="CT906" s="92"/>
      <c r="CU906" s="92"/>
      <c r="CV906" s="92"/>
      <c r="CW906" s="92"/>
      <c r="CX906" s="85"/>
      <c r="CY906" s="85"/>
      <c r="CZ906" s="85"/>
      <c r="DA906" s="85"/>
      <c r="DB906" s="85"/>
      <c r="DC906" s="85"/>
      <c r="DD906" s="85"/>
      <c r="DE906" s="85"/>
      <c r="DF906" s="85"/>
      <c r="DG906" s="85"/>
      <c r="DH906" s="85"/>
      <c r="DI906" s="85"/>
      <c r="DJ906" s="85"/>
      <c r="DK906" s="85"/>
      <c r="DL906" s="85"/>
      <c r="DM906" s="85"/>
      <c r="DN906" s="85"/>
      <c r="DO906" s="85"/>
      <c r="DP906" s="85"/>
    </row>
    <row r="907">
      <c r="A907" s="91"/>
      <c r="B907" s="91"/>
      <c r="C907" s="91"/>
      <c r="D907" s="91"/>
      <c r="E907" s="78"/>
      <c r="F907" s="15"/>
      <c r="G907" s="15"/>
      <c r="H907" s="91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5"/>
      <c r="BG907" s="15"/>
      <c r="BH907" s="15"/>
      <c r="BI907" s="15"/>
      <c r="BJ907" s="15"/>
      <c r="BK907" s="15"/>
      <c r="BL907" s="15"/>
      <c r="BM907" s="15"/>
      <c r="BN907" s="92"/>
      <c r="BO907" s="92"/>
      <c r="BP907" s="92"/>
      <c r="BQ907" s="92"/>
      <c r="BR907" s="92"/>
      <c r="BS907" s="92"/>
      <c r="BT907" s="92"/>
      <c r="BU907" s="92"/>
      <c r="BV907" s="92"/>
      <c r="BW907" s="92"/>
      <c r="BX907" s="92"/>
      <c r="BY907" s="92"/>
      <c r="BZ907" s="92"/>
      <c r="CA907" s="92"/>
      <c r="CB907" s="92"/>
      <c r="CC907" s="92"/>
      <c r="CD907" s="92"/>
      <c r="CE907" s="92"/>
      <c r="CF907" s="92"/>
      <c r="CG907" s="92"/>
      <c r="CH907" s="92"/>
      <c r="CI907" s="92"/>
      <c r="CJ907" s="92"/>
      <c r="CK907" s="92"/>
      <c r="CL907" s="92"/>
      <c r="CM907" s="92"/>
      <c r="CN907" s="92"/>
      <c r="CO907" s="92"/>
      <c r="CP907" s="92"/>
      <c r="CQ907" s="92"/>
      <c r="CR907" s="92"/>
      <c r="CS907" s="92"/>
      <c r="CT907" s="92"/>
      <c r="CU907" s="92"/>
      <c r="CV907" s="92"/>
      <c r="CW907" s="92"/>
      <c r="CX907" s="85"/>
      <c r="CY907" s="85"/>
      <c r="CZ907" s="85"/>
      <c r="DA907" s="85"/>
      <c r="DB907" s="85"/>
      <c r="DC907" s="85"/>
      <c r="DD907" s="85"/>
      <c r="DE907" s="85"/>
      <c r="DF907" s="85"/>
      <c r="DG907" s="85"/>
      <c r="DH907" s="85"/>
      <c r="DI907" s="85"/>
      <c r="DJ907" s="85"/>
      <c r="DK907" s="85"/>
      <c r="DL907" s="85"/>
      <c r="DM907" s="85"/>
      <c r="DN907" s="85"/>
      <c r="DO907" s="85"/>
      <c r="DP907" s="85"/>
    </row>
    <row r="908">
      <c r="A908" s="91"/>
      <c r="B908" s="91"/>
      <c r="C908" s="91"/>
      <c r="D908" s="91"/>
      <c r="E908" s="78"/>
      <c r="F908" s="15"/>
      <c r="G908" s="15"/>
      <c r="H908" s="91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  <c r="BC908" s="15"/>
      <c r="BD908" s="15"/>
      <c r="BE908" s="15"/>
      <c r="BF908" s="15"/>
      <c r="BG908" s="15"/>
      <c r="BH908" s="15"/>
      <c r="BI908" s="15"/>
      <c r="BJ908" s="15"/>
      <c r="BK908" s="15"/>
      <c r="BL908" s="15"/>
      <c r="BM908" s="15"/>
      <c r="BN908" s="92"/>
      <c r="BO908" s="92"/>
      <c r="BP908" s="92"/>
      <c r="BQ908" s="92"/>
      <c r="BR908" s="92"/>
      <c r="BS908" s="92"/>
      <c r="BT908" s="92"/>
      <c r="BU908" s="92"/>
      <c r="BV908" s="92"/>
      <c r="BW908" s="92"/>
      <c r="BX908" s="92"/>
      <c r="BY908" s="92"/>
      <c r="BZ908" s="92"/>
      <c r="CA908" s="92"/>
      <c r="CB908" s="92"/>
      <c r="CC908" s="92"/>
      <c r="CD908" s="92"/>
      <c r="CE908" s="92"/>
      <c r="CF908" s="92"/>
      <c r="CG908" s="92"/>
      <c r="CH908" s="92"/>
      <c r="CI908" s="92"/>
      <c r="CJ908" s="92"/>
      <c r="CK908" s="92"/>
      <c r="CL908" s="92"/>
      <c r="CM908" s="92"/>
      <c r="CN908" s="92"/>
      <c r="CO908" s="92"/>
      <c r="CP908" s="92"/>
      <c r="CQ908" s="92"/>
      <c r="CR908" s="92"/>
      <c r="CS908" s="92"/>
      <c r="CT908" s="92"/>
      <c r="CU908" s="92"/>
      <c r="CV908" s="92"/>
      <c r="CW908" s="92"/>
      <c r="CX908" s="85"/>
      <c r="CY908" s="85"/>
      <c r="CZ908" s="85"/>
      <c r="DA908" s="85"/>
      <c r="DB908" s="85"/>
      <c r="DC908" s="85"/>
      <c r="DD908" s="85"/>
      <c r="DE908" s="85"/>
      <c r="DF908" s="85"/>
      <c r="DG908" s="85"/>
      <c r="DH908" s="85"/>
      <c r="DI908" s="85"/>
      <c r="DJ908" s="85"/>
      <c r="DK908" s="85"/>
      <c r="DL908" s="85"/>
      <c r="DM908" s="85"/>
      <c r="DN908" s="85"/>
      <c r="DO908" s="85"/>
      <c r="DP908" s="85"/>
    </row>
    <row r="909">
      <c r="A909" s="91"/>
      <c r="B909" s="91"/>
      <c r="C909" s="91"/>
      <c r="D909" s="91"/>
      <c r="E909" s="78"/>
      <c r="F909" s="15"/>
      <c r="G909" s="15"/>
      <c r="H909" s="91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  <c r="BE909" s="15"/>
      <c r="BF909" s="15"/>
      <c r="BG909" s="15"/>
      <c r="BH909" s="15"/>
      <c r="BI909" s="15"/>
      <c r="BJ909" s="15"/>
      <c r="BK909" s="15"/>
      <c r="BL909" s="15"/>
      <c r="BM909" s="15"/>
      <c r="BN909" s="92"/>
      <c r="BO909" s="92"/>
      <c r="BP909" s="92"/>
      <c r="BQ909" s="92"/>
      <c r="BR909" s="92"/>
      <c r="BS909" s="92"/>
      <c r="BT909" s="92"/>
      <c r="BU909" s="92"/>
      <c r="BV909" s="92"/>
      <c r="BW909" s="92"/>
      <c r="BX909" s="92"/>
      <c r="BY909" s="92"/>
      <c r="BZ909" s="92"/>
      <c r="CA909" s="92"/>
      <c r="CB909" s="92"/>
      <c r="CC909" s="92"/>
      <c r="CD909" s="92"/>
      <c r="CE909" s="92"/>
      <c r="CF909" s="92"/>
      <c r="CG909" s="92"/>
      <c r="CH909" s="92"/>
      <c r="CI909" s="92"/>
      <c r="CJ909" s="92"/>
      <c r="CK909" s="92"/>
      <c r="CL909" s="92"/>
      <c r="CM909" s="92"/>
      <c r="CN909" s="92"/>
      <c r="CO909" s="92"/>
      <c r="CP909" s="92"/>
      <c r="CQ909" s="92"/>
      <c r="CR909" s="92"/>
      <c r="CS909" s="92"/>
      <c r="CT909" s="92"/>
      <c r="CU909" s="92"/>
      <c r="CV909" s="92"/>
      <c r="CW909" s="92"/>
      <c r="CX909" s="85"/>
      <c r="CY909" s="85"/>
      <c r="CZ909" s="85"/>
      <c r="DA909" s="85"/>
      <c r="DB909" s="85"/>
      <c r="DC909" s="85"/>
      <c r="DD909" s="85"/>
      <c r="DE909" s="85"/>
      <c r="DF909" s="85"/>
      <c r="DG909" s="85"/>
      <c r="DH909" s="85"/>
      <c r="DI909" s="85"/>
      <c r="DJ909" s="85"/>
      <c r="DK909" s="85"/>
      <c r="DL909" s="85"/>
      <c r="DM909" s="85"/>
      <c r="DN909" s="85"/>
      <c r="DO909" s="85"/>
      <c r="DP909" s="85"/>
    </row>
    <row r="910">
      <c r="A910" s="91"/>
      <c r="B910" s="91"/>
      <c r="C910" s="91"/>
      <c r="D910" s="91"/>
      <c r="E910" s="78"/>
      <c r="F910" s="15"/>
      <c r="G910" s="15"/>
      <c r="H910" s="91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  <c r="BC910" s="15"/>
      <c r="BD910" s="15"/>
      <c r="BE910" s="15"/>
      <c r="BF910" s="15"/>
      <c r="BG910" s="15"/>
      <c r="BH910" s="15"/>
      <c r="BI910" s="15"/>
      <c r="BJ910" s="15"/>
      <c r="BK910" s="15"/>
      <c r="BL910" s="15"/>
      <c r="BM910" s="15"/>
      <c r="BN910" s="92"/>
      <c r="BO910" s="92"/>
      <c r="BP910" s="92"/>
      <c r="BQ910" s="92"/>
      <c r="BR910" s="92"/>
      <c r="BS910" s="92"/>
      <c r="BT910" s="92"/>
      <c r="BU910" s="92"/>
      <c r="BV910" s="92"/>
      <c r="BW910" s="92"/>
      <c r="BX910" s="92"/>
      <c r="BY910" s="92"/>
      <c r="BZ910" s="92"/>
      <c r="CA910" s="92"/>
      <c r="CB910" s="92"/>
      <c r="CC910" s="92"/>
      <c r="CD910" s="92"/>
      <c r="CE910" s="92"/>
      <c r="CF910" s="92"/>
      <c r="CG910" s="92"/>
      <c r="CH910" s="92"/>
      <c r="CI910" s="92"/>
      <c r="CJ910" s="92"/>
      <c r="CK910" s="92"/>
      <c r="CL910" s="92"/>
      <c r="CM910" s="92"/>
      <c r="CN910" s="92"/>
      <c r="CO910" s="92"/>
      <c r="CP910" s="92"/>
      <c r="CQ910" s="92"/>
      <c r="CR910" s="92"/>
      <c r="CS910" s="92"/>
      <c r="CT910" s="92"/>
      <c r="CU910" s="92"/>
      <c r="CV910" s="92"/>
      <c r="CW910" s="92"/>
      <c r="CX910" s="85"/>
      <c r="CY910" s="85"/>
      <c r="CZ910" s="85"/>
      <c r="DA910" s="85"/>
      <c r="DB910" s="85"/>
      <c r="DC910" s="85"/>
      <c r="DD910" s="85"/>
      <c r="DE910" s="85"/>
      <c r="DF910" s="85"/>
      <c r="DG910" s="85"/>
      <c r="DH910" s="85"/>
      <c r="DI910" s="85"/>
      <c r="DJ910" s="85"/>
      <c r="DK910" s="85"/>
      <c r="DL910" s="85"/>
      <c r="DM910" s="85"/>
      <c r="DN910" s="85"/>
      <c r="DO910" s="85"/>
      <c r="DP910" s="85"/>
    </row>
    <row r="911">
      <c r="A911" s="91"/>
      <c r="B911" s="91"/>
      <c r="C911" s="91"/>
      <c r="D911" s="91"/>
      <c r="E911" s="78"/>
      <c r="F911" s="15"/>
      <c r="G911" s="15"/>
      <c r="H911" s="91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  <c r="BE911" s="15"/>
      <c r="BF911" s="15"/>
      <c r="BG911" s="15"/>
      <c r="BH911" s="15"/>
      <c r="BI911" s="15"/>
      <c r="BJ911" s="15"/>
      <c r="BK911" s="15"/>
      <c r="BL911" s="15"/>
      <c r="BM911" s="15"/>
      <c r="BN911" s="92"/>
      <c r="BO911" s="92"/>
      <c r="BP911" s="92"/>
      <c r="BQ911" s="92"/>
      <c r="BR911" s="92"/>
      <c r="BS911" s="92"/>
      <c r="BT911" s="92"/>
      <c r="BU911" s="92"/>
      <c r="BV911" s="92"/>
      <c r="BW911" s="92"/>
      <c r="BX911" s="92"/>
      <c r="BY911" s="92"/>
      <c r="BZ911" s="92"/>
      <c r="CA911" s="92"/>
      <c r="CB911" s="92"/>
      <c r="CC911" s="92"/>
      <c r="CD911" s="92"/>
      <c r="CE911" s="92"/>
      <c r="CF911" s="92"/>
      <c r="CG911" s="92"/>
      <c r="CH911" s="92"/>
      <c r="CI911" s="92"/>
      <c r="CJ911" s="92"/>
      <c r="CK911" s="92"/>
      <c r="CL911" s="92"/>
      <c r="CM911" s="92"/>
      <c r="CN911" s="92"/>
      <c r="CO911" s="92"/>
      <c r="CP911" s="92"/>
      <c r="CQ911" s="92"/>
      <c r="CR911" s="92"/>
      <c r="CS911" s="92"/>
      <c r="CT911" s="92"/>
      <c r="CU911" s="92"/>
      <c r="CV911" s="92"/>
      <c r="CW911" s="92"/>
      <c r="CX911" s="85"/>
      <c r="CY911" s="85"/>
      <c r="CZ911" s="85"/>
      <c r="DA911" s="85"/>
      <c r="DB911" s="85"/>
      <c r="DC911" s="85"/>
      <c r="DD911" s="85"/>
      <c r="DE911" s="85"/>
      <c r="DF911" s="85"/>
      <c r="DG911" s="85"/>
      <c r="DH911" s="85"/>
      <c r="DI911" s="85"/>
      <c r="DJ911" s="85"/>
      <c r="DK911" s="85"/>
      <c r="DL911" s="85"/>
      <c r="DM911" s="85"/>
      <c r="DN911" s="85"/>
      <c r="DO911" s="85"/>
      <c r="DP911" s="85"/>
    </row>
    <row r="912">
      <c r="A912" s="91"/>
      <c r="B912" s="91"/>
      <c r="C912" s="91"/>
      <c r="D912" s="91"/>
      <c r="E912" s="78"/>
      <c r="F912" s="15"/>
      <c r="G912" s="15"/>
      <c r="H912" s="91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  <c r="BC912" s="15"/>
      <c r="BD912" s="15"/>
      <c r="BE912" s="15"/>
      <c r="BF912" s="15"/>
      <c r="BG912" s="15"/>
      <c r="BH912" s="15"/>
      <c r="BI912" s="15"/>
      <c r="BJ912" s="15"/>
      <c r="BK912" s="15"/>
      <c r="BL912" s="15"/>
      <c r="BM912" s="15"/>
      <c r="BN912" s="92"/>
      <c r="BO912" s="92"/>
      <c r="BP912" s="92"/>
      <c r="BQ912" s="92"/>
      <c r="BR912" s="92"/>
      <c r="BS912" s="92"/>
      <c r="BT912" s="92"/>
      <c r="BU912" s="92"/>
      <c r="BV912" s="92"/>
      <c r="BW912" s="92"/>
      <c r="BX912" s="92"/>
      <c r="BY912" s="92"/>
      <c r="BZ912" s="92"/>
      <c r="CA912" s="92"/>
      <c r="CB912" s="92"/>
      <c r="CC912" s="92"/>
      <c r="CD912" s="92"/>
      <c r="CE912" s="92"/>
      <c r="CF912" s="92"/>
      <c r="CG912" s="92"/>
      <c r="CH912" s="92"/>
      <c r="CI912" s="92"/>
      <c r="CJ912" s="92"/>
      <c r="CK912" s="92"/>
      <c r="CL912" s="92"/>
      <c r="CM912" s="92"/>
      <c r="CN912" s="92"/>
      <c r="CO912" s="92"/>
      <c r="CP912" s="92"/>
      <c r="CQ912" s="92"/>
      <c r="CR912" s="92"/>
      <c r="CS912" s="92"/>
      <c r="CT912" s="92"/>
      <c r="CU912" s="92"/>
      <c r="CV912" s="92"/>
      <c r="CW912" s="92"/>
      <c r="CX912" s="85"/>
      <c r="CY912" s="85"/>
      <c r="CZ912" s="85"/>
      <c r="DA912" s="85"/>
      <c r="DB912" s="85"/>
      <c r="DC912" s="85"/>
      <c r="DD912" s="85"/>
      <c r="DE912" s="85"/>
      <c r="DF912" s="85"/>
      <c r="DG912" s="85"/>
      <c r="DH912" s="85"/>
      <c r="DI912" s="85"/>
      <c r="DJ912" s="85"/>
      <c r="DK912" s="85"/>
      <c r="DL912" s="85"/>
      <c r="DM912" s="85"/>
      <c r="DN912" s="85"/>
      <c r="DO912" s="85"/>
      <c r="DP912" s="85"/>
    </row>
    <row r="913">
      <c r="A913" s="91"/>
      <c r="B913" s="91"/>
      <c r="C913" s="91"/>
      <c r="D913" s="91"/>
      <c r="E913" s="78"/>
      <c r="F913" s="15"/>
      <c r="G913" s="15"/>
      <c r="H913" s="91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  <c r="BE913" s="15"/>
      <c r="BF913" s="15"/>
      <c r="BG913" s="15"/>
      <c r="BH913" s="15"/>
      <c r="BI913" s="15"/>
      <c r="BJ913" s="15"/>
      <c r="BK913" s="15"/>
      <c r="BL913" s="15"/>
      <c r="BM913" s="15"/>
      <c r="BN913" s="92"/>
      <c r="BO913" s="92"/>
      <c r="BP913" s="92"/>
      <c r="BQ913" s="92"/>
      <c r="BR913" s="92"/>
      <c r="BS913" s="92"/>
      <c r="BT913" s="92"/>
      <c r="BU913" s="92"/>
      <c r="BV913" s="92"/>
      <c r="BW913" s="92"/>
      <c r="BX913" s="92"/>
      <c r="BY913" s="92"/>
      <c r="BZ913" s="92"/>
      <c r="CA913" s="92"/>
      <c r="CB913" s="92"/>
      <c r="CC913" s="92"/>
      <c r="CD913" s="92"/>
      <c r="CE913" s="92"/>
      <c r="CF913" s="92"/>
      <c r="CG913" s="92"/>
      <c r="CH913" s="92"/>
      <c r="CI913" s="92"/>
      <c r="CJ913" s="92"/>
      <c r="CK913" s="92"/>
      <c r="CL913" s="92"/>
      <c r="CM913" s="92"/>
      <c r="CN913" s="92"/>
      <c r="CO913" s="92"/>
      <c r="CP913" s="92"/>
      <c r="CQ913" s="92"/>
      <c r="CR913" s="92"/>
      <c r="CS913" s="92"/>
      <c r="CT913" s="92"/>
      <c r="CU913" s="92"/>
      <c r="CV913" s="92"/>
      <c r="CW913" s="92"/>
      <c r="CX913" s="85"/>
      <c r="CY913" s="85"/>
      <c r="CZ913" s="85"/>
      <c r="DA913" s="85"/>
      <c r="DB913" s="85"/>
      <c r="DC913" s="85"/>
      <c r="DD913" s="85"/>
      <c r="DE913" s="85"/>
      <c r="DF913" s="85"/>
      <c r="DG913" s="85"/>
      <c r="DH913" s="85"/>
      <c r="DI913" s="85"/>
      <c r="DJ913" s="85"/>
      <c r="DK913" s="85"/>
      <c r="DL913" s="85"/>
      <c r="DM913" s="85"/>
      <c r="DN913" s="85"/>
      <c r="DO913" s="85"/>
      <c r="DP913" s="85"/>
    </row>
    <row r="914">
      <c r="A914" s="91"/>
      <c r="B914" s="91"/>
      <c r="C914" s="91"/>
      <c r="D914" s="91"/>
      <c r="E914" s="78"/>
      <c r="F914" s="15"/>
      <c r="G914" s="15"/>
      <c r="H914" s="91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  <c r="BB914" s="15"/>
      <c r="BC914" s="15"/>
      <c r="BD914" s="15"/>
      <c r="BE914" s="15"/>
      <c r="BF914" s="15"/>
      <c r="BG914" s="15"/>
      <c r="BH914" s="15"/>
      <c r="BI914" s="15"/>
      <c r="BJ914" s="15"/>
      <c r="BK914" s="15"/>
      <c r="BL914" s="15"/>
      <c r="BM914" s="15"/>
      <c r="BN914" s="92"/>
      <c r="BO914" s="92"/>
      <c r="BP914" s="92"/>
      <c r="BQ914" s="92"/>
      <c r="BR914" s="92"/>
      <c r="BS914" s="92"/>
      <c r="BT914" s="92"/>
      <c r="BU914" s="92"/>
      <c r="BV914" s="92"/>
      <c r="BW914" s="92"/>
      <c r="BX914" s="92"/>
      <c r="BY914" s="92"/>
      <c r="BZ914" s="92"/>
      <c r="CA914" s="92"/>
      <c r="CB914" s="92"/>
      <c r="CC914" s="92"/>
      <c r="CD914" s="92"/>
      <c r="CE914" s="92"/>
      <c r="CF914" s="92"/>
      <c r="CG914" s="92"/>
      <c r="CH914" s="92"/>
      <c r="CI914" s="92"/>
      <c r="CJ914" s="92"/>
      <c r="CK914" s="92"/>
      <c r="CL914" s="92"/>
      <c r="CM914" s="92"/>
      <c r="CN914" s="92"/>
      <c r="CO914" s="92"/>
      <c r="CP914" s="92"/>
      <c r="CQ914" s="92"/>
      <c r="CR914" s="92"/>
      <c r="CS914" s="92"/>
      <c r="CT914" s="92"/>
      <c r="CU914" s="92"/>
      <c r="CV914" s="92"/>
      <c r="CW914" s="92"/>
      <c r="CX914" s="85"/>
      <c r="CY914" s="85"/>
      <c r="CZ914" s="85"/>
      <c r="DA914" s="85"/>
      <c r="DB914" s="85"/>
      <c r="DC914" s="85"/>
      <c r="DD914" s="85"/>
      <c r="DE914" s="85"/>
      <c r="DF914" s="85"/>
      <c r="DG914" s="85"/>
      <c r="DH914" s="85"/>
      <c r="DI914" s="85"/>
      <c r="DJ914" s="85"/>
      <c r="DK914" s="85"/>
      <c r="DL914" s="85"/>
      <c r="DM914" s="85"/>
      <c r="DN914" s="85"/>
      <c r="DO914" s="85"/>
      <c r="DP914" s="85"/>
    </row>
    <row r="915">
      <c r="A915" s="91"/>
      <c r="B915" s="91"/>
      <c r="C915" s="91"/>
      <c r="D915" s="91"/>
      <c r="E915" s="78"/>
      <c r="F915" s="15"/>
      <c r="G915" s="15"/>
      <c r="H915" s="91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5"/>
      <c r="BG915" s="15"/>
      <c r="BH915" s="15"/>
      <c r="BI915" s="15"/>
      <c r="BJ915" s="15"/>
      <c r="BK915" s="15"/>
      <c r="BL915" s="15"/>
      <c r="BM915" s="15"/>
      <c r="BN915" s="92"/>
      <c r="BO915" s="92"/>
      <c r="BP915" s="92"/>
      <c r="BQ915" s="92"/>
      <c r="BR915" s="92"/>
      <c r="BS915" s="92"/>
      <c r="BT915" s="92"/>
      <c r="BU915" s="92"/>
      <c r="BV915" s="92"/>
      <c r="BW915" s="92"/>
      <c r="BX915" s="92"/>
      <c r="BY915" s="92"/>
      <c r="BZ915" s="92"/>
      <c r="CA915" s="92"/>
      <c r="CB915" s="92"/>
      <c r="CC915" s="92"/>
      <c r="CD915" s="92"/>
      <c r="CE915" s="92"/>
      <c r="CF915" s="92"/>
      <c r="CG915" s="92"/>
      <c r="CH915" s="92"/>
      <c r="CI915" s="92"/>
      <c r="CJ915" s="92"/>
      <c r="CK915" s="92"/>
      <c r="CL915" s="92"/>
      <c r="CM915" s="92"/>
      <c r="CN915" s="92"/>
      <c r="CO915" s="92"/>
      <c r="CP915" s="92"/>
      <c r="CQ915" s="92"/>
      <c r="CR915" s="92"/>
      <c r="CS915" s="92"/>
      <c r="CT915" s="92"/>
      <c r="CU915" s="92"/>
      <c r="CV915" s="92"/>
      <c r="CW915" s="92"/>
      <c r="CX915" s="85"/>
      <c r="CY915" s="85"/>
      <c r="CZ915" s="85"/>
      <c r="DA915" s="85"/>
      <c r="DB915" s="85"/>
      <c r="DC915" s="85"/>
      <c r="DD915" s="85"/>
      <c r="DE915" s="85"/>
      <c r="DF915" s="85"/>
      <c r="DG915" s="85"/>
      <c r="DH915" s="85"/>
      <c r="DI915" s="85"/>
      <c r="DJ915" s="85"/>
      <c r="DK915" s="85"/>
      <c r="DL915" s="85"/>
      <c r="DM915" s="85"/>
      <c r="DN915" s="85"/>
      <c r="DO915" s="85"/>
      <c r="DP915" s="85"/>
    </row>
    <row r="916">
      <c r="A916" s="91"/>
      <c r="B916" s="91"/>
      <c r="C916" s="91"/>
      <c r="D916" s="91"/>
      <c r="E916" s="78"/>
      <c r="F916" s="15"/>
      <c r="G916" s="15"/>
      <c r="H916" s="91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  <c r="BC916" s="15"/>
      <c r="BD916" s="15"/>
      <c r="BE916" s="15"/>
      <c r="BF916" s="15"/>
      <c r="BG916" s="15"/>
      <c r="BH916" s="15"/>
      <c r="BI916" s="15"/>
      <c r="BJ916" s="15"/>
      <c r="BK916" s="15"/>
      <c r="BL916" s="15"/>
      <c r="BM916" s="15"/>
      <c r="BN916" s="92"/>
      <c r="BO916" s="92"/>
      <c r="BP916" s="92"/>
      <c r="BQ916" s="92"/>
      <c r="BR916" s="92"/>
      <c r="BS916" s="92"/>
      <c r="BT916" s="92"/>
      <c r="BU916" s="92"/>
      <c r="BV916" s="92"/>
      <c r="BW916" s="92"/>
      <c r="BX916" s="92"/>
      <c r="BY916" s="92"/>
      <c r="BZ916" s="92"/>
      <c r="CA916" s="92"/>
      <c r="CB916" s="92"/>
      <c r="CC916" s="92"/>
      <c r="CD916" s="92"/>
      <c r="CE916" s="92"/>
      <c r="CF916" s="92"/>
      <c r="CG916" s="92"/>
      <c r="CH916" s="92"/>
      <c r="CI916" s="92"/>
      <c r="CJ916" s="92"/>
      <c r="CK916" s="92"/>
      <c r="CL916" s="92"/>
      <c r="CM916" s="92"/>
      <c r="CN916" s="92"/>
      <c r="CO916" s="92"/>
      <c r="CP916" s="92"/>
      <c r="CQ916" s="92"/>
      <c r="CR916" s="92"/>
      <c r="CS916" s="92"/>
      <c r="CT916" s="92"/>
      <c r="CU916" s="92"/>
      <c r="CV916" s="92"/>
      <c r="CW916" s="92"/>
      <c r="CX916" s="85"/>
      <c r="CY916" s="85"/>
      <c r="CZ916" s="85"/>
      <c r="DA916" s="85"/>
      <c r="DB916" s="85"/>
      <c r="DC916" s="85"/>
      <c r="DD916" s="85"/>
      <c r="DE916" s="85"/>
      <c r="DF916" s="85"/>
      <c r="DG916" s="85"/>
      <c r="DH916" s="85"/>
      <c r="DI916" s="85"/>
      <c r="DJ916" s="85"/>
      <c r="DK916" s="85"/>
      <c r="DL916" s="85"/>
      <c r="DM916" s="85"/>
      <c r="DN916" s="85"/>
      <c r="DO916" s="85"/>
      <c r="DP916" s="85"/>
    </row>
    <row r="917">
      <c r="A917" s="91"/>
      <c r="B917" s="91"/>
      <c r="C917" s="91"/>
      <c r="D917" s="91"/>
      <c r="E917" s="78"/>
      <c r="F917" s="15"/>
      <c r="G917" s="15"/>
      <c r="H917" s="91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5"/>
      <c r="BG917" s="15"/>
      <c r="BH917" s="15"/>
      <c r="BI917" s="15"/>
      <c r="BJ917" s="15"/>
      <c r="BK917" s="15"/>
      <c r="BL917" s="15"/>
      <c r="BM917" s="15"/>
      <c r="BN917" s="92"/>
      <c r="BO917" s="92"/>
      <c r="BP917" s="92"/>
      <c r="BQ917" s="92"/>
      <c r="BR917" s="92"/>
      <c r="BS917" s="92"/>
      <c r="BT917" s="92"/>
      <c r="BU917" s="92"/>
      <c r="BV917" s="92"/>
      <c r="BW917" s="92"/>
      <c r="BX917" s="92"/>
      <c r="BY917" s="92"/>
      <c r="BZ917" s="92"/>
      <c r="CA917" s="92"/>
      <c r="CB917" s="92"/>
      <c r="CC917" s="92"/>
      <c r="CD917" s="92"/>
      <c r="CE917" s="92"/>
      <c r="CF917" s="92"/>
      <c r="CG917" s="92"/>
      <c r="CH917" s="92"/>
      <c r="CI917" s="92"/>
      <c r="CJ917" s="92"/>
      <c r="CK917" s="92"/>
      <c r="CL917" s="92"/>
      <c r="CM917" s="92"/>
      <c r="CN917" s="92"/>
      <c r="CO917" s="92"/>
      <c r="CP917" s="92"/>
      <c r="CQ917" s="92"/>
      <c r="CR917" s="92"/>
      <c r="CS917" s="92"/>
      <c r="CT917" s="92"/>
      <c r="CU917" s="92"/>
      <c r="CV917" s="92"/>
      <c r="CW917" s="92"/>
      <c r="CX917" s="85"/>
      <c r="CY917" s="85"/>
      <c r="CZ917" s="85"/>
      <c r="DA917" s="85"/>
      <c r="DB917" s="85"/>
      <c r="DC917" s="85"/>
      <c r="DD917" s="85"/>
      <c r="DE917" s="85"/>
      <c r="DF917" s="85"/>
      <c r="DG917" s="85"/>
      <c r="DH917" s="85"/>
      <c r="DI917" s="85"/>
      <c r="DJ917" s="85"/>
      <c r="DK917" s="85"/>
      <c r="DL917" s="85"/>
      <c r="DM917" s="85"/>
      <c r="DN917" s="85"/>
      <c r="DO917" s="85"/>
      <c r="DP917" s="85"/>
    </row>
    <row r="918">
      <c r="A918" s="91"/>
      <c r="B918" s="91"/>
      <c r="C918" s="91"/>
      <c r="D918" s="91"/>
      <c r="E918" s="78"/>
      <c r="F918" s="15"/>
      <c r="G918" s="15"/>
      <c r="H918" s="91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  <c r="BB918" s="15"/>
      <c r="BC918" s="15"/>
      <c r="BD918" s="15"/>
      <c r="BE918" s="15"/>
      <c r="BF918" s="15"/>
      <c r="BG918" s="15"/>
      <c r="BH918" s="15"/>
      <c r="BI918" s="15"/>
      <c r="BJ918" s="15"/>
      <c r="BK918" s="15"/>
      <c r="BL918" s="15"/>
      <c r="BM918" s="15"/>
      <c r="BN918" s="92"/>
      <c r="BO918" s="92"/>
      <c r="BP918" s="92"/>
      <c r="BQ918" s="92"/>
      <c r="BR918" s="92"/>
      <c r="BS918" s="92"/>
      <c r="BT918" s="92"/>
      <c r="BU918" s="92"/>
      <c r="BV918" s="92"/>
      <c r="BW918" s="92"/>
      <c r="BX918" s="92"/>
      <c r="BY918" s="92"/>
      <c r="BZ918" s="92"/>
      <c r="CA918" s="92"/>
      <c r="CB918" s="92"/>
      <c r="CC918" s="92"/>
      <c r="CD918" s="92"/>
      <c r="CE918" s="92"/>
      <c r="CF918" s="92"/>
      <c r="CG918" s="92"/>
      <c r="CH918" s="92"/>
      <c r="CI918" s="92"/>
      <c r="CJ918" s="92"/>
      <c r="CK918" s="92"/>
      <c r="CL918" s="92"/>
      <c r="CM918" s="92"/>
      <c r="CN918" s="92"/>
      <c r="CO918" s="92"/>
      <c r="CP918" s="92"/>
      <c r="CQ918" s="92"/>
      <c r="CR918" s="92"/>
      <c r="CS918" s="92"/>
      <c r="CT918" s="92"/>
      <c r="CU918" s="92"/>
      <c r="CV918" s="92"/>
      <c r="CW918" s="92"/>
      <c r="CX918" s="85"/>
      <c r="CY918" s="85"/>
      <c r="CZ918" s="85"/>
      <c r="DA918" s="85"/>
      <c r="DB918" s="85"/>
      <c r="DC918" s="85"/>
      <c r="DD918" s="85"/>
      <c r="DE918" s="85"/>
      <c r="DF918" s="85"/>
      <c r="DG918" s="85"/>
      <c r="DH918" s="85"/>
      <c r="DI918" s="85"/>
      <c r="DJ918" s="85"/>
      <c r="DK918" s="85"/>
      <c r="DL918" s="85"/>
      <c r="DM918" s="85"/>
      <c r="DN918" s="85"/>
      <c r="DO918" s="85"/>
      <c r="DP918" s="85"/>
    </row>
    <row r="919">
      <c r="A919" s="91"/>
      <c r="B919" s="91"/>
      <c r="C919" s="91"/>
      <c r="D919" s="91"/>
      <c r="E919" s="78"/>
      <c r="F919" s="15"/>
      <c r="G919" s="15"/>
      <c r="H919" s="91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5"/>
      <c r="BG919" s="15"/>
      <c r="BH919" s="15"/>
      <c r="BI919" s="15"/>
      <c r="BJ919" s="15"/>
      <c r="BK919" s="15"/>
      <c r="BL919" s="15"/>
      <c r="BM919" s="15"/>
      <c r="BN919" s="92"/>
      <c r="BO919" s="92"/>
      <c r="BP919" s="92"/>
      <c r="BQ919" s="92"/>
      <c r="BR919" s="92"/>
      <c r="BS919" s="92"/>
      <c r="BT919" s="92"/>
      <c r="BU919" s="92"/>
      <c r="BV919" s="92"/>
      <c r="BW919" s="92"/>
      <c r="BX919" s="92"/>
      <c r="BY919" s="92"/>
      <c r="BZ919" s="92"/>
      <c r="CA919" s="92"/>
      <c r="CB919" s="92"/>
      <c r="CC919" s="92"/>
      <c r="CD919" s="92"/>
      <c r="CE919" s="92"/>
      <c r="CF919" s="92"/>
      <c r="CG919" s="92"/>
      <c r="CH919" s="92"/>
      <c r="CI919" s="92"/>
      <c r="CJ919" s="92"/>
      <c r="CK919" s="92"/>
      <c r="CL919" s="92"/>
      <c r="CM919" s="92"/>
      <c r="CN919" s="92"/>
      <c r="CO919" s="92"/>
      <c r="CP919" s="92"/>
      <c r="CQ919" s="92"/>
      <c r="CR919" s="92"/>
      <c r="CS919" s="92"/>
      <c r="CT919" s="92"/>
      <c r="CU919" s="92"/>
      <c r="CV919" s="92"/>
      <c r="CW919" s="92"/>
      <c r="CX919" s="85"/>
      <c r="CY919" s="85"/>
      <c r="CZ919" s="85"/>
      <c r="DA919" s="85"/>
      <c r="DB919" s="85"/>
      <c r="DC919" s="85"/>
      <c r="DD919" s="85"/>
      <c r="DE919" s="85"/>
      <c r="DF919" s="85"/>
      <c r="DG919" s="85"/>
      <c r="DH919" s="85"/>
      <c r="DI919" s="85"/>
      <c r="DJ919" s="85"/>
      <c r="DK919" s="85"/>
      <c r="DL919" s="85"/>
      <c r="DM919" s="85"/>
      <c r="DN919" s="85"/>
      <c r="DO919" s="85"/>
      <c r="DP919" s="85"/>
    </row>
    <row r="920">
      <c r="A920" s="91"/>
      <c r="B920" s="91"/>
      <c r="C920" s="91"/>
      <c r="D920" s="91"/>
      <c r="E920" s="78"/>
      <c r="F920" s="15"/>
      <c r="G920" s="15"/>
      <c r="H920" s="91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  <c r="BC920" s="15"/>
      <c r="BD920" s="15"/>
      <c r="BE920" s="15"/>
      <c r="BF920" s="15"/>
      <c r="BG920" s="15"/>
      <c r="BH920" s="15"/>
      <c r="BI920" s="15"/>
      <c r="BJ920" s="15"/>
      <c r="BK920" s="15"/>
      <c r="BL920" s="15"/>
      <c r="BM920" s="15"/>
      <c r="BN920" s="92"/>
      <c r="BO920" s="92"/>
      <c r="BP920" s="92"/>
      <c r="BQ920" s="92"/>
      <c r="BR920" s="92"/>
      <c r="BS920" s="92"/>
      <c r="BT920" s="92"/>
      <c r="BU920" s="92"/>
      <c r="BV920" s="92"/>
      <c r="BW920" s="92"/>
      <c r="BX920" s="92"/>
      <c r="BY920" s="92"/>
      <c r="BZ920" s="92"/>
      <c r="CA920" s="92"/>
      <c r="CB920" s="92"/>
      <c r="CC920" s="92"/>
      <c r="CD920" s="92"/>
      <c r="CE920" s="92"/>
      <c r="CF920" s="92"/>
      <c r="CG920" s="92"/>
      <c r="CH920" s="92"/>
      <c r="CI920" s="92"/>
      <c r="CJ920" s="92"/>
      <c r="CK920" s="92"/>
      <c r="CL920" s="92"/>
      <c r="CM920" s="92"/>
      <c r="CN920" s="92"/>
      <c r="CO920" s="92"/>
      <c r="CP920" s="92"/>
      <c r="CQ920" s="92"/>
      <c r="CR920" s="92"/>
      <c r="CS920" s="92"/>
      <c r="CT920" s="92"/>
      <c r="CU920" s="92"/>
      <c r="CV920" s="92"/>
      <c r="CW920" s="92"/>
      <c r="CX920" s="85"/>
      <c r="CY920" s="85"/>
      <c r="CZ920" s="85"/>
      <c r="DA920" s="85"/>
      <c r="DB920" s="85"/>
      <c r="DC920" s="85"/>
      <c r="DD920" s="85"/>
      <c r="DE920" s="85"/>
      <c r="DF920" s="85"/>
      <c r="DG920" s="85"/>
      <c r="DH920" s="85"/>
      <c r="DI920" s="85"/>
      <c r="DJ920" s="85"/>
      <c r="DK920" s="85"/>
      <c r="DL920" s="85"/>
      <c r="DM920" s="85"/>
      <c r="DN920" s="85"/>
      <c r="DO920" s="85"/>
      <c r="DP920" s="85"/>
    </row>
    <row r="921">
      <c r="A921" s="91"/>
      <c r="B921" s="91"/>
      <c r="C921" s="91"/>
      <c r="D921" s="91"/>
      <c r="E921" s="78"/>
      <c r="F921" s="15"/>
      <c r="G921" s="15"/>
      <c r="H921" s="91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5"/>
      <c r="BG921" s="15"/>
      <c r="BH921" s="15"/>
      <c r="BI921" s="15"/>
      <c r="BJ921" s="15"/>
      <c r="BK921" s="15"/>
      <c r="BL921" s="15"/>
      <c r="BM921" s="15"/>
      <c r="BN921" s="92"/>
      <c r="BO921" s="92"/>
      <c r="BP921" s="92"/>
      <c r="BQ921" s="92"/>
      <c r="BR921" s="92"/>
      <c r="BS921" s="92"/>
      <c r="BT921" s="92"/>
      <c r="BU921" s="92"/>
      <c r="BV921" s="92"/>
      <c r="BW921" s="92"/>
      <c r="BX921" s="92"/>
      <c r="BY921" s="92"/>
      <c r="BZ921" s="92"/>
      <c r="CA921" s="92"/>
      <c r="CB921" s="92"/>
      <c r="CC921" s="92"/>
      <c r="CD921" s="92"/>
      <c r="CE921" s="92"/>
      <c r="CF921" s="92"/>
      <c r="CG921" s="92"/>
      <c r="CH921" s="92"/>
      <c r="CI921" s="92"/>
      <c r="CJ921" s="92"/>
      <c r="CK921" s="92"/>
      <c r="CL921" s="92"/>
      <c r="CM921" s="92"/>
      <c r="CN921" s="92"/>
      <c r="CO921" s="92"/>
      <c r="CP921" s="92"/>
      <c r="CQ921" s="92"/>
      <c r="CR921" s="92"/>
      <c r="CS921" s="92"/>
      <c r="CT921" s="92"/>
      <c r="CU921" s="92"/>
      <c r="CV921" s="92"/>
      <c r="CW921" s="92"/>
      <c r="CX921" s="85"/>
      <c r="CY921" s="85"/>
      <c r="CZ921" s="85"/>
      <c r="DA921" s="85"/>
      <c r="DB921" s="85"/>
      <c r="DC921" s="85"/>
      <c r="DD921" s="85"/>
      <c r="DE921" s="85"/>
      <c r="DF921" s="85"/>
      <c r="DG921" s="85"/>
      <c r="DH921" s="85"/>
      <c r="DI921" s="85"/>
      <c r="DJ921" s="85"/>
      <c r="DK921" s="85"/>
      <c r="DL921" s="85"/>
      <c r="DM921" s="85"/>
      <c r="DN921" s="85"/>
      <c r="DO921" s="85"/>
      <c r="DP921" s="85"/>
    </row>
    <row r="922">
      <c r="A922" s="91"/>
      <c r="B922" s="91"/>
      <c r="C922" s="91"/>
      <c r="D922" s="91"/>
      <c r="E922" s="78"/>
      <c r="F922" s="15"/>
      <c r="G922" s="15"/>
      <c r="H922" s="91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  <c r="BC922" s="15"/>
      <c r="BD922" s="15"/>
      <c r="BE922" s="15"/>
      <c r="BF922" s="15"/>
      <c r="BG922" s="15"/>
      <c r="BH922" s="15"/>
      <c r="BI922" s="15"/>
      <c r="BJ922" s="15"/>
      <c r="BK922" s="15"/>
      <c r="BL922" s="15"/>
      <c r="BM922" s="15"/>
      <c r="BN922" s="92"/>
      <c r="BO922" s="92"/>
      <c r="BP922" s="92"/>
      <c r="BQ922" s="92"/>
      <c r="BR922" s="92"/>
      <c r="BS922" s="92"/>
      <c r="BT922" s="92"/>
      <c r="BU922" s="92"/>
      <c r="BV922" s="92"/>
      <c r="BW922" s="92"/>
      <c r="BX922" s="92"/>
      <c r="BY922" s="92"/>
      <c r="BZ922" s="92"/>
      <c r="CA922" s="92"/>
      <c r="CB922" s="92"/>
      <c r="CC922" s="92"/>
      <c r="CD922" s="92"/>
      <c r="CE922" s="92"/>
      <c r="CF922" s="92"/>
      <c r="CG922" s="92"/>
      <c r="CH922" s="92"/>
      <c r="CI922" s="92"/>
      <c r="CJ922" s="92"/>
      <c r="CK922" s="92"/>
      <c r="CL922" s="92"/>
      <c r="CM922" s="92"/>
      <c r="CN922" s="92"/>
      <c r="CO922" s="92"/>
      <c r="CP922" s="92"/>
      <c r="CQ922" s="92"/>
      <c r="CR922" s="92"/>
      <c r="CS922" s="92"/>
      <c r="CT922" s="92"/>
      <c r="CU922" s="92"/>
      <c r="CV922" s="92"/>
      <c r="CW922" s="92"/>
      <c r="CX922" s="85"/>
      <c r="CY922" s="85"/>
      <c r="CZ922" s="85"/>
      <c r="DA922" s="85"/>
      <c r="DB922" s="85"/>
      <c r="DC922" s="85"/>
      <c r="DD922" s="85"/>
      <c r="DE922" s="85"/>
      <c r="DF922" s="85"/>
      <c r="DG922" s="85"/>
      <c r="DH922" s="85"/>
      <c r="DI922" s="85"/>
      <c r="DJ922" s="85"/>
      <c r="DK922" s="85"/>
      <c r="DL922" s="85"/>
      <c r="DM922" s="85"/>
      <c r="DN922" s="85"/>
      <c r="DO922" s="85"/>
      <c r="DP922" s="85"/>
    </row>
    <row r="923">
      <c r="A923" s="91"/>
      <c r="B923" s="91"/>
      <c r="C923" s="91"/>
      <c r="D923" s="91"/>
      <c r="E923" s="78"/>
      <c r="F923" s="15"/>
      <c r="G923" s="15"/>
      <c r="H923" s="91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  <c r="BE923" s="15"/>
      <c r="BF923" s="15"/>
      <c r="BG923" s="15"/>
      <c r="BH923" s="15"/>
      <c r="BI923" s="15"/>
      <c r="BJ923" s="15"/>
      <c r="BK923" s="15"/>
      <c r="BL923" s="15"/>
      <c r="BM923" s="15"/>
      <c r="BN923" s="92"/>
      <c r="BO923" s="92"/>
      <c r="BP923" s="92"/>
      <c r="BQ923" s="92"/>
      <c r="BR923" s="92"/>
      <c r="BS923" s="92"/>
      <c r="BT923" s="92"/>
      <c r="BU923" s="92"/>
      <c r="BV923" s="92"/>
      <c r="BW923" s="92"/>
      <c r="BX923" s="92"/>
      <c r="BY923" s="92"/>
      <c r="BZ923" s="92"/>
      <c r="CA923" s="92"/>
      <c r="CB923" s="92"/>
      <c r="CC923" s="92"/>
      <c r="CD923" s="92"/>
      <c r="CE923" s="92"/>
      <c r="CF923" s="92"/>
      <c r="CG923" s="92"/>
      <c r="CH923" s="92"/>
      <c r="CI923" s="92"/>
      <c r="CJ923" s="92"/>
      <c r="CK923" s="92"/>
      <c r="CL923" s="92"/>
      <c r="CM923" s="92"/>
      <c r="CN923" s="92"/>
      <c r="CO923" s="92"/>
      <c r="CP923" s="92"/>
      <c r="CQ923" s="92"/>
      <c r="CR923" s="92"/>
      <c r="CS923" s="92"/>
      <c r="CT923" s="92"/>
      <c r="CU923" s="92"/>
      <c r="CV923" s="92"/>
      <c r="CW923" s="92"/>
      <c r="CX923" s="85"/>
      <c r="CY923" s="85"/>
      <c r="CZ923" s="85"/>
      <c r="DA923" s="85"/>
      <c r="DB923" s="85"/>
      <c r="DC923" s="85"/>
      <c r="DD923" s="85"/>
      <c r="DE923" s="85"/>
      <c r="DF923" s="85"/>
      <c r="DG923" s="85"/>
      <c r="DH923" s="85"/>
      <c r="DI923" s="85"/>
      <c r="DJ923" s="85"/>
      <c r="DK923" s="85"/>
      <c r="DL923" s="85"/>
      <c r="DM923" s="85"/>
      <c r="DN923" s="85"/>
      <c r="DO923" s="85"/>
      <c r="DP923" s="85"/>
    </row>
    <row r="924">
      <c r="A924" s="91"/>
      <c r="B924" s="91"/>
      <c r="C924" s="91"/>
      <c r="D924" s="91"/>
      <c r="E924" s="78"/>
      <c r="F924" s="15"/>
      <c r="G924" s="15"/>
      <c r="H924" s="91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  <c r="BB924" s="15"/>
      <c r="BC924" s="15"/>
      <c r="BD924" s="15"/>
      <c r="BE924" s="15"/>
      <c r="BF924" s="15"/>
      <c r="BG924" s="15"/>
      <c r="BH924" s="15"/>
      <c r="BI924" s="15"/>
      <c r="BJ924" s="15"/>
      <c r="BK924" s="15"/>
      <c r="BL924" s="15"/>
      <c r="BM924" s="15"/>
      <c r="BN924" s="92"/>
      <c r="BO924" s="92"/>
      <c r="BP924" s="92"/>
      <c r="BQ924" s="92"/>
      <c r="BR924" s="92"/>
      <c r="BS924" s="92"/>
      <c r="BT924" s="92"/>
      <c r="BU924" s="92"/>
      <c r="BV924" s="92"/>
      <c r="BW924" s="92"/>
      <c r="BX924" s="92"/>
      <c r="BY924" s="92"/>
      <c r="BZ924" s="92"/>
      <c r="CA924" s="92"/>
      <c r="CB924" s="92"/>
      <c r="CC924" s="92"/>
      <c r="CD924" s="92"/>
      <c r="CE924" s="92"/>
      <c r="CF924" s="92"/>
      <c r="CG924" s="92"/>
      <c r="CH924" s="92"/>
      <c r="CI924" s="92"/>
      <c r="CJ924" s="92"/>
      <c r="CK924" s="92"/>
      <c r="CL924" s="92"/>
      <c r="CM924" s="92"/>
      <c r="CN924" s="92"/>
      <c r="CO924" s="92"/>
      <c r="CP924" s="92"/>
      <c r="CQ924" s="92"/>
      <c r="CR924" s="92"/>
      <c r="CS924" s="92"/>
      <c r="CT924" s="92"/>
      <c r="CU924" s="92"/>
      <c r="CV924" s="92"/>
      <c r="CW924" s="92"/>
      <c r="CX924" s="85"/>
      <c r="CY924" s="85"/>
      <c r="CZ924" s="85"/>
      <c r="DA924" s="85"/>
      <c r="DB924" s="85"/>
      <c r="DC924" s="85"/>
      <c r="DD924" s="85"/>
      <c r="DE924" s="85"/>
      <c r="DF924" s="85"/>
      <c r="DG924" s="85"/>
      <c r="DH924" s="85"/>
      <c r="DI924" s="85"/>
      <c r="DJ924" s="85"/>
      <c r="DK924" s="85"/>
      <c r="DL924" s="85"/>
      <c r="DM924" s="85"/>
      <c r="DN924" s="85"/>
      <c r="DO924" s="85"/>
      <c r="DP924" s="85"/>
    </row>
    <row r="925">
      <c r="A925" s="91"/>
      <c r="B925" s="91"/>
      <c r="C925" s="91"/>
      <c r="D925" s="91"/>
      <c r="E925" s="78"/>
      <c r="F925" s="15"/>
      <c r="G925" s="15"/>
      <c r="H925" s="91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  <c r="BE925" s="15"/>
      <c r="BF925" s="15"/>
      <c r="BG925" s="15"/>
      <c r="BH925" s="15"/>
      <c r="BI925" s="15"/>
      <c r="BJ925" s="15"/>
      <c r="BK925" s="15"/>
      <c r="BL925" s="15"/>
      <c r="BM925" s="15"/>
      <c r="BN925" s="92"/>
      <c r="BO925" s="92"/>
      <c r="BP925" s="92"/>
      <c r="BQ925" s="92"/>
      <c r="BR925" s="92"/>
      <c r="BS925" s="92"/>
      <c r="BT925" s="92"/>
      <c r="BU925" s="92"/>
      <c r="BV925" s="92"/>
      <c r="BW925" s="92"/>
      <c r="BX925" s="92"/>
      <c r="BY925" s="92"/>
      <c r="BZ925" s="92"/>
      <c r="CA925" s="92"/>
      <c r="CB925" s="92"/>
      <c r="CC925" s="92"/>
      <c r="CD925" s="92"/>
      <c r="CE925" s="92"/>
      <c r="CF925" s="92"/>
      <c r="CG925" s="92"/>
      <c r="CH925" s="92"/>
      <c r="CI925" s="92"/>
      <c r="CJ925" s="92"/>
      <c r="CK925" s="92"/>
      <c r="CL925" s="92"/>
      <c r="CM925" s="92"/>
      <c r="CN925" s="92"/>
      <c r="CO925" s="92"/>
      <c r="CP925" s="92"/>
      <c r="CQ925" s="92"/>
      <c r="CR925" s="92"/>
      <c r="CS925" s="92"/>
      <c r="CT925" s="92"/>
      <c r="CU925" s="92"/>
      <c r="CV925" s="92"/>
      <c r="CW925" s="92"/>
      <c r="CX925" s="85"/>
      <c r="CY925" s="85"/>
      <c r="CZ925" s="85"/>
      <c r="DA925" s="85"/>
      <c r="DB925" s="85"/>
      <c r="DC925" s="85"/>
      <c r="DD925" s="85"/>
      <c r="DE925" s="85"/>
      <c r="DF925" s="85"/>
      <c r="DG925" s="85"/>
      <c r="DH925" s="85"/>
      <c r="DI925" s="85"/>
      <c r="DJ925" s="85"/>
      <c r="DK925" s="85"/>
      <c r="DL925" s="85"/>
      <c r="DM925" s="85"/>
      <c r="DN925" s="85"/>
      <c r="DO925" s="85"/>
      <c r="DP925" s="85"/>
    </row>
    <row r="926">
      <c r="A926" s="91"/>
      <c r="B926" s="91"/>
      <c r="C926" s="91"/>
      <c r="D926" s="91"/>
      <c r="E926" s="78"/>
      <c r="F926" s="15"/>
      <c r="G926" s="15"/>
      <c r="H926" s="91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  <c r="BB926" s="15"/>
      <c r="BC926" s="15"/>
      <c r="BD926" s="15"/>
      <c r="BE926" s="15"/>
      <c r="BF926" s="15"/>
      <c r="BG926" s="15"/>
      <c r="BH926" s="15"/>
      <c r="BI926" s="15"/>
      <c r="BJ926" s="15"/>
      <c r="BK926" s="15"/>
      <c r="BL926" s="15"/>
      <c r="BM926" s="15"/>
      <c r="BN926" s="92"/>
      <c r="BO926" s="92"/>
      <c r="BP926" s="92"/>
      <c r="BQ926" s="92"/>
      <c r="BR926" s="92"/>
      <c r="BS926" s="92"/>
      <c r="BT926" s="92"/>
      <c r="BU926" s="92"/>
      <c r="BV926" s="92"/>
      <c r="BW926" s="92"/>
      <c r="BX926" s="92"/>
      <c r="BY926" s="92"/>
      <c r="BZ926" s="92"/>
      <c r="CA926" s="92"/>
      <c r="CB926" s="92"/>
      <c r="CC926" s="92"/>
      <c r="CD926" s="92"/>
      <c r="CE926" s="92"/>
      <c r="CF926" s="92"/>
      <c r="CG926" s="92"/>
      <c r="CH926" s="92"/>
      <c r="CI926" s="92"/>
      <c r="CJ926" s="92"/>
      <c r="CK926" s="92"/>
      <c r="CL926" s="92"/>
      <c r="CM926" s="92"/>
      <c r="CN926" s="92"/>
      <c r="CO926" s="92"/>
      <c r="CP926" s="92"/>
      <c r="CQ926" s="92"/>
      <c r="CR926" s="92"/>
      <c r="CS926" s="92"/>
      <c r="CT926" s="92"/>
      <c r="CU926" s="92"/>
      <c r="CV926" s="92"/>
      <c r="CW926" s="92"/>
      <c r="CX926" s="85"/>
      <c r="CY926" s="85"/>
      <c r="CZ926" s="85"/>
      <c r="DA926" s="85"/>
      <c r="DB926" s="85"/>
      <c r="DC926" s="85"/>
      <c r="DD926" s="85"/>
      <c r="DE926" s="85"/>
      <c r="DF926" s="85"/>
      <c r="DG926" s="85"/>
      <c r="DH926" s="85"/>
      <c r="DI926" s="85"/>
      <c r="DJ926" s="85"/>
      <c r="DK926" s="85"/>
      <c r="DL926" s="85"/>
      <c r="DM926" s="85"/>
      <c r="DN926" s="85"/>
      <c r="DO926" s="85"/>
      <c r="DP926" s="85"/>
    </row>
    <row r="927">
      <c r="A927" s="91"/>
      <c r="B927" s="91"/>
      <c r="C927" s="91"/>
      <c r="D927" s="91"/>
      <c r="E927" s="78"/>
      <c r="F927" s="15"/>
      <c r="G927" s="15"/>
      <c r="H927" s="91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  <c r="BE927" s="15"/>
      <c r="BF927" s="15"/>
      <c r="BG927" s="15"/>
      <c r="BH927" s="15"/>
      <c r="BI927" s="15"/>
      <c r="BJ927" s="15"/>
      <c r="BK927" s="15"/>
      <c r="BL927" s="15"/>
      <c r="BM927" s="15"/>
      <c r="BN927" s="92"/>
      <c r="BO927" s="92"/>
      <c r="BP927" s="92"/>
      <c r="BQ927" s="92"/>
      <c r="BR927" s="92"/>
      <c r="BS927" s="92"/>
      <c r="BT927" s="92"/>
      <c r="BU927" s="92"/>
      <c r="BV927" s="92"/>
      <c r="BW927" s="92"/>
      <c r="BX927" s="92"/>
      <c r="BY927" s="92"/>
      <c r="BZ927" s="92"/>
      <c r="CA927" s="92"/>
      <c r="CB927" s="92"/>
      <c r="CC927" s="92"/>
      <c r="CD927" s="92"/>
      <c r="CE927" s="92"/>
      <c r="CF927" s="92"/>
      <c r="CG927" s="92"/>
      <c r="CH927" s="92"/>
      <c r="CI927" s="92"/>
      <c r="CJ927" s="92"/>
      <c r="CK927" s="92"/>
      <c r="CL927" s="92"/>
      <c r="CM927" s="92"/>
      <c r="CN927" s="92"/>
      <c r="CO927" s="92"/>
      <c r="CP927" s="92"/>
      <c r="CQ927" s="92"/>
      <c r="CR927" s="92"/>
      <c r="CS927" s="92"/>
      <c r="CT927" s="92"/>
      <c r="CU927" s="92"/>
      <c r="CV927" s="92"/>
      <c r="CW927" s="92"/>
      <c r="CX927" s="85"/>
      <c r="CY927" s="85"/>
      <c r="CZ927" s="85"/>
      <c r="DA927" s="85"/>
      <c r="DB927" s="85"/>
      <c r="DC927" s="85"/>
      <c r="DD927" s="85"/>
      <c r="DE927" s="85"/>
      <c r="DF927" s="85"/>
      <c r="DG927" s="85"/>
      <c r="DH927" s="85"/>
      <c r="DI927" s="85"/>
      <c r="DJ927" s="85"/>
      <c r="DK927" s="85"/>
      <c r="DL927" s="85"/>
      <c r="DM927" s="85"/>
      <c r="DN927" s="85"/>
      <c r="DO927" s="85"/>
      <c r="DP927" s="85"/>
    </row>
    <row r="928">
      <c r="A928" s="91"/>
      <c r="B928" s="91"/>
      <c r="C928" s="91"/>
      <c r="D928" s="91"/>
      <c r="E928" s="78"/>
      <c r="F928" s="15"/>
      <c r="G928" s="15"/>
      <c r="H928" s="91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  <c r="BB928" s="15"/>
      <c r="BC928" s="15"/>
      <c r="BD928" s="15"/>
      <c r="BE928" s="15"/>
      <c r="BF928" s="15"/>
      <c r="BG928" s="15"/>
      <c r="BH928" s="15"/>
      <c r="BI928" s="15"/>
      <c r="BJ928" s="15"/>
      <c r="BK928" s="15"/>
      <c r="BL928" s="15"/>
      <c r="BM928" s="15"/>
      <c r="BN928" s="92"/>
      <c r="BO928" s="92"/>
      <c r="BP928" s="92"/>
      <c r="BQ928" s="92"/>
      <c r="BR928" s="92"/>
      <c r="BS928" s="92"/>
      <c r="BT928" s="92"/>
      <c r="BU928" s="92"/>
      <c r="BV928" s="92"/>
      <c r="BW928" s="92"/>
      <c r="BX928" s="92"/>
      <c r="BY928" s="92"/>
      <c r="BZ928" s="92"/>
      <c r="CA928" s="92"/>
      <c r="CB928" s="92"/>
      <c r="CC928" s="92"/>
      <c r="CD928" s="92"/>
      <c r="CE928" s="92"/>
      <c r="CF928" s="92"/>
      <c r="CG928" s="92"/>
      <c r="CH928" s="92"/>
      <c r="CI928" s="92"/>
      <c r="CJ928" s="92"/>
      <c r="CK928" s="92"/>
      <c r="CL928" s="92"/>
      <c r="CM928" s="92"/>
      <c r="CN928" s="92"/>
      <c r="CO928" s="92"/>
      <c r="CP928" s="92"/>
      <c r="CQ928" s="92"/>
      <c r="CR928" s="92"/>
      <c r="CS928" s="92"/>
      <c r="CT928" s="92"/>
      <c r="CU928" s="92"/>
      <c r="CV928" s="92"/>
      <c r="CW928" s="92"/>
      <c r="CX928" s="85"/>
      <c r="CY928" s="85"/>
      <c r="CZ928" s="85"/>
      <c r="DA928" s="85"/>
      <c r="DB928" s="85"/>
      <c r="DC928" s="85"/>
      <c r="DD928" s="85"/>
      <c r="DE928" s="85"/>
      <c r="DF928" s="85"/>
      <c r="DG928" s="85"/>
      <c r="DH928" s="85"/>
      <c r="DI928" s="85"/>
      <c r="DJ928" s="85"/>
      <c r="DK928" s="85"/>
      <c r="DL928" s="85"/>
      <c r="DM928" s="85"/>
      <c r="DN928" s="85"/>
      <c r="DO928" s="85"/>
      <c r="DP928" s="85"/>
    </row>
    <row r="929">
      <c r="A929" s="91"/>
      <c r="B929" s="91"/>
      <c r="C929" s="91"/>
      <c r="D929" s="91"/>
      <c r="E929" s="78"/>
      <c r="F929" s="15"/>
      <c r="G929" s="15"/>
      <c r="H929" s="91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  <c r="BE929" s="15"/>
      <c r="BF929" s="15"/>
      <c r="BG929" s="15"/>
      <c r="BH929" s="15"/>
      <c r="BI929" s="15"/>
      <c r="BJ929" s="15"/>
      <c r="BK929" s="15"/>
      <c r="BL929" s="15"/>
      <c r="BM929" s="15"/>
      <c r="BN929" s="92"/>
      <c r="BO929" s="92"/>
      <c r="BP929" s="92"/>
      <c r="BQ929" s="92"/>
      <c r="BR929" s="92"/>
      <c r="BS929" s="92"/>
      <c r="BT929" s="92"/>
      <c r="BU929" s="92"/>
      <c r="BV929" s="92"/>
      <c r="BW929" s="92"/>
      <c r="BX929" s="92"/>
      <c r="BY929" s="92"/>
      <c r="BZ929" s="92"/>
      <c r="CA929" s="92"/>
      <c r="CB929" s="92"/>
      <c r="CC929" s="92"/>
      <c r="CD929" s="92"/>
      <c r="CE929" s="92"/>
      <c r="CF929" s="92"/>
      <c r="CG929" s="92"/>
      <c r="CH929" s="92"/>
      <c r="CI929" s="92"/>
      <c r="CJ929" s="92"/>
      <c r="CK929" s="92"/>
      <c r="CL929" s="92"/>
      <c r="CM929" s="92"/>
      <c r="CN929" s="92"/>
      <c r="CO929" s="92"/>
      <c r="CP929" s="92"/>
      <c r="CQ929" s="92"/>
      <c r="CR929" s="92"/>
      <c r="CS929" s="92"/>
      <c r="CT929" s="92"/>
      <c r="CU929" s="92"/>
      <c r="CV929" s="92"/>
      <c r="CW929" s="92"/>
      <c r="CX929" s="85"/>
      <c r="CY929" s="85"/>
      <c r="CZ929" s="85"/>
      <c r="DA929" s="85"/>
      <c r="DB929" s="85"/>
      <c r="DC929" s="85"/>
      <c r="DD929" s="85"/>
      <c r="DE929" s="85"/>
      <c r="DF929" s="85"/>
      <c r="DG929" s="85"/>
      <c r="DH929" s="85"/>
      <c r="DI929" s="85"/>
      <c r="DJ929" s="85"/>
      <c r="DK929" s="85"/>
      <c r="DL929" s="85"/>
      <c r="DM929" s="85"/>
      <c r="DN929" s="85"/>
      <c r="DO929" s="85"/>
      <c r="DP929" s="85"/>
    </row>
    <row r="930">
      <c r="A930" s="91"/>
      <c r="B930" s="91"/>
      <c r="C930" s="91"/>
      <c r="D930" s="91"/>
      <c r="E930" s="78"/>
      <c r="F930" s="15"/>
      <c r="G930" s="15"/>
      <c r="H930" s="91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  <c r="BC930" s="15"/>
      <c r="BD930" s="15"/>
      <c r="BE930" s="15"/>
      <c r="BF930" s="15"/>
      <c r="BG930" s="15"/>
      <c r="BH930" s="15"/>
      <c r="BI930" s="15"/>
      <c r="BJ930" s="15"/>
      <c r="BK930" s="15"/>
      <c r="BL930" s="15"/>
      <c r="BM930" s="15"/>
      <c r="BN930" s="92"/>
      <c r="BO930" s="92"/>
      <c r="BP930" s="92"/>
      <c r="BQ930" s="92"/>
      <c r="BR930" s="92"/>
      <c r="BS930" s="92"/>
      <c r="BT930" s="92"/>
      <c r="BU930" s="92"/>
      <c r="BV930" s="92"/>
      <c r="BW930" s="92"/>
      <c r="BX930" s="92"/>
      <c r="BY930" s="92"/>
      <c r="BZ930" s="92"/>
      <c r="CA930" s="92"/>
      <c r="CB930" s="92"/>
      <c r="CC930" s="92"/>
      <c r="CD930" s="92"/>
      <c r="CE930" s="92"/>
      <c r="CF930" s="92"/>
      <c r="CG930" s="92"/>
      <c r="CH930" s="92"/>
      <c r="CI930" s="92"/>
      <c r="CJ930" s="92"/>
      <c r="CK930" s="92"/>
      <c r="CL930" s="92"/>
      <c r="CM930" s="92"/>
      <c r="CN930" s="92"/>
      <c r="CO930" s="92"/>
      <c r="CP930" s="92"/>
      <c r="CQ930" s="92"/>
      <c r="CR930" s="92"/>
      <c r="CS930" s="92"/>
      <c r="CT930" s="92"/>
      <c r="CU930" s="92"/>
      <c r="CV930" s="92"/>
      <c r="CW930" s="92"/>
      <c r="CX930" s="85"/>
      <c r="CY930" s="85"/>
      <c r="CZ930" s="85"/>
      <c r="DA930" s="85"/>
      <c r="DB930" s="85"/>
      <c r="DC930" s="85"/>
      <c r="DD930" s="85"/>
      <c r="DE930" s="85"/>
      <c r="DF930" s="85"/>
      <c r="DG930" s="85"/>
      <c r="DH930" s="85"/>
      <c r="DI930" s="85"/>
      <c r="DJ930" s="85"/>
      <c r="DK930" s="85"/>
      <c r="DL930" s="85"/>
      <c r="DM930" s="85"/>
      <c r="DN930" s="85"/>
      <c r="DO930" s="85"/>
      <c r="DP930" s="85"/>
    </row>
    <row r="931">
      <c r="A931" s="91"/>
      <c r="B931" s="91"/>
      <c r="C931" s="91"/>
      <c r="D931" s="91"/>
      <c r="E931" s="78"/>
      <c r="F931" s="15"/>
      <c r="G931" s="15"/>
      <c r="H931" s="91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  <c r="BE931" s="15"/>
      <c r="BF931" s="15"/>
      <c r="BG931" s="15"/>
      <c r="BH931" s="15"/>
      <c r="BI931" s="15"/>
      <c r="BJ931" s="15"/>
      <c r="BK931" s="15"/>
      <c r="BL931" s="15"/>
      <c r="BM931" s="15"/>
      <c r="BN931" s="92"/>
      <c r="BO931" s="92"/>
      <c r="BP931" s="92"/>
      <c r="BQ931" s="92"/>
      <c r="BR931" s="92"/>
      <c r="BS931" s="92"/>
      <c r="BT931" s="92"/>
      <c r="BU931" s="92"/>
      <c r="BV931" s="92"/>
      <c r="BW931" s="92"/>
      <c r="BX931" s="92"/>
      <c r="BY931" s="92"/>
      <c r="BZ931" s="92"/>
      <c r="CA931" s="92"/>
      <c r="CB931" s="92"/>
      <c r="CC931" s="92"/>
      <c r="CD931" s="92"/>
      <c r="CE931" s="92"/>
      <c r="CF931" s="92"/>
      <c r="CG931" s="92"/>
      <c r="CH931" s="92"/>
      <c r="CI931" s="92"/>
      <c r="CJ931" s="92"/>
      <c r="CK931" s="92"/>
      <c r="CL931" s="92"/>
      <c r="CM931" s="92"/>
      <c r="CN931" s="92"/>
      <c r="CO931" s="92"/>
      <c r="CP931" s="92"/>
      <c r="CQ931" s="92"/>
      <c r="CR931" s="92"/>
      <c r="CS931" s="92"/>
      <c r="CT931" s="92"/>
      <c r="CU931" s="92"/>
      <c r="CV931" s="92"/>
      <c r="CW931" s="92"/>
      <c r="CX931" s="85"/>
      <c r="CY931" s="85"/>
      <c r="CZ931" s="85"/>
      <c r="DA931" s="85"/>
      <c r="DB931" s="85"/>
      <c r="DC931" s="85"/>
      <c r="DD931" s="85"/>
      <c r="DE931" s="85"/>
      <c r="DF931" s="85"/>
      <c r="DG931" s="85"/>
      <c r="DH931" s="85"/>
      <c r="DI931" s="85"/>
      <c r="DJ931" s="85"/>
      <c r="DK931" s="85"/>
      <c r="DL931" s="85"/>
      <c r="DM931" s="85"/>
      <c r="DN931" s="85"/>
      <c r="DO931" s="85"/>
      <c r="DP931" s="85"/>
    </row>
    <row r="932">
      <c r="A932" s="91"/>
      <c r="B932" s="91"/>
      <c r="C932" s="91"/>
      <c r="D932" s="91"/>
      <c r="E932" s="78"/>
      <c r="F932" s="15"/>
      <c r="G932" s="15"/>
      <c r="H932" s="91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  <c r="BC932" s="15"/>
      <c r="BD932" s="15"/>
      <c r="BE932" s="15"/>
      <c r="BF932" s="15"/>
      <c r="BG932" s="15"/>
      <c r="BH932" s="15"/>
      <c r="BI932" s="15"/>
      <c r="BJ932" s="15"/>
      <c r="BK932" s="15"/>
      <c r="BL932" s="15"/>
      <c r="BM932" s="15"/>
      <c r="BN932" s="92"/>
      <c r="BO932" s="92"/>
      <c r="BP932" s="92"/>
      <c r="BQ932" s="92"/>
      <c r="BR932" s="92"/>
      <c r="BS932" s="92"/>
      <c r="BT932" s="92"/>
      <c r="BU932" s="92"/>
      <c r="BV932" s="92"/>
      <c r="BW932" s="92"/>
      <c r="BX932" s="92"/>
      <c r="BY932" s="92"/>
      <c r="BZ932" s="92"/>
      <c r="CA932" s="92"/>
      <c r="CB932" s="92"/>
      <c r="CC932" s="92"/>
      <c r="CD932" s="92"/>
      <c r="CE932" s="92"/>
      <c r="CF932" s="92"/>
      <c r="CG932" s="92"/>
      <c r="CH932" s="92"/>
      <c r="CI932" s="92"/>
      <c r="CJ932" s="92"/>
      <c r="CK932" s="92"/>
      <c r="CL932" s="92"/>
      <c r="CM932" s="92"/>
      <c r="CN932" s="92"/>
      <c r="CO932" s="92"/>
      <c r="CP932" s="92"/>
      <c r="CQ932" s="92"/>
      <c r="CR932" s="92"/>
      <c r="CS932" s="92"/>
      <c r="CT932" s="92"/>
      <c r="CU932" s="92"/>
      <c r="CV932" s="92"/>
      <c r="CW932" s="92"/>
      <c r="CX932" s="85"/>
      <c r="CY932" s="85"/>
      <c r="CZ932" s="85"/>
      <c r="DA932" s="85"/>
      <c r="DB932" s="85"/>
      <c r="DC932" s="85"/>
      <c r="DD932" s="85"/>
      <c r="DE932" s="85"/>
      <c r="DF932" s="85"/>
      <c r="DG932" s="85"/>
      <c r="DH932" s="85"/>
      <c r="DI932" s="85"/>
      <c r="DJ932" s="85"/>
      <c r="DK932" s="85"/>
      <c r="DL932" s="85"/>
      <c r="DM932" s="85"/>
      <c r="DN932" s="85"/>
      <c r="DO932" s="85"/>
      <c r="DP932" s="85"/>
    </row>
    <row r="933">
      <c r="A933" s="91"/>
      <c r="B933" s="91"/>
      <c r="C933" s="91"/>
      <c r="D933" s="91"/>
      <c r="E933" s="78"/>
      <c r="F933" s="15"/>
      <c r="G933" s="15"/>
      <c r="H933" s="91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  <c r="BE933" s="15"/>
      <c r="BF933" s="15"/>
      <c r="BG933" s="15"/>
      <c r="BH933" s="15"/>
      <c r="BI933" s="15"/>
      <c r="BJ933" s="15"/>
      <c r="BK933" s="15"/>
      <c r="BL933" s="15"/>
      <c r="BM933" s="15"/>
      <c r="BN933" s="92"/>
      <c r="BO933" s="92"/>
      <c r="BP933" s="92"/>
      <c r="BQ933" s="92"/>
      <c r="BR933" s="92"/>
      <c r="BS933" s="92"/>
      <c r="BT933" s="92"/>
      <c r="BU933" s="92"/>
      <c r="BV933" s="92"/>
      <c r="BW933" s="92"/>
      <c r="BX933" s="92"/>
      <c r="BY933" s="92"/>
      <c r="BZ933" s="92"/>
      <c r="CA933" s="92"/>
      <c r="CB933" s="92"/>
      <c r="CC933" s="92"/>
      <c r="CD933" s="92"/>
      <c r="CE933" s="92"/>
      <c r="CF933" s="92"/>
      <c r="CG933" s="92"/>
      <c r="CH933" s="92"/>
      <c r="CI933" s="92"/>
      <c r="CJ933" s="92"/>
      <c r="CK933" s="92"/>
      <c r="CL933" s="92"/>
      <c r="CM933" s="92"/>
      <c r="CN933" s="92"/>
      <c r="CO933" s="92"/>
      <c r="CP933" s="92"/>
      <c r="CQ933" s="92"/>
      <c r="CR933" s="92"/>
      <c r="CS933" s="92"/>
      <c r="CT933" s="92"/>
      <c r="CU933" s="92"/>
      <c r="CV933" s="92"/>
      <c r="CW933" s="92"/>
      <c r="CX933" s="85"/>
      <c r="CY933" s="85"/>
      <c r="CZ933" s="85"/>
      <c r="DA933" s="85"/>
      <c r="DB933" s="85"/>
      <c r="DC933" s="85"/>
      <c r="DD933" s="85"/>
      <c r="DE933" s="85"/>
      <c r="DF933" s="85"/>
      <c r="DG933" s="85"/>
      <c r="DH933" s="85"/>
      <c r="DI933" s="85"/>
      <c r="DJ933" s="85"/>
      <c r="DK933" s="85"/>
      <c r="DL933" s="85"/>
      <c r="DM933" s="85"/>
      <c r="DN933" s="85"/>
      <c r="DO933" s="85"/>
      <c r="DP933" s="85"/>
    </row>
    <row r="934">
      <c r="A934" s="91"/>
      <c r="B934" s="91"/>
      <c r="C934" s="91"/>
      <c r="D934" s="91"/>
      <c r="E934" s="78"/>
      <c r="F934" s="15"/>
      <c r="G934" s="15"/>
      <c r="H934" s="91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  <c r="BC934" s="15"/>
      <c r="BD934" s="15"/>
      <c r="BE934" s="15"/>
      <c r="BF934" s="15"/>
      <c r="BG934" s="15"/>
      <c r="BH934" s="15"/>
      <c r="BI934" s="15"/>
      <c r="BJ934" s="15"/>
      <c r="BK934" s="15"/>
      <c r="BL934" s="15"/>
      <c r="BM934" s="15"/>
      <c r="BN934" s="92"/>
      <c r="BO934" s="92"/>
      <c r="BP934" s="92"/>
      <c r="BQ934" s="92"/>
      <c r="BR934" s="92"/>
      <c r="BS934" s="92"/>
      <c r="BT934" s="92"/>
      <c r="BU934" s="92"/>
      <c r="BV934" s="92"/>
      <c r="BW934" s="92"/>
      <c r="BX934" s="92"/>
      <c r="BY934" s="92"/>
      <c r="BZ934" s="92"/>
      <c r="CA934" s="92"/>
      <c r="CB934" s="92"/>
      <c r="CC934" s="92"/>
      <c r="CD934" s="92"/>
      <c r="CE934" s="92"/>
      <c r="CF934" s="92"/>
      <c r="CG934" s="92"/>
      <c r="CH934" s="92"/>
      <c r="CI934" s="92"/>
      <c r="CJ934" s="92"/>
      <c r="CK934" s="92"/>
      <c r="CL934" s="92"/>
      <c r="CM934" s="92"/>
      <c r="CN934" s="92"/>
      <c r="CO934" s="92"/>
      <c r="CP934" s="92"/>
      <c r="CQ934" s="92"/>
      <c r="CR934" s="92"/>
      <c r="CS934" s="92"/>
      <c r="CT934" s="92"/>
      <c r="CU934" s="92"/>
      <c r="CV934" s="92"/>
      <c r="CW934" s="92"/>
      <c r="CX934" s="85"/>
      <c r="CY934" s="85"/>
      <c r="CZ934" s="85"/>
      <c r="DA934" s="85"/>
      <c r="DB934" s="85"/>
      <c r="DC934" s="85"/>
      <c r="DD934" s="85"/>
      <c r="DE934" s="85"/>
      <c r="DF934" s="85"/>
      <c r="DG934" s="85"/>
      <c r="DH934" s="85"/>
      <c r="DI934" s="85"/>
      <c r="DJ934" s="85"/>
      <c r="DK934" s="85"/>
      <c r="DL934" s="85"/>
      <c r="DM934" s="85"/>
      <c r="DN934" s="85"/>
      <c r="DO934" s="85"/>
      <c r="DP934" s="85"/>
    </row>
    <row r="935">
      <c r="A935" s="91"/>
      <c r="B935" s="91"/>
      <c r="C935" s="91"/>
      <c r="D935" s="91"/>
      <c r="E935" s="78"/>
      <c r="F935" s="15"/>
      <c r="G935" s="15"/>
      <c r="H935" s="91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  <c r="BE935" s="15"/>
      <c r="BF935" s="15"/>
      <c r="BG935" s="15"/>
      <c r="BH935" s="15"/>
      <c r="BI935" s="15"/>
      <c r="BJ935" s="15"/>
      <c r="BK935" s="15"/>
      <c r="BL935" s="15"/>
      <c r="BM935" s="15"/>
      <c r="BN935" s="92"/>
      <c r="BO935" s="92"/>
      <c r="BP935" s="92"/>
      <c r="BQ935" s="92"/>
      <c r="BR935" s="92"/>
      <c r="BS935" s="92"/>
      <c r="BT935" s="92"/>
      <c r="BU935" s="92"/>
      <c r="BV935" s="92"/>
      <c r="BW935" s="92"/>
      <c r="BX935" s="92"/>
      <c r="BY935" s="92"/>
      <c r="BZ935" s="92"/>
      <c r="CA935" s="92"/>
      <c r="CB935" s="92"/>
      <c r="CC935" s="92"/>
      <c r="CD935" s="92"/>
      <c r="CE935" s="92"/>
      <c r="CF935" s="92"/>
      <c r="CG935" s="92"/>
      <c r="CH935" s="92"/>
      <c r="CI935" s="92"/>
      <c r="CJ935" s="92"/>
      <c r="CK935" s="92"/>
      <c r="CL935" s="92"/>
      <c r="CM935" s="92"/>
      <c r="CN935" s="92"/>
      <c r="CO935" s="92"/>
      <c r="CP935" s="92"/>
      <c r="CQ935" s="92"/>
      <c r="CR935" s="92"/>
      <c r="CS935" s="92"/>
      <c r="CT935" s="92"/>
      <c r="CU935" s="92"/>
      <c r="CV935" s="92"/>
      <c r="CW935" s="92"/>
      <c r="CX935" s="85"/>
      <c r="CY935" s="85"/>
      <c r="CZ935" s="85"/>
      <c r="DA935" s="85"/>
      <c r="DB935" s="85"/>
      <c r="DC935" s="85"/>
      <c r="DD935" s="85"/>
      <c r="DE935" s="85"/>
      <c r="DF935" s="85"/>
      <c r="DG935" s="85"/>
      <c r="DH935" s="85"/>
      <c r="DI935" s="85"/>
      <c r="DJ935" s="85"/>
      <c r="DK935" s="85"/>
      <c r="DL935" s="85"/>
      <c r="DM935" s="85"/>
      <c r="DN935" s="85"/>
      <c r="DO935" s="85"/>
      <c r="DP935" s="85"/>
    </row>
    <row r="936">
      <c r="A936" s="91"/>
      <c r="B936" s="91"/>
      <c r="C936" s="91"/>
      <c r="D936" s="91"/>
      <c r="E936" s="78"/>
      <c r="F936" s="15"/>
      <c r="G936" s="15"/>
      <c r="H936" s="91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  <c r="BB936" s="15"/>
      <c r="BC936" s="15"/>
      <c r="BD936" s="15"/>
      <c r="BE936" s="15"/>
      <c r="BF936" s="15"/>
      <c r="BG936" s="15"/>
      <c r="BH936" s="15"/>
      <c r="BI936" s="15"/>
      <c r="BJ936" s="15"/>
      <c r="BK936" s="15"/>
      <c r="BL936" s="15"/>
      <c r="BM936" s="15"/>
      <c r="BN936" s="92"/>
      <c r="BO936" s="92"/>
      <c r="BP936" s="92"/>
      <c r="BQ936" s="92"/>
      <c r="BR936" s="92"/>
      <c r="BS936" s="92"/>
      <c r="BT936" s="92"/>
      <c r="BU936" s="92"/>
      <c r="BV936" s="92"/>
      <c r="BW936" s="92"/>
      <c r="BX936" s="92"/>
      <c r="BY936" s="92"/>
      <c r="BZ936" s="92"/>
      <c r="CA936" s="92"/>
      <c r="CB936" s="92"/>
      <c r="CC936" s="92"/>
      <c r="CD936" s="92"/>
      <c r="CE936" s="92"/>
      <c r="CF936" s="92"/>
      <c r="CG936" s="92"/>
      <c r="CH936" s="92"/>
      <c r="CI936" s="92"/>
      <c r="CJ936" s="92"/>
      <c r="CK936" s="92"/>
      <c r="CL936" s="92"/>
      <c r="CM936" s="92"/>
      <c r="CN936" s="92"/>
      <c r="CO936" s="92"/>
      <c r="CP936" s="92"/>
      <c r="CQ936" s="92"/>
      <c r="CR936" s="92"/>
      <c r="CS936" s="92"/>
      <c r="CT936" s="92"/>
      <c r="CU936" s="92"/>
      <c r="CV936" s="92"/>
      <c r="CW936" s="92"/>
      <c r="CX936" s="85"/>
      <c r="CY936" s="85"/>
      <c r="CZ936" s="85"/>
      <c r="DA936" s="85"/>
      <c r="DB936" s="85"/>
      <c r="DC936" s="85"/>
      <c r="DD936" s="85"/>
      <c r="DE936" s="85"/>
      <c r="DF936" s="85"/>
      <c r="DG936" s="85"/>
      <c r="DH936" s="85"/>
      <c r="DI936" s="85"/>
      <c r="DJ936" s="85"/>
      <c r="DK936" s="85"/>
      <c r="DL936" s="85"/>
      <c r="DM936" s="85"/>
      <c r="DN936" s="85"/>
      <c r="DO936" s="85"/>
      <c r="DP936" s="85"/>
    </row>
    <row r="937">
      <c r="A937" s="91"/>
      <c r="B937" s="91"/>
      <c r="C937" s="91"/>
      <c r="D937" s="91"/>
      <c r="E937" s="78"/>
      <c r="F937" s="15"/>
      <c r="G937" s="15"/>
      <c r="H937" s="91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  <c r="BE937" s="15"/>
      <c r="BF937" s="15"/>
      <c r="BG937" s="15"/>
      <c r="BH937" s="15"/>
      <c r="BI937" s="15"/>
      <c r="BJ937" s="15"/>
      <c r="BK937" s="15"/>
      <c r="BL937" s="15"/>
      <c r="BM937" s="15"/>
      <c r="BN937" s="92"/>
      <c r="BO937" s="92"/>
      <c r="BP937" s="92"/>
      <c r="BQ937" s="92"/>
      <c r="BR937" s="92"/>
      <c r="BS937" s="92"/>
      <c r="BT937" s="92"/>
      <c r="BU937" s="92"/>
      <c r="BV937" s="92"/>
      <c r="BW937" s="92"/>
      <c r="BX937" s="92"/>
      <c r="BY937" s="92"/>
      <c r="BZ937" s="92"/>
      <c r="CA937" s="92"/>
      <c r="CB937" s="92"/>
      <c r="CC937" s="92"/>
      <c r="CD937" s="92"/>
      <c r="CE937" s="92"/>
      <c r="CF937" s="92"/>
      <c r="CG937" s="92"/>
      <c r="CH937" s="92"/>
      <c r="CI937" s="92"/>
      <c r="CJ937" s="92"/>
      <c r="CK937" s="92"/>
      <c r="CL937" s="92"/>
      <c r="CM937" s="92"/>
      <c r="CN937" s="92"/>
      <c r="CO937" s="92"/>
      <c r="CP937" s="92"/>
      <c r="CQ937" s="92"/>
      <c r="CR937" s="92"/>
      <c r="CS937" s="92"/>
      <c r="CT937" s="92"/>
      <c r="CU937" s="92"/>
      <c r="CV937" s="92"/>
      <c r="CW937" s="92"/>
      <c r="CX937" s="85"/>
      <c r="CY937" s="85"/>
      <c r="CZ937" s="85"/>
      <c r="DA937" s="85"/>
      <c r="DB937" s="85"/>
      <c r="DC937" s="85"/>
      <c r="DD937" s="85"/>
      <c r="DE937" s="85"/>
      <c r="DF937" s="85"/>
      <c r="DG937" s="85"/>
      <c r="DH937" s="85"/>
      <c r="DI937" s="85"/>
      <c r="DJ937" s="85"/>
      <c r="DK937" s="85"/>
      <c r="DL937" s="85"/>
      <c r="DM937" s="85"/>
      <c r="DN937" s="85"/>
      <c r="DO937" s="85"/>
      <c r="DP937" s="85"/>
    </row>
    <row r="938">
      <c r="A938" s="91"/>
      <c r="B938" s="91"/>
      <c r="C938" s="91"/>
      <c r="D938" s="91"/>
      <c r="E938" s="78"/>
      <c r="F938" s="15"/>
      <c r="G938" s="15"/>
      <c r="H938" s="91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  <c r="BB938" s="15"/>
      <c r="BC938" s="15"/>
      <c r="BD938" s="15"/>
      <c r="BE938" s="15"/>
      <c r="BF938" s="15"/>
      <c r="BG938" s="15"/>
      <c r="BH938" s="15"/>
      <c r="BI938" s="15"/>
      <c r="BJ938" s="15"/>
      <c r="BK938" s="15"/>
      <c r="BL938" s="15"/>
      <c r="BM938" s="15"/>
      <c r="BN938" s="92"/>
      <c r="BO938" s="92"/>
      <c r="BP938" s="92"/>
      <c r="BQ938" s="92"/>
      <c r="BR938" s="92"/>
      <c r="BS938" s="92"/>
      <c r="BT938" s="92"/>
      <c r="BU938" s="92"/>
      <c r="BV938" s="92"/>
      <c r="BW938" s="92"/>
      <c r="BX938" s="92"/>
      <c r="BY938" s="92"/>
      <c r="BZ938" s="92"/>
      <c r="CA938" s="92"/>
      <c r="CB938" s="92"/>
      <c r="CC938" s="92"/>
      <c r="CD938" s="92"/>
      <c r="CE938" s="92"/>
      <c r="CF938" s="92"/>
      <c r="CG938" s="92"/>
      <c r="CH938" s="92"/>
      <c r="CI938" s="92"/>
      <c r="CJ938" s="92"/>
      <c r="CK938" s="92"/>
      <c r="CL938" s="92"/>
      <c r="CM938" s="92"/>
      <c r="CN938" s="92"/>
      <c r="CO938" s="92"/>
      <c r="CP938" s="92"/>
      <c r="CQ938" s="92"/>
      <c r="CR938" s="92"/>
      <c r="CS938" s="92"/>
      <c r="CT938" s="92"/>
      <c r="CU938" s="92"/>
      <c r="CV938" s="92"/>
      <c r="CW938" s="92"/>
      <c r="CX938" s="85"/>
      <c r="CY938" s="85"/>
      <c r="CZ938" s="85"/>
      <c r="DA938" s="85"/>
      <c r="DB938" s="85"/>
      <c r="DC938" s="85"/>
      <c r="DD938" s="85"/>
      <c r="DE938" s="85"/>
      <c r="DF938" s="85"/>
      <c r="DG938" s="85"/>
      <c r="DH938" s="85"/>
      <c r="DI938" s="85"/>
      <c r="DJ938" s="85"/>
      <c r="DK938" s="85"/>
      <c r="DL938" s="85"/>
      <c r="DM938" s="85"/>
      <c r="DN938" s="85"/>
      <c r="DO938" s="85"/>
      <c r="DP938" s="85"/>
    </row>
    <row r="939">
      <c r="A939" s="91"/>
      <c r="B939" s="91"/>
      <c r="C939" s="91"/>
      <c r="D939" s="91"/>
      <c r="E939" s="78"/>
      <c r="F939" s="15"/>
      <c r="G939" s="15"/>
      <c r="H939" s="91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5"/>
      <c r="BE939" s="15"/>
      <c r="BF939" s="15"/>
      <c r="BG939" s="15"/>
      <c r="BH939" s="15"/>
      <c r="BI939" s="15"/>
      <c r="BJ939" s="15"/>
      <c r="BK939" s="15"/>
      <c r="BL939" s="15"/>
      <c r="BM939" s="15"/>
      <c r="BN939" s="92"/>
      <c r="BO939" s="92"/>
      <c r="BP939" s="92"/>
      <c r="BQ939" s="92"/>
      <c r="BR939" s="92"/>
      <c r="BS939" s="92"/>
      <c r="BT939" s="92"/>
      <c r="BU939" s="92"/>
      <c r="BV939" s="92"/>
      <c r="BW939" s="92"/>
      <c r="BX939" s="92"/>
      <c r="BY939" s="92"/>
      <c r="BZ939" s="92"/>
      <c r="CA939" s="92"/>
      <c r="CB939" s="92"/>
      <c r="CC939" s="92"/>
      <c r="CD939" s="92"/>
      <c r="CE939" s="92"/>
      <c r="CF939" s="92"/>
      <c r="CG939" s="92"/>
      <c r="CH939" s="92"/>
      <c r="CI939" s="92"/>
      <c r="CJ939" s="92"/>
      <c r="CK939" s="92"/>
      <c r="CL939" s="92"/>
      <c r="CM939" s="92"/>
      <c r="CN939" s="92"/>
      <c r="CO939" s="92"/>
      <c r="CP939" s="92"/>
      <c r="CQ939" s="92"/>
      <c r="CR939" s="92"/>
      <c r="CS939" s="92"/>
      <c r="CT939" s="92"/>
      <c r="CU939" s="92"/>
      <c r="CV939" s="92"/>
      <c r="CW939" s="92"/>
      <c r="CX939" s="85"/>
      <c r="CY939" s="85"/>
      <c r="CZ939" s="85"/>
      <c r="DA939" s="85"/>
      <c r="DB939" s="85"/>
      <c r="DC939" s="85"/>
      <c r="DD939" s="85"/>
      <c r="DE939" s="85"/>
      <c r="DF939" s="85"/>
      <c r="DG939" s="85"/>
      <c r="DH939" s="85"/>
      <c r="DI939" s="85"/>
      <c r="DJ939" s="85"/>
      <c r="DK939" s="85"/>
      <c r="DL939" s="85"/>
      <c r="DM939" s="85"/>
      <c r="DN939" s="85"/>
      <c r="DO939" s="85"/>
      <c r="DP939" s="85"/>
    </row>
    <row r="940">
      <c r="A940" s="91"/>
      <c r="B940" s="91"/>
      <c r="C940" s="91"/>
      <c r="D940" s="91"/>
      <c r="E940" s="78"/>
      <c r="F940" s="15"/>
      <c r="G940" s="15"/>
      <c r="H940" s="91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  <c r="BC940" s="15"/>
      <c r="BD940" s="15"/>
      <c r="BE940" s="15"/>
      <c r="BF940" s="15"/>
      <c r="BG940" s="15"/>
      <c r="BH940" s="15"/>
      <c r="BI940" s="15"/>
      <c r="BJ940" s="15"/>
      <c r="BK940" s="15"/>
      <c r="BL940" s="15"/>
      <c r="BM940" s="15"/>
      <c r="BN940" s="92"/>
      <c r="BO940" s="92"/>
      <c r="BP940" s="92"/>
      <c r="BQ940" s="92"/>
      <c r="BR940" s="92"/>
      <c r="BS940" s="92"/>
      <c r="BT940" s="92"/>
      <c r="BU940" s="92"/>
      <c r="BV940" s="92"/>
      <c r="BW940" s="92"/>
      <c r="BX940" s="92"/>
      <c r="BY940" s="92"/>
      <c r="BZ940" s="92"/>
      <c r="CA940" s="92"/>
      <c r="CB940" s="92"/>
      <c r="CC940" s="92"/>
      <c r="CD940" s="92"/>
      <c r="CE940" s="92"/>
      <c r="CF940" s="92"/>
      <c r="CG940" s="92"/>
      <c r="CH940" s="92"/>
      <c r="CI940" s="92"/>
      <c r="CJ940" s="92"/>
      <c r="CK940" s="92"/>
      <c r="CL940" s="92"/>
      <c r="CM940" s="92"/>
      <c r="CN940" s="92"/>
      <c r="CO940" s="92"/>
      <c r="CP940" s="92"/>
      <c r="CQ940" s="92"/>
      <c r="CR940" s="92"/>
      <c r="CS940" s="92"/>
      <c r="CT940" s="92"/>
      <c r="CU940" s="92"/>
      <c r="CV940" s="92"/>
      <c r="CW940" s="92"/>
      <c r="CX940" s="85"/>
      <c r="CY940" s="85"/>
      <c r="CZ940" s="85"/>
      <c r="DA940" s="85"/>
      <c r="DB940" s="85"/>
      <c r="DC940" s="85"/>
      <c r="DD940" s="85"/>
      <c r="DE940" s="85"/>
      <c r="DF940" s="85"/>
      <c r="DG940" s="85"/>
      <c r="DH940" s="85"/>
      <c r="DI940" s="85"/>
      <c r="DJ940" s="85"/>
      <c r="DK940" s="85"/>
      <c r="DL940" s="85"/>
      <c r="DM940" s="85"/>
      <c r="DN940" s="85"/>
      <c r="DO940" s="85"/>
      <c r="DP940" s="85"/>
    </row>
    <row r="941">
      <c r="A941" s="91"/>
      <c r="B941" s="91"/>
      <c r="C941" s="91"/>
      <c r="D941" s="91"/>
      <c r="E941" s="78"/>
      <c r="F941" s="15"/>
      <c r="G941" s="15"/>
      <c r="H941" s="91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  <c r="BE941" s="15"/>
      <c r="BF941" s="15"/>
      <c r="BG941" s="15"/>
      <c r="BH941" s="15"/>
      <c r="BI941" s="15"/>
      <c r="BJ941" s="15"/>
      <c r="BK941" s="15"/>
      <c r="BL941" s="15"/>
      <c r="BM941" s="15"/>
      <c r="BN941" s="92"/>
      <c r="BO941" s="92"/>
      <c r="BP941" s="92"/>
      <c r="BQ941" s="92"/>
      <c r="BR941" s="92"/>
      <c r="BS941" s="92"/>
      <c r="BT941" s="92"/>
      <c r="BU941" s="92"/>
      <c r="BV941" s="92"/>
      <c r="BW941" s="92"/>
      <c r="BX941" s="92"/>
      <c r="BY941" s="92"/>
      <c r="BZ941" s="92"/>
      <c r="CA941" s="92"/>
      <c r="CB941" s="92"/>
      <c r="CC941" s="92"/>
      <c r="CD941" s="92"/>
      <c r="CE941" s="92"/>
      <c r="CF941" s="92"/>
      <c r="CG941" s="92"/>
      <c r="CH941" s="92"/>
      <c r="CI941" s="92"/>
      <c r="CJ941" s="92"/>
      <c r="CK941" s="92"/>
      <c r="CL941" s="92"/>
      <c r="CM941" s="92"/>
      <c r="CN941" s="92"/>
      <c r="CO941" s="92"/>
      <c r="CP941" s="92"/>
      <c r="CQ941" s="92"/>
      <c r="CR941" s="92"/>
      <c r="CS941" s="92"/>
      <c r="CT941" s="92"/>
      <c r="CU941" s="92"/>
      <c r="CV941" s="92"/>
      <c r="CW941" s="92"/>
      <c r="CX941" s="85"/>
      <c r="CY941" s="85"/>
      <c r="CZ941" s="85"/>
      <c r="DA941" s="85"/>
      <c r="DB941" s="85"/>
      <c r="DC941" s="85"/>
      <c r="DD941" s="85"/>
      <c r="DE941" s="85"/>
      <c r="DF941" s="85"/>
      <c r="DG941" s="85"/>
      <c r="DH941" s="85"/>
      <c r="DI941" s="85"/>
      <c r="DJ941" s="85"/>
      <c r="DK941" s="85"/>
      <c r="DL941" s="85"/>
      <c r="DM941" s="85"/>
      <c r="DN941" s="85"/>
      <c r="DO941" s="85"/>
      <c r="DP941" s="85"/>
    </row>
    <row r="942">
      <c r="A942" s="91"/>
      <c r="B942" s="91"/>
      <c r="C942" s="91"/>
      <c r="D942" s="91"/>
      <c r="E942" s="78"/>
      <c r="F942" s="15"/>
      <c r="G942" s="15"/>
      <c r="H942" s="91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  <c r="BC942" s="15"/>
      <c r="BD942" s="15"/>
      <c r="BE942" s="15"/>
      <c r="BF942" s="15"/>
      <c r="BG942" s="15"/>
      <c r="BH942" s="15"/>
      <c r="BI942" s="15"/>
      <c r="BJ942" s="15"/>
      <c r="BK942" s="15"/>
      <c r="BL942" s="15"/>
      <c r="BM942" s="15"/>
      <c r="BN942" s="92"/>
      <c r="BO942" s="92"/>
      <c r="BP942" s="92"/>
      <c r="BQ942" s="92"/>
      <c r="BR942" s="92"/>
      <c r="BS942" s="92"/>
      <c r="BT942" s="92"/>
      <c r="BU942" s="92"/>
      <c r="BV942" s="92"/>
      <c r="BW942" s="92"/>
      <c r="BX942" s="92"/>
      <c r="BY942" s="92"/>
      <c r="BZ942" s="92"/>
      <c r="CA942" s="92"/>
      <c r="CB942" s="92"/>
      <c r="CC942" s="92"/>
      <c r="CD942" s="92"/>
      <c r="CE942" s="92"/>
      <c r="CF942" s="92"/>
      <c r="CG942" s="92"/>
      <c r="CH942" s="92"/>
      <c r="CI942" s="92"/>
      <c r="CJ942" s="92"/>
      <c r="CK942" s="92"/>
      <c r="CL942" s="92"/>
      <c r="CM942" s="92"/>
      <c r="CN942" s="92"/>
      <c r="CO942" s="92"/>
      <c r="CP942" s="92"/>
      <c r="CQ942" s="92"/>
      <c r="CR942" s="92"/>
      <c r="CS942" s="92"/>
      <c r="CT942" s="92"/>
      <c r="CU942" s="92"/>
      <c r="CV942" s="92"/>
      <c r="CW942" s="92"/>
      <c r="CX942" s="85"/>
      <c r="CY942" s="85"/>
      <c r="CZ942" s="85"/>
      <c r="DA942" s="85"/>
      <c r="DB942" s="85"/>
      <c r="DC942" s="85"/>
      <c r="DD942" s="85"/>
      <c r="DE942" s="85"/>
      <c r="DF942" s="85"/>
      <c r="DG942" s="85"/>
      <c r="DH942" s="85"/>
      <c r="DI942" s="85"/>
      <c r="DJ942" s="85"/>
      <c r="DK942" s="85"/>
      <c r="DL942" s="85"/>
      <c r="DM942" s="85"/>
      <c r="DN942" s="85"/>
      <c r="DO942" s="85"/>
      <c r="DP942" s="85"/>
    </row>
    <row r="943">
      <c r="A943" s="91"/>
      <c r="B943" s="91"/>
      <c r="C943" s="91"/>
      <c r="D943" s="91"/>
      <c r="E943" s="78"/>
      <c r="F943" s="15"/>
      <c r="G943" s="15"/>
      <c r="H943" s="91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  <c r="BD943" s="15"/>
      <c r="BE943" s="15"/>
      <c r="BF943" s="15"/>
      <c r="BG943" s="15"/>
      <c r="BH943" s="15"/>
      <c r="BI943" s="15"/>
      <c r="BJ943" s="15"/>
      <c r="BK943" s="15"/>
      <c r="BL943" s="15"/>
      <c r="BM943" s="15"/>
      <c r="BN943" s="92"/>
      <c r="BO943" s="92"/>
      <c r="BP943" s="92"/>
      <c r="BQ943" s="92"/>
      <c r="BR943" s="92"/>
      <c r="BS943" s="92"/>
      <c r="BT943" s="92"/>
      <c r="BU943" s="92"/>
      <c r="BV943" s="92"/>
      <c r="BW943" s="92"/>
      <c r="BX943" s="92"/>
      <c r="BY943" s="92"/>
      <c r="BZ943" s="92"/>
      <c r="CA943" s="92"/>
      <c r="CB943" s="92"/>
      <c r="CC943" s="92"/>
      <c r="CD943" s="92"/>
      <c r="CE943" s="92"/>
      <c r="CF943" s="92"/>
      <c r="CG943" s="92"/>
      <c r="CH943" s="92"/>
      <c r="CI943" s="92"/>
      <c r="CJ943" s="92"/>
      <c r="CK943" s="92"/>
      <c r="CL943" s="92"/>
      <c r="CM943" s="92"/>
      <c r="CN943" s="92"/>
      <c r="CO943" s="92"/>
      <c r="CP943" s="92"/>
      <c r="CQ943" s="92"/>
      <c r="CR943" s="92"/>
      <c r="CS943" s="92"/>
      <c r="CT943" s="92"/>
      <c r="CU943" s="92"/>
      <c r="CV943" s="92"/>
      <c r="CW943" s="92"/>
      <c r="CX943" s="85"/>
      <c r="CY943" s="85"/>
      <c r="CZ943" s="85"/>
      <c r="DA943" s="85"/>
      <c r="DB943" s="85"/>
      <c r="DC943" s="85"/>
      <c r="DD943" s="85"/>
      <c r="DE943" s="85"/>
      <c r="DF943" s="85"/>
      <c r="DG943" s="85"/>
      <c r="DH943" s="85"/>
      <c r="DI943" s="85"/>
      <c r="DJ943" s="85"/>
      <c r="DK943" s="85"/>
      <c r="DL943" s="85"/>
      <c r="DM943" s="85"/>
      <c r="DN943" s="85"/>
      <c r="DO943" s="85"/>
      <c r="DP943" s="85"/>
    </row>
    <row r="944">
      <c r="A944" s="91"/>
      <c r="B944" s="91"/>
      <c r="C944" s="91"/>
      <c r="D944" s="91"/>
      <c r="E944" s="78"/>
      <c r="F944" s="15"/>
      <c r="G944" s="15"/>
      <c r="H944" s="91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  <c r="BC944" s="15"/>
      <c r="BD944" s="15"/>
      <c r="BE944" s="15"/>
      <c r="BF944" s="15"/>
      <c r="BG944" s="15"/>
      <c r="BH944" s="15"/>
      <c r="BI944" s="15"/>
      <c r="BJ944" s="15"/>
      <c r="BK944" s="15"/>
      <c r="BL944" s="15"/>
      <c r="BM944" s="15"/>
      <c r="BN944" s="92"/>
      <c r="BO944" s="92"/>
      <c r="BP944" s="92"/>
      <c r="BQ944" s="92"/>
      <c r="BR944" s="92"/>
      <c r="BS944" s="92"/>
      <c r="BT944" s="92"/>
      <c r="BU944" s="92"/>
      <c r="BV944" s="92"/>
      <c r="BW944" s="92"/>
      <c r="BX944" s="92"/>
      <c r="BY944" s="92"/>
      <c r="BZ944" s="92"/>
      <c r="CA944" s="92"/>
      <c r="CB944" s="92"/>
      <c r="CC944" s="92"/>
      <c r="CD944" s="92"/>
      <c r="CE944" s="92"/>
      <c r="CF944" s="92"/>
      <c r="CG944" s="92"/>
      <c r="CH944" s="92"/>
      <c r="CI944" s="92"/>
      <c r="CJ944" s="92"/>
      <c r="CK944" s="92"/>
      <c r="CL944" s="92"/>
      <c r="CM944" s="92"/>
      <c r="CN944" s="92"/>
      <c r="CO944" s="92"/>
      <c r="CP944" s="92"/>
      <c r="CQ944" s="92"/>
      <c r="CR944" s="92"/>
      <c r="CS944" s="92"/>
      <c r="CT944" s="92"/>
      <c r="CU944" s="92"/>
      <c r="CV944" s="92"/>
      <c r="CW944" s="92"/>
      <c r="CX944" s="85"/>
      <c r="CY944" s="85"/>
      <c r="CZ944" s="85"/>
      <c r="DA944" s="85"/>
      <c r="DB944" s="85"/>
      <c r="DC944" s="85"/>
      <c r="DD944" s="85"/>
      <c r="DE944" s="85"/>
      <c r="DF944" s="85"/>
      <c r="DG944" s="85"/>
      <c r="DH944" s="85"/>
      <c r="DI944" s="85"/>
      <c r="DJ944" s="85"/>
      <c r="DK944" s="85"/>
      <c r="DL944" s="85"/>
      <c r="DM944" s="85"/>
      <c r="DN944" s="85"/>
      <c r="DO944" s="85"/>
      <c r="DP944" s="85"/>
    </row>
    <row r="945">
      <c r="A945" s="91"/>
      <c r="B945" s="91"/>
      <c r="C945" s="91"/>
      <c r="D945" s="91"/>
      <c r="E945" s="78"/>
      <c r="F945" s="15"/>
      <c r="G945" s="15"/>
      <c r="H945" s="91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  <c r="BD945" s="15"/>
      <c r="BE945" s="15"/>
      <c r="BF945" s="15"/>
      <c r="BG945" s="15"/>
      <c r="BH945" s="15"/>
      <c r="BI945" s="15"/>
      <c r="BJ945" s="15"/>
      <c r="BK945" s="15"/>
      <c r="BL945" s="15"/>
      <c r="BM945" s="15"/>
      <c r="BN945" s="92"/>
      <c r="BO945" s="92"/>
      <c r="BP945" s="92"/>
      <c r="BQ945" s="92"/>
      <c r="BR945" s="92"/>
      <c r="BS945" s="92"/>
      <c r="BT945" s="92"/>
      <c r="BU945" s="92"/>
      <c r="BV945" s="92"/>
      <c r="BW945" s="92"/>
      <c r="BX945" s="92"/>
      <c r="BY945" s="92"/>
      <c r="BZ945" s="92"/>
      <c r="CA945" s="92"/>
      <c r="CB945" s="92"/>
      <c r="CC945" s="92"/>
      <c r="CD945" s="92"/>
      <c r="CE945" s="92"/>
      <c r="CF945" s="92"/>
      <c r="CG945" s="92"/>
      <c r="CH945" s="92"/>
      <c r="CI945" s="92"/>
      <c r="CJ945" s="92"/>
      <c r="CK945" s="92"/>
      <c r="CL945" s="92"/>
      <c r="CM945" s="92"/>
      <c r="CN945" s="92"/>
      <c r="CO945" s="92"/>
      <c r="CP945" s="92"/>
      <c r="CQ945" s="92"/>
      <c r="CR945" s="92"/>
      <c r="CS945" s="92"/>
      <c r="CT945" s="92"/>
      <c r="CU945" s="92"/>
      <c r="CV945" s="92"/>
      <c r="CW945" s="92"/>
      <c r="CX945" s="85"/>
      <c r="CY945" s="85"/>
      <c r="CZ945" s="85"/>
      <c r="DA945" s="85"/>
      <c r="DB945" s="85"/>
      <c r="DC945" s="85"/>
      <c r="DD945" s="85"/>
      <c r="DE945" s="85"/>
      <c r="DF945" s="85"/>
      <c r="DG945" s="85"/>
      <c r="DH945" s="85"/>
      <c r="DI945" s="85"/>
      <c r="DJ945" s="85"/>
      <c r="DK945" s="85"/>
      <c r="DL945" s="85"/>
      <c r="DM945" s="85"/>
      <c r="DN945" s="85"/>
      <c r="DO945" s="85"/>
      <c r="DP945" s="85"/>
    </row>
    <row r="946">
      <c r="A946" s="91"/>
      <c r="B946" s="91"/>
      <c r="C946" s="91"/>
      <c r="D946" s="91"/>
      <c r="E946" s="78"/>
      <c r="F946" s="15"/>
      <c r="G946" s="15"/>
      <c r="H946" s="91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  <c r="BC946" s="15"/>
      <c r="BD946" s="15"/>
      <c r="BE946" s="15"/>
      <c r="BF946" s="15"/>
      <c r="BG946" s="15"/>
      <c r="BH946" s="15"/>
      <c r="BI946" s="15"/>
      <c r="BJ946" s="15"/>
      <c r="BK946" s="15"/>
      <c r="BL946" s="15"/>
      <c r="BM946" s="15"/>
      <c r="BN946" s="92"/>
      <c r="BO946" s="92"/>
      <c r="BP946" s="92"/>
      <c r="BQ946" s="92"/>
      <c r="BR946" s="92"/>
      <c r="BS946" s="92"/>
      <c r="BT946" s="92"/>
      <c r="BU946" s="92"/>
      <c r="BV946" s="92"/>
      <c r="BW946" s="92"/>
      <c r="BX946" s="92"/>
      <c r="BY946" s="92"/>
      <c r="BZ946" s="92"/>
      <c r="CA946" s="92"/>
      <c r="CB946" s="92"/>
      <c r="CC946" s="92"/>
      <c r="CD946" s="92"/>
      <c r="CE946" s="92"/>
      <c r="CF946" s="92"/>
      <c r="CG946" s="92"/>
      <c r="CH946" s="92"/>
      <c r="CI946" s="92"/>
      <c r="CJ946" s="92"/>
      <c r="CK946" s="92"/>
      <c r="CL946" s="92"/>
      <c r="CM946" s="92"/>
      <c r="CN946" s="92"/>
      <c r="CO946" s="92"/>
      <c r="CP946" s="92"/>
      <c r="CQ946" s="92"/>
      <c r="CR946" s="92"/>
      <c r="CS946" s="92"/>
      <c r="CT946" s="92"/>
      <c r="CU946" s="92"/>
      <c r="CV946" s="92"/>
      <c r="CW946" s="92"/>
      <c r="CX946" s="85"/>
      <c r="CY946" s="85"/>
      <c r="CZ946" s="85"/>
      <c r="DA946" s="85"/>
      <c r="DB946" s="85"/>
      <c r="DC946" s="85"/>
      <c r="DD946" s="85"/>
      <c r="DE946" s="85"/>
      <c r="DF946" s="85"/>
      <c r="DG946" s="85"/>
      <c r="DH946" s="85"/>
      <c r="DI946" s="85"/>
      <c r="DJ946" s="85"/>
      <c r="DK946" s="85"/>
      <c r="DL946" s="85"/>
      <c r="DM946" s="85"/>
      <c r="DN946" s="85"/>
      <c r="DO946" s="85"/>
      <c r="DP946" s="85"/>
    </row>
    <row r="947">
      <c r="A947" s="91"/>
      <c r="B947" s="91"/>
      <c r="C947" s="91"/>
      <c r="D947" s="91"/>
      <c r="E947" s="78"/>
      <c r="F947" s="15"/>
      <c r="G947" s="15"/>
      <c r="H947" s="91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  <c r="BD947" s="15"/>
      <c r="BE947" s="15"/>
      <c r="BF947" s="15"/>
      <c r="BG947" s="15"/>
      <c r="BH947" s="15"/>
      <c r="BI947" s="15"/>
      <c r="BJ947" s="15"/>
      <c r="BK947" s="15"/>
      <c r="BL947" s="15"/>
      <c r="BM947" s="15"/>
      <c r="BN947" s="92"/>
      <c r="BO947" s="92"/>
      <c r="BP947" s="92"/>
      <c r="BQ947" s="92"/>
      <c r="BR947" s="92"/>
      <c r="BS947" s="92"/>
      <c r="BT947" s="92"/>
      <c r="BU947" s="92"/>
      <c r="BV947" s="92"/>
      <c r="BW947" s="92"/>
      <c r="BX947" s="92"/>
      <c r="BY947" s="92"/>
      <c r="BZ947" s="92"/>
      <c r="CA947" s="92"/>
      <c r="CB947" s="92"/>
      <c r="CC947" s="92"/>
      <c r="CD947" s="92"/>
      <c r="CE947" s="92"/>
      <c r="CF947" s="92"/>
      <c r="CG947" s="92"/>
      <c r="CH947" s="92"/>
      <c r="CI947" s="92"/>
      <c r="CJ947" s="92"/>
      <c r="CK947" s="92"/>
      <c r="CL947" s="92"/>
      <c r="CM947" s="92"/>
      <c r="CN947" s="92"/>
      <c r="CO947" s="92"/>
      <c r="CP947" s="92"/>
      <c r="CQ947" s="92"/>
      <c r="CR947" s="92"/>
      <c r="CS947" s="92"/>
      <c r="CT947" s="92"/>
      <c r="CU947" s="92"/>
      <c r="CV947" s="92"/>
      <c r="CW947" s="92"/>
      <c r="CX947" s="85"/>
      <c r="CY947" s="85"/>
      <c r="CZ947" s="85"/>
      <c r="DA947" s="85"/>
      <c r="DB947" s="85"/>
      <c r="DC947" s="85"/>
      <c r="DD947" s="85"/>
      <c r="DE947" s="85"/>
      <c r="DF947" s="85"/>
      <c r="DG947" s="85"/>
      <c r="DH947" s="85"/>
      <c r="DI947" s="85"/>
      <c r="DJ947" s="85"/>
      <c r="DK947" s="85"/>
      <c r="DL947" s="85"/>
      <c r="DM947" s="85"/>
      <c r="DN947" s="85"/>
      <c r="DO947" s="85"/>
      <c r="DP947" s="85"/>
    </row>
    <row r="948">
      <c r="A948" s="91"/>
      <c r="B948" s="91"/>
      <c r="C948" s="91"/>
      <c r="D948" s="91"/>
      <c r="E948" s="78"/>
      <c r="F948" s="15"/>
      <c r="G948" s="15"/>
      <c r="H948" s="91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  <c r="BC948" s="15"/>
      <c r="BD948" s="15"/>
      <c r="BE948" s="15"/>
      <c r="BF948" s="15"/>
      <c r="BG948" s="15"/>
      <c r="BH948" s="15"/>
      <c r="BI948" s="15"/>
      <c r="BJ948" s="15"/>
      <c r="BK948" s="15"/>
      <c r="BL948" s="15"/>
      <c r="BM948" s="15"/>
      <c r="BN948" s="92"/>
      <c r="BO948" s="92"/>
      <c r="BP948" s="92"/>
      <c r="BQ948" s="92"/>
      <c r="BR948" s="92"/>
      <c r="BS948" s="92"/>
      <c r="BT948" s="92"/>
      <c r="BU948" s="92"/>
      <c r="BV948" s="92"/>
      <c r="BW948" s="92"/>
      <c r="BX948" s="92"/>
      <c r="BY948" s="92"/>
      <c r="BZ948" s="92"/>
      <c r="CA948" s="92"/>
      <c r="CB948" s="92"/>
      <c r="CC948" s="92"/>
      <c r="CD948" s="92"/>
      <c r="CE948" s="92"/>
      <c r="CF948" s="92"/>
      <c r="CG948" s="92"/>
      <c r="CH948" s="92"/>
      <c r="CI948" s="92"/>
      <c r="CJ948" s="92"/>
      <c r="CK948" s="92"/>
      <c r="CL948" s="92"/>
      <c r="CM948" s="92"/>
      <c r="CN948" s="92"/>
      <c r="CO948" s="92"/>
      <c r="CP948" s="92"/>
      <c r="CQ948" s="92"/>
      <c r="CR948" s="92"/>
      <c r="CS948" s="92"/>
      <c r="CT948" s="92"/>
      <c r="CU948" s="92"/>
      <c r="CV948" s="92"/>
      <c r="CW948" s="92"/>
      <c r="CX948" s="85"/>
      <c r="CY948" s="85"/>
      <c r="CZ948" s="85"/>
      <c r="DA948" s="85"/>
      <c r="DB948" s="85"/>
      <c r="DC948" s="85"/>
      <c r="DD948" s="85"/>
      <c r="DE948" s="85"/>
      <c r="DF948" s="85"/>
      <c r="DG948" s="85"/>
      <c r="DH948" s="85"/>
      <c r="DI948" s="85"/>
      <c r="DJ948" s="85"/>
      <c r="DK948" s="85"/>
      <c r="DL948" s="85"/>
      <c r="DM948" s="85"/>
      <c r="DN948" s="85"/>
      <c r="DO948" s="85"/>
      <c r="DP948" s="85"/>
    </row>
    <row r="949">
      <c r="A949" s="91"/>
      <c r="B949" s="91"/>
      <c r="C949" s="91"/>
      <c r="D949" s="91"/>
      <c r="E949" s="78"/>
      <c r="F949" s="15"/>
      <c r="G949" s="15"/>
      <c r="H949" s="91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  <c r="BD949" s="15"/>
      <c r="BE949" s="15"/>
      <c r="BF949" s="15"/>
      <c r="BG949" s="15"/>
      <c r="BH949" s="15"/>
      <c r="BI949" s="15"/>
      <c r="BJ949" s="15"/>
      <c r="BK949" s="15"/>
      <c r="BL949" s="15"/>
      <c r="BM949" s="15"/>
      <c r="BN949" s="92"/>
      <c r="BO949" s="92"/>
      <c r="BP949" s="92"/>
      <c r="BQ949" s="92"/>
      <c r="BR949" s="92"/>
      <c r="BS949" s="92"/>
      <c r="BT949" s="92"/>
      <c r="BU949" s="92"/>
      <c r="BV949" s="92"/>
      <c r="BW949" s="92"/>
      <c r="BX949" s="92"/>
      <c r="BY949" s="92"/>
      <c r="BZ949" s="92"/>
      <c r="CA949" s="92"/>
      <c r="CB949" s="92"/>
      <c r="CC949" s="92"/>
      <c r="CD949" s="92"/>
      <c r="CE949" s="92"/>
      <c r="CF949" s="92"/>
      <c r="CG949" s="92"/>
      <c r="CH949" s="92"/>
      <c r="CI949" s="92"/>
      <c r="CJ949" s="92"/>
      <c r="CK949" s="92"/>
      <c r="CL949" s="92"/>
      <c r="CM949" s="92"/>
      <c r="CN949" s="92"/>
      <c r="CO949" s="92"/>
      <c r="CP949" s="92"/>
      <c r="CQ949" s="92"/>
      <c r="CR949" s="92"/>
      <c r="CS949" s="92"/>
      <c r="CT949" s="92"/>
      <c r="CU949" s="92"/>
      <c r="CV949" s="92"/>
      <c r="CW949" s="92"/>
      <c r="CX949" s="85"/>
      <c r="CY949" s="85"/>
      <c r="CZ949" s="85"/>
      <c r="DA949" s="85"/>
      <c r="DB949" s="85"/>
      <c r="DC949" s="85"/>
      <c r="DD949" s="85"/>
      <c r="DE949" s="85"/>
      <c r="DF949" s="85"/>
      <c r="DG949" s="85"/>
      <c r="DH949" s="85"/>
      <c r="DI949" s="85"/>
      <c r="DJ949" s="85"/>
      <c r="DK949" s="85"/>
      <c r="DL949" s="85"/>
      <c r="DM949" s="85"/>
      <c r="DN949" s="85"/>
      <c r="DO949" s="85"/>
      <c r="DP949" s="85"/>
    </row>
    <row r="950">
      <c r="A950" s="91"/>
      <c r="B950" s="91"/>
      <c r="C950" s="91"/>
      <c r="D950" s="91"/>
      <c r="E950" s="78"/>
      <c r="F950" s="15"/>
      <c r="G950" s="15"/>
      <c r="H950" s="91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  <c r="BA950" s="15"/>
      <c r="BB950" s="15"/>
      <c r="BC950" s="15"/>
      <c r="BD950" s="15"/>
      <c r="BE950" s="15"/>
      <c r="BF950" s="15"/>
      <c r="BG950" s="15"/>
      <c r="BH950" s="15"/>
      <c r="BI950" s="15"/>
      <c r="BJ950" s="15"/>
      <c r="BK950" s="15"/>
      <c r="BL950" s="15"/>
      <c r="BM950" s="15"/>
      <c r="BN950" s="92"/>
      <c r="BO950" s="92"/>
      <c r="BP950" s="92"/>
      <c r="BQ950" s="92"/>
      <c r="BR950" s="92"/>
      <c r="BS950" s="92"/>
      <c r="BT950" s="92"/>
      <c r="BU950" s="92"/>
      <c r="BV950" s="92"/>
      <c r="BW950" s="92"/>
      <c r="BX950" s="92"/>
      <c r="BY950" s="92"/>
      <c r="BZ950" s="92"/>
      <c r="CA950" s="92"/>
      <c r="CB950" s="92"/>
      <c r="CC950" s="92"/>
      <c r="CD950" s="92"/>
      <c r="CE950" s="92"/>
      <c r="CF950" s="92"/>
      <c r="CG950" s="92"/>
      <c r="CH950" s="92"/>
      <c r="CI950" s="92"/>
      <c r="CJ950" s="92"/>
      <c r="CK950" s="92"/>
      <c r="CL950" s="92"/>
      <c r="CM950" s="92"/>
      <c r="CN950" s="92"/>
      <c r="CO950" s="92"/>
      <c r="CP950" s="92"/>
      <c r="CQ950" s="92"/>
      <c r="CR950" s="92"/>
      <c r="CS950" s="92"/>
      <c r="CT950" s="92"/>
      <c r="CU950" s="92"/>
      <c r="CV950" s="92"/>
      <c r="CW950" s="92"/>
      <c r="CX950" s="85"/>
      <c r="CY950" s="85"/>
      <c r="CZ950" s="85"/>
      <c r="DA950" s="85"/>
      <c r="DB950" s="85"/>
      <c r="DC950" s="85"/>
      <c r="DD950" s="85"/>
      <c r="DE950" s="85"/>
      <c r="DF950" s="85"/>
      <c r="DG950" s="85"/>
      <c r="DH950" s="85"/>
      <c r="DI950" s="85"/>
      <c r="DJ950" s="85"/>
      <c r="DK950" s="85"/>
      <c r="DL950" s="85"/>
      <c r="DM950" s="85"/>
      <c r="DN950" s="85"/>
      <c r="DO950" s="85"/>
      <c r="DP950" s="85"/>
    </row>
    <row r="951">
      <c r="A951" s="91"/>
      <c r="B951" s="91"/>
      <c r="C951" s="91"/>
      <c r="D951" s="91"/>
      <c r="E951" s="78"/>
      <c r="F951" s="15"/>
      <c r="G951" s="15"/>
      <c r="H951" s="91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  <c r="BC951" s="15"/>
      <c r="BD951" s="15"/>
      <c r="BE951" s="15"/>
      <c r="BF951" s="15"/>
      <c r="BG951" s="15"/>
      <c r="BH951" s="15"/>
      <c r="BI951" s="15"/>
      <c r="BJ951" s="15"/>
      <c r="BK951" s="15"/>
      <c r="BL951" s="15"/>
      <c r="BM951" s="15"/>
      <c r="BN951" s="92"/>
      <c r="BO951" s="92"/>
      <c r="BP951" s="92"/>
      <c r="BQ951" s="92"/>
      <c r="BR951" s="92"/>
      <c r="BS951" s="92"/>
      <c r="BT951" s="92"/>
      <c r="BU951" s="92"/>
      <c r="BV951" s="92"/>
      <c r="BW951" s="92"/>
      <c r="BX951" s="92"/>
      <c r="BY951" s="92"/>
      <c r="BZ951" s="92"/>
      <c r="CA951" s="92"/>
      <c r="CB951" s="92"/>
      <c r="CC951" s="92"/>
      <c r="CD951" s="92"/>
      <c r="CE951" s="92"/>
      <c r="CF951" s="92"/>
      <c r="CG951" s="92"/>
      <c r="CH951" s="92"/>
      <c r="CI951" s="92"/>
      <c r="CJ951" s="92"/>
      <c r="CK951" s="92"/>
      <c r="CL951" s="92"/>
      <c r="CM951" s="92"/>
      <c r="CN951" s="92"/>
      <c r="CO951" s="92"/>
      <c r="CP951" s="92"/>
      <c r="CQ951" s="92"/>
      <c r="CR951" s="92"/>
      <c r="CS951" s="92"/>
      <c r="CT951" s="92"/>
      <c r="CU951" s="92"/>
      <c r="CV951" s="92"/>
      <c r="CW951" s="92"/>
      <c r="CX951" s="85"/>
      <c r="CY951" s="85"/>
      <c r="CZ951" s="85"/>
      <c r="DA951" s="85"/>
      <c r="DB951" s="85"/>
      <c r="DC951" s="85"/>
      <c r="DD951" s="85"/>
      <c r="DE951" s="85"/>
      <c r="DF951" s="85"/>
      <c r="DG951" s="85"/>
      <c r="DH951" s="85"/>
      <c r="DI951" s="85"/>
      <c r="DJ951" s="85"/>
      <c r="DK951" s="85"/>
      <c r="DL951" s="85"/>
      <c r="DM951" s="85"/>
      <c r="DN951" s="85"/>
      <c r="DO951" s="85"/>
      <c r="DP951" s="85"/>
    </row>
    <row r="952">
      <c r="A952" s="91"/>
      <c r="B952" s="91"/>
      <c r="C952" s="91"/>
      <c r="D952" s="91"/>
      <c r="E952" s="78"/>
      <c r="F952" s="15"/>
      <c r="G952" s="15"/>
      <c r="H952" s="91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/>
      <c r="BB952" s="15"/>
      <c r="BC952" s="15"/>
      <c r="BD952" s="15"/>
      <c r="BE952" s="15"/>
      <c r="BF952" s="15"/>
      <c r="BG952" s="15"/>
      <c r="BH952" s="15"/>
      <c r="BI952" s="15"/>
      <c r="BJ952" s="15"/>
      <c r="BK952" s="15"/>
      <c r="BL952" s="15"/>
      <c r="BM952" s="15"/>
      <c r="BN952" s="92"/>
      <c r="BO952" s="92"/>
      <c r="BP952" s="92"/>
      <c r="BQ952" s="92"/>
      <c r="BR952" s="92"/>
      <c r="BS952" s="92"/>
      <c r="BT952" s="92"/>
      <c r="BU952" s="92"/>
      <c r="BV952" s="92"/>
      <c r="BW952" s="92"/>
      <c r="BX952" s="92"/>
      <c r="BY952" s="92"/>
      <c r="BZ952" s="92"/>
      <c r="CA952" s="92"/>
      <c r="CB952" s="92"/>
      <c r="CC952" s="92"/>
      <c r="CD952" s="92"/>
      <c r="CE952" s="92"/>
      <c r="CF952" s="92"/>
      <c r="CG952" s="92"/>
      <c r="CH952" s="92"/>
      <c r="CI952" s="92"/>
      <c r="CJ952" s="92"/>
      <c r="CK952" s="92"/>
      <c r="CL952" s="92"/>
      <c r="CM952" s="92"/>
      <c r="CN952" s="92"/>
      <c r="CO952" s="92"/>
      <c r="CP952" s="92"/>
      <c r="CQ952" s="92"/>
      <c r="CR952" s="92"/>
      <c r="CS952" s="92"/>
      <c r="CT952" s="92"/>
      <c r="CU952" s="92"/>
      <c r="CV952" s="92"/>
      <c r="CW952" s="92"/>
      <c r="CX952" s="85"/>
      <c r="CY952" s="85"/>
      <c r="CZ952" s="85"/>
      <c r="DA952" s="85"/>
      <c r="DB952" s="85"/>
      <c r="DC952" s="85"/>
      <c r="DD952" s="85"/>
      <c r="DE952" s="85"/>
      <c r="DF952" s="85"/>
      <c r="DG952" s="85"/>
      <c r="DH952" s="85"/>
      <c r="DI952" s="85"/>
      <c r="DJ952" s="85"/>
      <c r="DK952" s="85"/>
      <c r="DL952" s="85"/>
      <c r="DM952" s="85"/>
      <c r="DN952" s="85"/>
      <c r="DO952" s="85"/>
      <c r="DP952" s="85"/>
    </row>
    <row r="953">
      <c r="A953" s="91"/>
      <c r="B953" s="91"/>
      <c r="C953" s="91"/>
      <c r="D953" s="91"/>
      <c r="E953" s="78"/>
      <c r="F953" s="15"/>
      <c r="G953" s="15"/>
      <c r="H953" s="91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  <c r="BD953" s="15"/>
      <c r="BE953" s="15"/>
      <c r="BF953" s="15"/>
      <c r="BG953" s="15"/>
      <c r="BH953" s="15"/>
      <c r="BI953" s="15"/>
      <c r="BJ953" s="15"/>
      <c r="BK953" s="15"/>
      <c r="BL953" s="15"/>
      <c r="BM953" s="15"/>
      <c r="BN953" s="92"/>
      <c r="BO953" s="92"/>
      <c r="BP953" s="92"/>
      <c r="BQ953" s="92"/>
      <c r="BR953" s="92"/>
      <c r="BS953" s="92"/>
      <c r="BT953" s="92"/>
      <c r="BU953" s="92"/>
      <c r="BV953" s="92"/>
      <c r="BW953" s="92"/>
      <c r="BX953" s="92"/>
      <c r="BY953" s="92"/>
      <c r="BZ953" s="92"/>
      <c r="CA953" s="92"/>
      <c r="CB953" s="92"/>
      <c r="CC953" s="92"/>
      <c r="CD953" s="92"/>
      <c r="CE953" s="92"/>
      <c r="CF953" s="92"/>
      <c r="CG953" s="92"/>
      <c r="CH953" s="92"/>
      <c r="CI953" s="92"/>
      <c r="CJ953" s="92"/>
      <c r="CK953" s="92"/>
      <c r="CL953" s="92"/>
      <c r="CM953" s="92"/>
      <c r="CN953" s="92"/>
      <c r="CO953" s="92"/>
      <c r="CP953" s="92"/>
      <c r="CQ953" s="92"/>
      <c r="CR953" s="92"/>
      <c r="CS953" s="92"/>
      <c r="CT953" s="92"/>
      <c r="CU953" s="92"/>
      <c r="CV953" s="92"/>
      <c r="CW953" s="92"/>
      <c r="CX953" s="85"/>
      <c r="CY953" s="85"/>
      <c r="CZ953" s="85"/>
      <c r="DA953" s="85"/>
      <c r="DB953" s="85"/>
      <c r="DC953" s="85"/>
      <c r="DD953" s="85"/>
      <c r="DE953" s="85"/>
      <c r="DF953" s="85"/>
      <c r="DG953" s="85"/>
      <c r="DH953" s="85"/>
      <c r="DI953" s="85"/>
      <c r="DJ953" s="85"/>
      <c r="DK953" s="85"/>
      <c r="DL953" s="85"/>
      <c r="DM953" s="85"/>
      <c r="DN953" s="85"/>
      <c r="DO953" s="85"/>
      <c r="DP953" s="85"/>
    </row>
    <row r="954">
      <c r="A954" s="91"/>
      <c r="B954" s="91"/>
      <c r="C954" s="91"/>
      <c r="D954" s="91"/>
      <c r="E954" s="78"/>
      <c r="F954" s="15"/>
      <c r="G954" s="15"/>
      <c r="H954" s="91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/>
      <c r="BB954" s="15"/>
      <c r="BC954" s="15"/>
      <c r="BD954" s="15"/>
      <c r="BE954" s="15"/>
      <c r="BF954" s="15"/>
      <c r="BG954" s="15"/>
      <c r="BH954" s="15"/>
      <c r="BI954" s="15"/>
      <c r="BJ954" s="15"/>
      <c r="BK954" s="15"/>
      <c r="BL954" s="15"/>
      <c r="BM954" s="15"/>
      <c r="BN954" s="92"/>
      <c r="BO954" s="92"/>
      <c r="BP954" s="92"/>
      <c r="BQ954" s="92"/>
      <c r="BR954" s="92"/>
      <c r="BS954" s="92"/>
      <c r="BT954" s="92"/>
      <c r="BU954" s="92"/>
      <c r="BV954" s="92"/>
      <c r="BW954" s="92"/>
      <c r="BX954" s="92"/>
      <c r="BY954" s="92"/>
      <c r="BZ954" s="92"/>
      <c r="CA954" s="92"/>
      <c r="CB954" s="92"/>
      <c r="CC954" s="92"/>
      <c r="CD954" s="92"/>
      <c r="CE954" s="92"/>
      <c r="CF954" s="92"/>
      <c r="CG954" s="92"/>
      <c r="CH954" s="92"/>
      <c r="CI954" s="92"/>
      <c r="CJ954" s="92"/>
      <c r="CK954" s="92"/>
      <c r="CL954" s="92"/>
      <c r="CM954" s="92"/>
      <c r="CN954" s="92"/>
      <c r="CO954" s="92"/>
      <c r="CP954" s="92"/>
      <c r="CQ954" s="92"/>
      <c r="CR954" s="92"/>
      <c r="CS954" s="92"/>
      <c r="CT954" s="92"/>
      <c r="CU954" s="92"/>
      <c r="CV954" s="92"/>
      <c r="CW954" s="92"/>
      <c r="CX954" s="85"/>
      <c r="CY954" s="85"/>
      <c r="CZ954" s="85"/>
      <c r="DA954" s="85"/>
      <c r="DB954" s="85"/>
      <c r="DC954" s="85"/>
      <c r="DD954" s="85"/>
      <c r="DE954" s="85"/>
      <c r="DF954" s="85"/>
      <c r="DG954" s="85"/>
      <c r="DH954" s="85"/>
      <c r="DI954" s="85"/>
      <c r="DJ954" s="85"/>
      <c r="DK954" s="85"/>
      <c r="DL954" s="85"/>
      <c r="DM954" s="85"/>
      <c r="DN954" s="85"/>
      <c r="DO954" s="85"/>
      <c r="DP954" s="85"/>
    </row>
    <row r="955">
      <c r="A955" s="91"/>
      <c r="B955" s="91"/>
      <c r="C955" s="91"/>
      <c r="D955" s="91"/>
      <c r="E955" s="78"/>
      <c r="F955" s="15"/>
      <c r="G955" s="15"/>
      <c r="H955" s="91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  <c r="BD955" s="15"/>
      <c r="BE955" s="15"/>
      <c r="BF955" s="15"/>
      <c r="BG955" s="15"/>
      <c r="BH955" s="15"/>
      <c r="BI955" s="15"/>
      <c r="BJ955" s="15"/>
      <c r="BK955" s="15"/>
      <c r="BL955" s="15"/>
      <c r="BM955" s="15"/>
      <c r="BN955" s="92"/>
      <c r="BO955" s="92"/>
      <c r="BP955" s="92"/>
      <c r="BQ955" s="92"/>
      <c r="BR955" s="92"/>
      <c r="BS955" s="92"/>
      <c r="BT955" s="92"/>
      <c r="BU955" s="92"/>
      <c r="BV955" s="92"/>
      <c r="BW955" s="92"/>
      <c r="BX955" s="92"/>
      <c r="BY955" s="92"/>
      <c r="BZ955" s="92"/>
      <c r="CA955" s="92"/>
      <c r="CB955" s="92"/>
      <c r="CC955" s="92"/>
      <c r="CD955" s="92"/>
      <c r="CE955" s="92"/>
      <c r="CF955" s="92"/>
      <c r="CG955" s="92"/>
      <c r="CH955" s="92"/>
      <c r="CI955" s="92"/>
      <c r="CJ955" s="92"/>
      <c r="CK955" s="92"/>
      <c r="CL955" s="92"/>
      <c r="CM955" s="92"/>
      <c r="CN955" s="92"/>
      <c r="CO955" s="92"/>
      <c r="CP955" s="92"/>
      <c r="CQ955" s="92"/>
      <c r="CR955" s="92"/>
      <c r="CS955" s="92"/>
      <c r="CT955" s="92"/>
      <c r="CU955" s="92"/>
      <c r="CV955" s="92"/>
      <c r="CW955" s="92"/>
      <c r="CX955" s="85"/>
      <c r="CY955" s="85"/>
      <c r="CZ955" s="85"/>
      <c r="DA955" s="85"/>
      <c r="DB955" s="85"/>
      <c r="DC955" s="85"/>
      <c r="DD955" s="85"/>
      <c r="DE955" s="85"/>
      <c r="DF955" s="85"/>
      <c r="DG955" s="85"/>
      <c r="DH955" s="85"/>
      <c r="DI955" s="85"/>
      <c r="DJ955" s="85"/>
      <c r="DK955" s="85"/>
      <c r="DL955" s="85"/>
      <c r="DM955" s="85"/>
      <c r="DN955" s="85"/>
      <c r="DO955" s="85"/>
      <c r="DP955" s="85"/>
    </row>
    <row r="956">
      <c r="A956" s="91"/>
      <c r="B956" s="91"/>
      <c r="C956" s="91"/>
      <c r="D956" s="91"/>
      <c r="E956" s="78"/>
      <c r="F956" s="15"/>
      <c r="G956" s="15"/>
      <c r="H956" s="91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  <c r="BB956" s="15"/>
      <c r="BC956" s="15"/>
      <c r="BD956" s="15"/>
      <c r="BE956" s="15"/>
      <c r="BF956" s="15"/>
      <c r="BG956" s="15"/>
      <c r="BH956" s="15"/>
      <c r="BI956" s="15"/>
      <c r="BJ956" s="15"/>
      <c r="BK956" s="15"/>
      <c r="BL956" s="15"/>
      <c r="BM956" s="15"/>
      <c r="BN956" s="92"/>
      <c r="BO956" s="92"/>
      <c r="BP956" s="92"/>
      <c r="BQ956" s="92"/>
      <c r="BR956" s="92"/>
      <c r="BS956" s="92"/>
      <c r="BT956" s="92"/>
      <c r="BU956" s="92"/>
      <c r="BV956" s="92"/>
      <c r="BW956" s="92"/>
      <c r="BX956" s="92"/>
      <c r="BY956" s="92"/>
      <c r="BZ956" s="92"/>
      <c r="CA956" s="92"/>
      <c r="CB956" s="92"/>
      <c r="CC956" s="92"/>
      <c r="CD956" s="92"/>
      <c r="CE956" s="92"/>
      <c r="CF956" s="92"/>
      <c r="CG956" s="92"/>
      <c r="CH956" s="92"/>
      <c r="CI956" s="92"/>
      <c r="CJ956" s="92"/>
      <c r="CK956" s="92"/>
      <c r="CL956" s="92"/>
      <c r="CM956" s="92"/>
      <c r="CN956" s="92"/>
      <c r="CO956" s="92"/>
      <c r="CP956" s="92"/>
      <c r="CQ956" s="92"/>
      <c r="CR956" s="92"/>
      <c r="CS956" s="92"/>
      <c r="CT956" s="92"/>
      <c r="CU956" s="92"/>
      <c r="CV956" s="92"/>
      <c r="CW956" s="92"/>
      <c r="CX956" s="85"/>
      <c r="CY956" s="85"/>
      <c r="CZ956" s="85"/>
      <c r="DA956" s="85"/>
      <c r="DB956" s="85"/>
      <c r="DC956" s="85"/>
      <c r="DD956" s="85"/>
      <c r="DE956" s="85"/>
      <c r="DF956" s="85"/>
      <c r="DG956" s="85"/>
      <c r="DH956" s="85"/>
      <c r="DI956" s="85"/>
      <c r="DJ956" s="85"/>
      <c r="DK956" s="85"/>
      <c r="DL956" s="85"/>
      <c r="DM956" s="85"/>
      <c r="DN956" s="85"/>
      <c r="DO956" s="85"/>
      <c r="DP956" s="85"/>
    </row>
    <row r="957">
      <c r="A957" s="91"/>
      <c r="B957" s="91"/>
      <c r="C957" s="91"/>
      <c r="D957" s="91"/>
      <c r="E957" s="78"/>
      <c r="F957" s="15"/>
      <c r="G957" s="15"/>
      <c r="H957" s="91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  <c r="BC957" s="15"/>
      <c r="BD957" s="15"/>
      <c r="BE957" s="15"/>
      <c r="BF957" s="15"/>
      <c r="BG957" s="15"/>
      <c r="BH957" s="15"/>
      <c r="BI957" s="15"/>
      <c r="BJ957" s="15"/>
      <c r="BK957" s="15"/>
      <c r="BL957" s="15"/>
      <c r="BM957" s="15"/>
      <c r="BN957" s="92"/>
      <c r="BO957" s="92"/>
      <c r="BP957" s="92"/>
      <c r="BQ957" s="92"/>
      <c r="BR957" s="92"/>
      <c r="BS957" s="92"/>
      <c r="BT957" s="92"/>
      <c r="BU957" s="92"/>
      <c r="BV957" s="92"/>
      <c r="BW957" s="92"/>
      <c r="BX957" s="92"/>
      <c r="BY957" s="92"/>
      <c r="BZ957" s="92"/>
      <c r="CA957" s="92"/>
      <c r="CB957" s="92"/>
      <c r="CC957" s="92"/>
      <c r="CD957" s="92"/>
      <c r="CE957" s="92"/>
      <c r="CF957" s="92"/>
      <c r="CG957" s="92"/>
      <c r="CH957" s="92"/>
      <c r="CI957" s="92"/>
      <c r="CJ957" s="92"/>
      <c r="CK957" s="92"/>
      <c r="CL957" s="92"/>
      <c r="CM957" s="92"/>
      <c r="CN957" s="92"/>
      <c r="CO957" s="92"/>
      <c r="CP957" s="92"/>
      <c r="CQ957" s="92"/>
      <c r="CR957" s="92"/>
      <c r="CS957" s="92"/>
      <c r="CT957" s="92"/>
      <c r="CU957" s="92"/>
      <c r="CV957" s="92"/>
      <c r="CW957" s="92"/>
      <c r="CX957" s="85"/>
      <c r="CY957" s="85"/>
      <c r="CZ957" s="85"/>
      <c r="DA957" s="85"/>
      <c r="DB957" s="85"/>
      <c r="DC957" s="85"/>
      <c r="DD957" s="85"/>
      <c r="DE957" s="85"/>
      <c r="DF957" s="85"/>
      <c r="DG957" s="85"/>
      <c r="DH957" s="85"/>
      <c r="DI957" s="85"/>
      <c r="DJ957" s="85"/>
      <c r="DK957" s="85"/>
      <c r="DL957" s="85"/>
      <c r="DM957" s="85"/>
      <c r="DN957" s="85"/>
      <c r="DO957" s="85"/>
      <c r="DP957" s="85"/>
    </row>
    <row r="958">
      <c r="A958" s="91"/>
      <c r="B958" s="91"/>
      <c r="C958" s="91"/>
      <c r="D958" s="91"/>
      <c r="E958" s="78"/>
      <c r="F958" s="15"/>
      <c r="G958" s="15"/>
      <c r="H958" s="91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  <c r="BA958" s="15"/>
      <c r="BB958" s="15"/>
      <c r="BC958" s="15"/>
      <c r="BD958" s="15"/>
      <c r="BE958" s="15"/>
      <c r="BF958" s="15"/>
      <c r="BG958" s="15"/>
      <c r="BH958" s="15"/>
      <c r="BI958" s="15"/>
      <c r="BJ958" s="15"/>
      <c r="BK958" s="15"/>
      <c r="BL958" s="15"/>
      <c r="BM958" s="15"/>
      <c r="BN958" s="92"/>
      <c r="BO958" s="92"/>
      <c r="BP958" s="92"/>
      <c r="BQ958" s="92"/>
      <c r="BR958" s="92"/>
      <c r="BS958" s="92"/>
      <c r="BT958" s="92"/>
      <c r="BU958" s="92"/>
      <c r="BV958" s="92"/>
      <c r="BW958" s="92"/>
      <c r="BX958" s="92"/>
      <c r="BY958" s="92"/>
      <c r="BZ958" s="92"/>
      <c r="CA958" s="92"/>
      <c r="CB958" s="92"/>
      <c r="CC958" s="92"/>
      <c r="CD958" s="92"/>
      <c r="CE958" s="92"/>
      <c r="CF958" s="92"/>
      <c r="CG958" s="92"/>
      <c r="CH958" s="92"/>
      <c r="CI958" s="92"/>
      <c r="CJ958" s="92"/>
      <c r="CK958" s="92"/>
      <c r="CL958" s="92"/>
      <c r="CM958" s="92"/>
      <c r="CN958" s="92"/>
      <c r="CO958" s="92"/>
      <c r="CP958" s="92"/>
      <c r="CQ958" s="92"/>
      <c r="CR958" s="92"/>
      <c r="CS958" s="92"/>
      <c r="CT958" s="92"/>
      <c r="CU958" s="92"/>
      <c r="CV958" s="92"/>
      <c r="CW958" s="92"/>
      <c r="CX958" s="85"/>
      <c r="CY958" s="85"/>
      <c r="CZ958" s="85"/>
      <c r="DA958" s="85"/>
      <c r="DB958" s="85"/>
      <c r="DC958" s="85"/>
      <c r="DD958" s="85"/>
      <c r="DE958" s="85"/>
      <c r="DF958" s="85"/>
      <c r="DG958" s="85"/>
      <c r="DH958" s="85"/>
      <c r="DI958" s="85"/>
      <c r="DJ958" s="85"/>
      <c r="DK958" s="85"/>
      <c r="DL958" s="85"/>
      <c r="DM958" s="85"/>
      <c r="DN958" s="85"/>
      <c r="DO958" s="85"/>
      <c r="DP958" s="85"/>
    </row>
    <row r="959">
      <c r="A959" s="91"/>
      <c r="B959" s="91"/>
      <c r="C959" s="91"/>
      <c r="D959" s="91"/>
      <c r="E959" s="78"/>
      <c r="F959" s="15"/>
      <c r="G959" s="15"/>
      <c r="H959" s="91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  <c r="BC959" s="15"/>
      <c r="BD959" s="15"/>
      <c r="BE959" s="15"/>
      <c r="BF959" s="15"/>
      <c r="BG959" s="15"/>
      <c r="BH959" s="15"/>
      <c r="BI959" s="15"/>
      <c r="BJ959" s="15"/>
      <c r="BK959" s="15"/>
      <c r="BL959" s="15"/>
      <c r="BM959" s="15"/>
      <c r="BN959" s="92"/>
      <c r="BO959" s="92"/>
      <c r="BP959" s="92"/>
      <c r="BQ959" s="92"/>
      <c r="BR959" s="92"/>
      <c r="BS959" s="92"/>
      <c r="BT959" s="92"/>
      <c r="BU959" s="92"/>
      <c r="BV959" s="92"/>
      <c r="BW959" s="92"/>
      <c r="BX959" s="92"/>
      <c r="BY959" s="92"/>
      <c r="BZ959" s="92"/>
      <c r="CA959" s="92"/>
      <c r="CB959" s="92"/>
      <c r="CC959" s="92"/>
      <c r="CD959" s="92"/>
      <c r="CE959" s="92"/>
      <c r="CF959" s="92"/>
      <c r="CG959" s="92"/>
      <c r="CH959" s="92"/>
      <c r="CI959" s="92"/>
      <c r="CJ959" s="92"/>
      <c r="CK959" s="92"/>
      <c r="CL959" s="92"/>
      <c r="CM959" s="92"/>
      <c r="CN959" s="92"/>
      <c r="CO959" s="92"/>
      <c r="CP959" s="92"/>
      <c r="CQ959" s="92"/>
      <c r="CR959" s="92"/>
      <c r="CS959" s="92"/>
      <c r="CT959" s="92"/>
      <c r="CU959" s="92"/>
      <c r="CV959" s="92"/>
      <c r="CW959" s="92"/>
      <c r="CX959" s="85"/>
      <c r="CY959" s="85"/>
      <c r="CZ959" s="85"/>
      <c r="DA959" s="85"/>
      <c r="DB959" s="85"/>
      <c r="DC959" s="85"/>
      <c r="DD959" s="85"/>
      <c r="DE959" s="85"/>
      <c r="DF959" s="85"/>
      <c r="DG959" s="85"/>
      <c r="DH959" s="85"/>
      <c r="DI959" s="85"/>
      <c r="DJ959" s="85"/>
      <c r="DK959" s="85"/>
      <c r="DL959" s="85"/>
      <c r="DM959" s="85"/>
      <c r="DN959" s="85"/>
      <c r="DO959" s="85"/>
      <c r="DP959" s="85"/>
    </row>
    <row r="960">
      <c r="A960" s="91"/>
      <c r="B960" s="91"/>
      <c r="C960" s="91"/>
      <c r="D960" s="91"/>
      <c r="E960" s="78"/>
      <c r="F960" s="15"/>
      <c r="G960" s="15"/>
      <c r="H960" s="91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/>
      <c r="BB960" s="15"/>
      <c r="BC960" s="15"/>
      <c r="BD960" s="15"/>
      <c r="BE960" s="15"/>
      <c r="BF960" s="15"/>
      <c r="BG960" s="15"/>
      <c r="BH960" s="15"/>
      <c r="BI960" s="15"/>
      <c r="BJ960" s="15"/>
      <c r="BK960" s="15"/>
      <c r="BL960" s="15"/>
      <c r="BM960" s="15"/>
      <c r="BN960" s="92"/>
      <c r="BO960" s="92"/>
      <c r="BP960" s="92"/>
      <c r="BQ960" s="92"/>
      <c r="BR960" s="92"/>
      <c r="BS960" s="92"/>
      <c r="BT960" s="92"/>
      <c r="BU960" s="92"/>
      <c r="BV960" s="92"/>
      <c r="BW960" s="92"/>
      <c r="BX960" s="92"/>
      <c r="BY960" s="92"/>
      <c r="BZ960" s="92"/>
      <c r="CA960" s="92"/>
      <c r="CB960" s="92"/>
      <c r="CC960" s="92"/>
      <c r="CD960" s="92"/>
      <c r="CE960" s="92"/>
      <c r="CF960" s="92"/>
      <c r="CG960" s="92"/>
      <c r="CH960" s="92"/>
      <c r="CI960" s="92"/>
      <c r="CJ960" s="92"/>
      <c r="CK960" s="92"/>
      <c r="CL960" s="92"/>
      <c r="CM960" s="92"/>
      <c r="CN960" s="92"/>
      <c r="CO960" s="92"/>
      <c r="CP960" s="92"/>
      <c r="CQ960" s="92"/>
      <c r="CR960" s="92"/>
      <c r="CS960" s="92"/>
      <c r="CT960" s="92"/>
      <c r="CU960" s="92"/>
      <c r="CV960" s="92"/>
      <c r="CW960" s="92"/>
      <c r="CX960" s="85"/>
      <c r="CY960" s="85"/>
      <c r="CZ960" s="85"/>
      <c r="DA960" s="85"/>
      <c r="DB960" s="85"/>
      <c r="DC960" s="85"/>
      <c r="DD960" s="85"/>
      <c r="DE960" s="85"/>
      <c r="DF960" s="85"/>
      <c r="DG960" s="85"/>
      <c r="DH960" s="85"/>
      <c r="DI960" s="85"/>
      <c r="DJ960" s="85"/>
      <c r="DK960" s="85"/>
      <c r="DL960" s="85"/>
      <c r="DM960" s="85"/>
      <c r="DN960" s="85"/>
      <c r="DO960" s="85"/>
      <c r="DP960" s="85"/>
    </row>
    <row r="961">
      <c r="A961" s="91"/>
      <c r="B961" s="91"/>
      <c r="C961" s="91"/>
      <c r="D961" s="91"/>
      <c r="E961" s="78"/>
      <c r="F961" s="15"/>
      <c r="G961" s="15"/>
      <c r="H961" s="91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  <c r="BC961" s="15"/>
      <c r="BD961" s="15"/>
      <c r="BE961" s="15"/>
      <c r="BF961" s="15"/>
      <c r="BG961" s="15"/>
      <c r="BH961" s="15"/>
      <c r="BI961" s="15"/>
      <c r="BJ961" s="15"/>
      <c r="BK961" s="15"/>
      <c r="BL961" s="15"/>
      <c r="BM961" s="15"/>
      <c r="BN961" s="92"/>
      <c r="BO961" s="92"/>
      <c r="BP961" s="92"/>
      <c r="BQ961" s="92"/>
      <c r="BR961" s="92"/>
      <c r="BS961" s="92"/>
      <c r="BT961" s="92"/>
      <c r="BU961" s="92"/>
      <c r="BV961" s="92"/>
      <c r="BW961" s="92"/>
      <c r="BX961" s="92"/>
      <c r="BY961" s="92"/>
      <c r="BZ961" s="92"/>
      <c r="CA961" s="92"/>
      <c r="CB961" s="92"/>
      <c r="CC961" s="92"/>
      <c r="CD961" s="92"/>
      <c r="CE961" s="92"/>
      <c r="CF961" s="92"/>
      <c r="CG961" s="92"/>
      <c r="CH961" s="92"/>
      <c r="CI961" s="92"/>
      <c r="CJ961" s="92"/>
      <c r="CK961" s="92"/>
      <c r="CL961" s="92"/>
      <c r="CM961" s="92"/>
      <c r="CN961" s="92"/>
      <c r="CO961" s="92"/>
      <c r="CP961" s="92"/>
      <c r="CQ961" s="92"/>
      <c r="CR961" s="92"/>
      <c r="CS961" s="92"/>
      <c r="CT961" s="92"/>
      <c r="CU961" s="92"/>
      <c r="CV961" s="92"/>
      <c r="CW961" s="92"/>
      <c r="CX961" s="85"/>
      <c r="CY961" s="85"/>
      <c r="CZ961" s="85"/>
      <c r="DA961" s="85"/>
      <c r="DB961" s="85"/>
      <c r="DC961" s="85"/>
      <c r="DD961" s="85"/>
      <c r="DE961" s="85"/>
      <c r="DF961" s="85"/>
      <c r="DG961" s="85"/>
      <c r="DH961" s="85"/>
      <c r="DI961" s="85"/>
      <c r="DJ961" s="85"/>
      <c r="DK961" s="85"/>
      <c r="DL961" s="85"/>
      <c r="DM961" s="85"/>
      <c r="DN961" s="85"/>
      <c r="DO961" s="85"/>
      <c r="DP961" s="85"/>
    </row>
    <row r="962">
      <c r="A962" s="91"/>
      <c r="B962" s="91"/>
      <c r="C962" s="91"/>
      <c r="D962" s="91"/>
      <c r="E962" s="78"/>
      <c r="F962" s="15"/>
      <c r="G962" s="15"/>
      <c r="H962" s="91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  <c r="BA962" s="15"/>
      <c r="BB962" s="15"/>
      <c r="BC962" s="15"/>
      <c r="BD962" s="15"/>
      <c r="BE962" s="15"/>
      <c r="BF962" s="15"/>
      <c r="BG962" s="15"/>
      <c r="BH962" s="15"/>
      <c r="BI962" s="15"/>
      <c r="BJ962" s="15"/>
      <c r="BK962" s="15"/>
      <c r="BL962" s="15"/>
      <c r="BM962" s="15"/>
      <c r="BN962" s="92"/>
      <c r="BO962" s="92"/>
      <c r="BP962" s="92"/>
      <c r="BQ962" s="92"/>
      <c r="BR962" s="92"/>
      <c r="BS962" s="92"/>
      <c r="BT962" s="92"/>
      <c r="BU962" s="92"/>
      <c r="BV962" s="92"/>
      <c r="BW962" s="92"/>
      <c r="BX962" s="92"/>
      <c r="BY962" s="92"/>
      <c r="BZ962" s="92"/>
      <c r="CA962" s="92"/>
      <c r="CB962" s="92"/>
      <c r="CC962" s="92"/>
      <c r="CD962" s="92"/>
      <c r="CE962" s="92"/>
      <c r="CF962" s="92"/>
      <c r="CG962" s="92"/>
      <c r="CH962" s="92"/>
      <c r="CI962" s="92"/>
      <c r="CJ962" s="92"/>
      <c r="CK962" s="92"/>
      <c r="CL962" s="92"/>
      <c r="CM962" s="92"/>
      <c r="CN962" s="92"/>
      <c r="CO962" s="92"/>
      <c r="CP962" s="92"/>
      <c r="CQ962" s="92"/>
      <c r="CR962" s="92"/>
      <c r="CS962" s="92"/>
      <c r="CT962" s="92"/>
      <c r="CU962" s="92"/>
      <c r="CV962" s="92"/>
      <c r="CW962" s="92"/>
      <c r="CX962" s="85"/>
      <c r="CY962" s="85"/>
      <c r="CZ962" s="85"/>
      <c r="DA962" s="85"/>
      <c r="DB962" s="85"/>
      <c r="DC962" s="85"/>
      <c r="DD962" s="85"/>
      <c r="DE962" s="85"/>
      <c r="DF962" s="85"/>
      <c r="DG962" s="85"/>
      <c r="DH962" s="85"/>
      <c r="DI962" s="85"/>
      <c r="DJ962" s="85"/>
      <c r="DK962" s="85"/>
      <c r="DL962" s="85"/>
      <c r="DM962" s="85"/>
      <c r="DN962" s="85"/>
      <c r="DO962" s="85"/>
      <c r="DP962" s="85"/>
    </row>
    <row r="963">
      <c r="A963" s="91"/>
      <c r="B963" s="91"/>
      <c r="C963" s="91"/>
      <c r="D963" s="91"/>
      <c r="E963" s="78"/>
      <c r="F963" s="15"/>
      <c r="G963" s="15"/>
      <c r="H963" s="91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  <c r="BB963" s="15"/>
      <c r="BC963" s="15"/>
      <c r="BD963" s="15"/>
      <c r="BE963" s="15"/>
      <c r="BF963" s="15"/>
      <c r="BG963" s="15"/>
      <c r="BH963" s="15"/>
      <c r="BI963" s="15"/>
      <c r="BJ963" s="15"/>
      <c r="BK963" s="15"/>
      <c r="BL963" s="15"/>
      <c r="BM963" s="15"/>
      <c r="BN963" s="92"/>
      <c r="BO963" s="92"/>
      <c r="BP963" s="92"/>
      <c r="BQ963" s="92"/>
      <c r="BR963" s="92"/>
      <c r="BS963" s="92"/>
      <c r="BT963" s="92"/>
      <c r="BU963" s="92"/>
      <c r="BV963" s="92"/>
      <c r="BW963" s="92"/>
      <c r="BX963" s="92"/>
      <c r="BY963" s="92"/>
      <c r="BZ963" s="92"/>
      <c r="CA963" s="92"/>
      <c r="CB963" s="92"/>
      <c r="CC963" s="92"/>
      <c r="CD963" s="92"/>
      <c r="CE963" s="92"/>
      <c r="CF963" s="92"/>
      <c r="CG963" s="92"/>
      <c r="CH963" s="92"/>
      <c r="CI963" s="92"/>
      <c r="CJ963" s="92"/>
      <c r="CK963" s="92"/>
      <c r="CL963" s="92"/>
      <c r="CM963" s="92"/>
      <c r="CN963" s="92"/>
      <c r="CO963" s="92"/>
      <c r="CP963" s="92"/>
      <c r="CQ963" s="92"/>
      <c r="CR963" s="92"/>
      <c r="CS963" s="92"/>
      <c r="CT963" s="92"/>
      <c r="CU963" s="92"/>
      <c r="CV963" s="92"/>
      <c r="CW963" s="92"/>
      <c r="CX963" s="85"/>
      <c r="CY963" s="85"/>
      <c r="CZ963" s="85"/>
      <c r="DA963" s="85"/>
      <c r="DB963" s="85"/>
      <c r="DC963" s="85"/>
      <c r="DD963" s="85"/>
      <c r="DE963" s="85"/>
      <c r="DF963" s="85"/>
      <c r="DG963" s="85"/>
      <c r="DH963" s="85"/>
      <c r="DI963" s="85"/>
      <c r="DJ963" s="85"/>
      <c r="DK963" s="85"/>
      <c r="DL963" s="85"/>
      <c r="DM963" s="85"/>
      <c r="DN963" s="85"/>
      <c r="DO963" s="85"/>
      <c r="DP963" s="85"/>
    </row>
    <row r="964">
      <c r="A964" s="91"/>
      <c r="B964" s="91"/>
      <c r="C964" s="91"/>
      <c r="D964" s="91"/>
      <c r="E964" s="78"/>
      <c r="F964" s="15"/>
      <c r="G964" s="15"/>
      <c r="H964" s="91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  <c r="BB964" s="15"/>
      <c r="BC964" s="15"/>
      <c r="BD964" s="15"/>
      <c r="BE964" s="15"/>
      <c r="BF964" s="15"/>
      <c r="BG964" s="15"/>
      <c r="BH964" s="15"/>
      <c r="BI964" s="15"/>
      <c r="BJ964" s="15"/>
      <c r="BK964" s="15"/>
      <c r="BL964" s="15"/>
      <c r="BM964" s="15"/>
      <c r="BN964" s="92"/>
      <c r="BO964" s="92"/>
      <c r="BP964" s="92"/>
      <c r="BQ964" s="92"/>
      <c r="BR964" s="92"/>
      <c r="BS964" s="92"/>
      <c r="BT964" s="92"/>
      <c r="BU964" s="92"/>
      <c r="BV964" s="92"/>
      <c r="BW964" s="92"/>
      <c r="BX964" s="92"/>
      <c r="BY964" s="92"/>
      <c r="BZ964" s="92"/>
      <c r="CA964" s="92"/>
      <c r="CB964" s="92"/>
      <c r="CC964" s="92"/>
      <c r="CD964" s="92"/>
      <c r="CE964" s="92"/>
      <c r="CF964" s="92"/>
      <c r="CG964" s="92"/>
      <c r="CH964" s="92"/>
      <c r="CI964" s="92"/>
      <c r="CJ964" s="92"/>
      <c r="CK964" s="92"/>
      <c r="CL964" s="92"/>
      <c r="CM964" s="92"/>
      <c r="CN964" s="92"/>
      <c r="CO964" s="92"/>
      <c r="CP964" s="92"/>
      <c r="CQ964" s="92"/>
      <c r="CR964" s="92"/>
      <c r="CS964" s="92"/>
      <c r="CT964" s="92"/>
      <c r="CU964" s="92"/>
      <c r="CV964" s="92"/>
      <c r="CW964" s="92"/>
      <c r="CX964" s="85"/>
      <c r="CY964" s="85"/>
      <c r="CZ964" s="85"/>
      <c r="DA964" s="85"/>
      <c r="DB964" s="85"/>
      <c r="DC964" s="85"/>
      <c r="DD964" s="85"/>
      <c r="DE964" s="85"/>
      <c r="DF964" s="85"/>
      <c r="DG964" s="85"/>
      <c r="DH964" s="85"/>
      <c r="DI964" s="85"/>
      <c r="DJ964" s="85"/>
      <c r="DK964" s="85"/>
      <c r="DL964" s="85"/>
      <c r="DM964" s="85"/>
      <c r="DN964" s="85"/>
      <c r="DO964" s="85"/>
      <c r="DP964" s="85"/>
    </row>
    <row r="965">
      <c r="A965" s="91"/>
      <c r="B965" s="91"/>
      <c r="C965" s="91"/>
      <c r="D965" s="91"/>
      <c r="E965" s="78"/>
      <c r="F965" s="15"/>
      <c r="G965" s="15"/>
      <c r="H965" s="91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  <c r="BC965" s="15"/>
      <c r="BD965" s="15"/>
      <c r="BE965" s="15"/>
      <c r="BF965" s="15"/>
      <c r="BG965" s="15"/>
      <c r="BH965" s="15"/>
      <c r="BI965" s="15"/>
      <c r="BJ965" s="15"/>
      <c r="BK965" s="15"/>
      <c r="BL965" s="15"/>
      <c r="BM965" s="15"/>
      <c r="BN965" s="92"/>
      <c r="BO965" s="92"/>
      <c r="BP965" s="92"/>
      <c r="BQ965" s="92"/>
      <c r="BR965" s="92"/>
      <c r="BS965" s="92"/>
      <c r="BT965" s="92"/>
      <c r="BU965" s="92"/>
      <c r="BV965" s="92"/>
      <c r="BW965" s="92"/>
      <c r="BX965" s="92"/>
      <c r="BY965" s="92"/>
      <c r="BZ965" s="92"/>
      <c r="CA965" s="92"/>
      <c r="CB965" s="92"/>
      <c r="CC965" s="92"/>
      <c r="CD965" s="92"/>
      <c r="CE965" s="92"/>
      <c r="CF965" s="92"/>
      <c r="CG965" s="92"/>
      <c r="CH965" s="92"/>
      <c r="CI965" s="92"/>
      <c r="CJ965" s="92"/>
      <c r="CK965" s="92"/>
      <c r="CL965" s="92"/>
      <c r="CM965" s="92"/>
      <c r="CN965" s="92"/>
      <c r="CO965" s="92"/>
      <c r="CP965" s="92"/>
      <c r="CQ965" s="92"/>
      <c r="CR965" s="92"/>
      <c r="CS965" s="92"/>
      <c r="CT965" s="92"/>
      <c r="CU965" s="92"/>
      <c r="CV965" s="92"/>
      <c r="CW965" s="92"/>
      <c r="CX965" s="85"/>
      <c r="CY965" s="85"/>
      <c r="CZ965" s="85"/>
      <c r="DA965" s="85"/>
      <c r="DB965" s="85"/>
      <c r="DC965" s="85"/>
      <c r="DD965" s="85"/>
      <c r="DE965" s="85"/>
      <c r="DF965" s="85"/>
      <c r="DG965" s="85"/>
      <c r="DH965" s="85"/>
      <c r="DI965" s="85"/>
      <c r="DJ965" s="85"/>
      <c r="DK965" s="85"/>
      <c r="DL965" s="85"/>
      <c r="DM965" s="85"/>
      <c r="DN965" s="85"/>
      <c r="DO965" s="85"/>
      <c r="DP965" s="85"/>
    </row>
    <row r="966">
      <c r="A966" s="91"/>
      <c r="B966" s="91"/>
      <c r="C966" s="91"/>
      <c r="D966" s="91"/>
      <c r="E966" s="78"/>
      <c r="F966" s="15"/>
      <c r="G966" s="15"/>
      <c r="H966" s="91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  <c r="BB966" s="15"/>
      <c r="BC966" s="15"/>
      <c r="BD966" s="15"/>
      <c r="BE966" s="15"/>
      <c r="BF966" s="15"/>
      <c r="BG966" s="15"/>
      <c r="BH966" s="15"/>
      <c r="BI966" s="15"/>
      <c r="BJ966" s="15"/>
      <c r="BK966" s="15"/>
      <c r="BL966" s="15"/>
      <c r="BM966" s="15"/>
      <c r="BN966" s="92"/>
      <c r="BO966" s="92"/>
      <c r="BP966" s="92"/>
      <c r="BQ966" s="92"/>
      <c r="BR966" s="92"/>
      <c r="BS966" s="92"/>
      <c r="BT966" s="92"/>
      <c r="BU966" s="92"/>
      <c r="BV966" s="92"/>
      <c r="BW966" s="92"/>
      <c r="BX966" s="92"/>
      <c r="BY966" s="92"/>
      <c r="BZ966" s="92"/>
      <c r="CA966" s="92"/>
      <c r="CB966" s="92"/>
      <c r="CC966" s="92"/>
      <c r="CD966" s="92"/>
      <c r="CE966" s="92"/>
      <c r="CF966" s="92"/>
      <c r="CG966" s="92"/>
      <c r="CH966" s="92"/>
      <c r="CI966" s="92"/>
      <c r="CJ966" s="92"/>
      <c r="CK966" s="92"/>
      <c r="CL966" s="92"/>
      <c r="CM966" s="92"/>
      <c r="CN966" s="92"/>
      <c r="CO966" s="92"/>
      <c r="CP966" s="92"/>
      <c r="CQ966" s="92"/>
      <c r="CR966" s="92"/>
      <c r="CS966" s="92"/>
      <c r="CT966" s="92"/>
      <c r="CU966" s="92"/>
      <c r="CV966" s="92"/>
      <c r="CW966" s="92"/>
      <c r="CX966" s="85"/>
      <c r="CY966" s="85"/>
      <c r="CZ966" s="85"/>
      <c r="DA966" s="85"/>
      <c r="DB966" s="85"/>
      <c r="DC966" s="85"/>
      <c r="DD966" s="85"/>
      <c r="DE966" s="85"/>
      <c r="DF966" s="85"/>
      <c r="DG966" s="85"/>
      <c r="DH966" s="85"/>
      <c r="DI966" s="85"/>
      <c r="DJ966" s="85"/>
      <c r="DK966" s="85"/>
      <c r="DL966" s="85"/>
      <c r="DM966" s="85"/>
      <c r="DN966" s="85"/>
      <c r="DO966" s="85"/>
      <c r="DP966" s="85"/>
    </row>
    <row r="967">
      <c r="A967" s="91"/>
      <c r="B967" s="91"/>
      <c r="C967" s="91"/>
      <c r="D967" s="91"/>
      <c r="E967" s="78"/>
      <c r="F967" s="15"/>
      <c r="G967" s="15"/>
      <c r="H967" s="91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  <c r="BC967" s="15"/>
      <c r="BD967" s="15"/>
      <c r="BE967" s="15"/>
      <c r="BF967" s="15"/>
      <c r="BG967" s="15"/>
      <c r="BH967" s="15"/>
      <c r="BI967" s="15"/>
      <c r="BJ967" s="15"/>
      <c r="BK967" s="15"/>
      <c r="BL967" s="15"/>
      <c r="BM967" s="15"/>
      <c r="BN967" s="92"/>
      <c r="BO967" s="92"/>
      <c r="BP967" s="92"/>
      <c r="BQ967" s="92"/>
      <c r="BR967" s="92"/>
      <c r="BS967" s="92"/>
      <c r="BT967" s="92"/>
      <c r="BU967" s="92"/>
      <c r="BV967" s="92"/>
      <c r="BW967" s="92"/>
      <c r="BX967" s="92"/>
      <c r="BY967" s="92"/>
      <c r="BZ967" s="92"/>
      <c r="CA967" s="92"/>
      <c r="CB967" s="92"/>
      <c r="CC967" s="92"/>
      <c r="CD967" s="92"/>
      <c r="CE967" s="92"/>
      <c r="CF967" s="92"/>
      <c r="CG967" s="92"/>
      <c r="CH967" s="92"/>
      <c r="CI967" s="92"/>
      <c r="CJ967" s="92"/>
      <c r="CK967" s="92"/>
      <c r="CL967" s="92"/>
      <c r="CM967" s="92"/>
      <c r="CN967" s="92"/>
      <c r="CO967" s="92"/>
      <c r="CP967" s="92"/>
      <c r="CQ967" s="92"/>
      <c r="CR967" s="92"/>
      <c r="CS967" s="92"/>
      <c r="CT967" s="92"/>
      <c r="CU967" s="92"/>
      <c r="CV967" s="92"/>
      <c r="CW967" s="92"/>
      <c r="CX967" s="85"/>
      <c r="CY967" s="85"/>
      <c r="CZ967" s="85"/>
      <c r="DA967" s="85"/>
      <c r="DB967" s="85"/>
      <c r="DC967" s="85"/>
      <c r="DD967" s="85"/>
      <c r="DE967" s="85"/>
      <c r="DF967" s="85"/>
      <c r="DG967" s="85"/>
      <c r="DH967" s="85"/>
      <c r="DI967" s="85"/>
      <c r="DJ967" s="85"/>
      <c r="DK967" s="85"/>
      <c r="DL967" s="85"/>
      <c r="DM967" s="85"/>
      <c r="DN967" s="85"/>
      <c r="DO967" s="85"/>
      <c r="DP967" s="85"/>
    </row>
    <row r="968">
      <c r="A968" s="91"/>
      <c r="B968" s="91"/>
      <c r="C968" s="91"/>
      <c r="D968" s="91"/>
      <c r="E968" s="78"/>
      <c r="F968" s="15"/>
      <c r="G968" s="15"/>
      <c r="H968" s="91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  <c r="BB968" s="15"/>
      <c r="BC968" s="15"/>
      <c r="BD968" s="15"/>
      <c r="BE968" s="15"/>
      <c r="BF968" s="15"/>
      <c r="BG968" s="15"/>
      <c r="BH968" s="15"/>
      <c r="BI968" s="15"/>
      <c r="BJ968" s="15"/>
      <c r="BK968" s="15"/>
      <c r="BL968" s="15"/>
      <c r="BM968" s="15"/>
      <c r="BN968" s="92"/>
      <c r="BO968" s="92"/>
      <c r="BP968" s="92"/>
      <c r="BQ968" s="92"/>
      <c r="BR968" s="92"/>
      <c r="BS968" s="92"/>
      <c r="BT968" s="92"/>
      <c r="BU968" s="92"/>
      <c r="BV968" s="92"/>
      <c r="BW968" s="92"/>
      <c r="BX968" s="92"/>
      <c r="BY968" s="92"/>
      <c r="BZ968" s="92"/>
      <c r="CA968" s="92"/>
      <c r="CB968" s="92"/>
      <c r="CC968" s="92"/>
      <c r="CD968" s="92"/>
      <c r="CE968" s="92"/>
      <c r="CF968" s="92"/>
      <c r="CG968" s="92"/>
      <c r="CH968" s="92"/>
      <c r="CI968" s="92"/>
      <c r="CJ968" s="92"/>
      <c r="CK968" s="92"/>
      <c r="CL968" s="92"/>
      <c r="CM968" s="92"/>
      <c r="CN968" s="92"/>
      <c r="CO968" s="92"/>
      <c r="CP968" s="92"/>
      <c r="CQ968" s="92"/>
      <c r="CR968" s="92"/>
      <c r="CS968" s="92"/>
      <c r="CT968" s="92"/>
      <c r="CU968" s="92"/>
      <c r="CV968" s="92"/>
      <c r="CW968" s="92"/>
      <c r="CX968" s="85"/>
      <c r="CY968" s="85"/>
      <c r="CZ968" s="85"/>
      <c r="DA968" s="85"/>
      <c r="DB968" s="85"/>
      <c r="DC968" s="85"/>
      <c r="DD968" s="85"/>
      <c r="DE968" s="85"/>
      <c r="DF968" s="85"/>
      <c r="DG968" s="85"/>
      <c r="DH968" s="85"/>
      <c r="DI968" s="85"/>
      <c r="DJ968" s="85"/>
      <c r="DK968" s="85"/>
      <c r="DL968" s="85"/>
      <c r="DM968" s="85"/>
      <c r="DN968" s="85"/>
      <c r="DO968" s="85"/>
      <c r="DP968" s="85"/>
    </row>
    <row r="969">
      <c r="A969" s="91"/>
      <c r="B969" s="91"/>
      <c r="C969" s="91"/>
      <c r="D969" s="91"/>
      <c r="E969" s="78"/>
      <c r="F969" s="15"/>
      <c r="G969" s="15"/>
      <c r="H969" s="91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  <c r="BC969" s="15"/>
      <c r="BD969" s="15"/>
      <c r="BE969" s="15"/>
      <c r="BF969" s="15"/>
      <c r="BG969" s="15"/>
      <c r="BH969" s="15"/>
      <c r="BI969" s="15"/>
      <c r="BJ969" s="15"/>
      <c r="BK969" s="15"/>
      <c r="BL969" s="15"/>
      <c r="BM969" s="15"/>
      <c r="BN969" s="92"/>
      <c r="BO969" s="92"/>
      <c r="BP969" s="92"/>
      <c r="BQ969" s="92"/>
      <c r="BR969" s="92"/>
      <c r="BS969" s="92"/>
      <c r="BT969" s="92"/>
      <c r="BU969" s="92"/>
      <c r="BV969" s="92"/>
      <c r="BW969" s="92"/>
      <c r="BX969" s="92"/>
      <c r="BY969" s="92"/>
      <c r="BZ969" s="92"/>
      <c r="CA969" s="92"/>
      <c r="CB969" s="92"/>
      <c r="CC969" s="92"/>
      <c r="CD969" s="92"/>
      <c r="CE969" s="92"/>
      <c r="CF969" s="92"/>
      <c r="CG969" s="92"/>
      <c r="CH969" s="92"/>
      <c r="CI969" s="92"/>
      <c r="CJ969" s="92"/>
      <c r="CK969" s="92"/>
      <c r="CL969" s="92"/>
      <c r="CM969" s="92"/>
      <c r="CN969" s="92"/>
      <c r="CO969" s="92"/>
      <c r="CP969" s="92"/>
      <c r="CQ969" s="92"/>
      <c r="CR969" s="92"/>
      <c r="CS969" s="92"/>
      <c r="CT969" s="92"/>
      <c r="CU969" s="92"/>
      <c r="CV969" s="92"/>
      <c r="CW969" s="92"/>
      <c r="CX969" s="85"/>
      <c r="CY969" s="85"/>
      <c r="CZ969" s="85"/>
      <c r="DA969" s="85"/>
      <c r="DB969" s="85"/>
      <c r="DC969" s="85"/>
      <c r="DD969" s="85"/>
      <c r="DE969" s="85"/>
      <c r="DF969" s="85"/>
      <c r="DG969" s="85"/>
      <c r="DH969" s="85"/>
      <c r="DI969" s="85"/>
      <c r="DJ969" s="85"/>
      <c r="DK969" s="85"/>
      <c r="DL969" s="85"/>
      <c r="DM969" s="85"/>
      <c r="DN969" s="85"/>
      <c r="DO969" s="85"/>
      <c r="DP969" s="85"/>
    </row>
    <row r="970">
      <c r="A970" s="91"/>
      <c r="B970" s="91"/>
      <c r="C970" s="91"/>
      <c r="D970" s="91"/>
      <c r="E970" s="78"/>
      <c r="F970" s="15"/>
      <c r="G970" s="15"/>
      <c r="H970" s="91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  <c r="BB970" s="15"/>
      <c r="BC970" s="15"/>
      <c r="BD970" s="15"/>
      <c r="BE970" s="15"/>
      <c r="BF970" s="15"/>
      <c r="BG970" s="15"/>
      <c r="BH970" s="15"/>
      <c r="BI970" s="15"/>
      <c r="BJ970" s="15"/>
      <c r="BK970" s="15"/>
      <c r="BL970" s="15"/>
      <c r="BM970" s="15"/>
      <c r="BN970" s="92"/>
      <c r="BO970" s="92"/>
      <c r="BP970" s="92"/>
      <c r="BQ970" s="92"/>
      <c r="BR970" s="92"/>
      <c r="BS970" s="92"/>
      <c r="BT970" s="92"/>
      <c r="BU970" s="92"/>
      <c r="BV970" s="92"/>
      <c r="BW970" s="92"/>
      <c r="BX970" s="92"/>
      <c r="BY970" s="92"/>
      <c r="BZ970" s="92"/>
      <c r="CA970" s="92"/>
      <c r="CB970" s="92"/>
      <c r="CC970" s="92"/>
      <c r="CD970" s="92"/>
      <c r="CE970" s="92"/>
      <c r="CF970" s="92"/>
      <c r="CG970" s="92"/>
      <c r="CH970" s="92"/>
      <c r="CI970" s="92"/>
      <c r="CJ970" s="92"/>
      <c r="CK970" s="92"/>
      <c r="CL970" s="92"/>
      <c r="CM970" s="92"/>
      <c r="CN970" s="92"/>
      <c r="CO970" s="92"/>
      <c r="CP970" s="92"/>
      <c r="CQ970" s="92"/>
      <c r="CR970" s="92"/>
      <c r="CS970" s="92"/>
      <c r="CT970" s="92"/>
      <c r="CU970" s="92"/>
      <c r="CV970" s="92"/>
      <c r="CW970" s="92"/>
      <c r="CX970" s="85"/>
      <c r="CY970" s="85"/>
      <c r="CZ970" s="85"/>
      <c r="DA970" s="85"/>
      <c r="DB970" s="85"/>
      <c r="DC970" s="85"/>
      <c r="DD970" s="85"/>
      <c r="DE970" s="85"/>
      <c r="DF970" s="85"/>
      <c r="DG970" s="85"/>
      <c r="DH970" s="85"/>
      <c r="DI970" s="85"/>
      <c r="DJ970" s="85"/>
      <c r="DK970" s="85"/>
      <c r="DL970" s="85"/>
      <c r="DM970" s="85"/>
      <c r="DN970" s="85"/>
      <c r="DO970" s="85"/>
      <c r="DP970" s="85"/>
    </row>
    <row r="971">
      <c r="A971" s="91"/>
      <c r="B971" s="91"/>
      <c r="C971" s="91"/>
      <c r="D971" s="91"/>
      <c r="E971" s="78"/>
      <c r="F971" s="15"/>
      <c r="G971" s="15"/>
      <c r="H971" s="91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  <c r="BC971" s="15"/>
      <c r="BD971" s="15"/>
      <c r="BE971" s="15"/>
      <c r="BF971" s="15"/>
      <c r="BG971" s="15"/>
      <c r="BH971" s="15"/>
      <c r="BI971" s="15"/>
      <c r="BJ971" s="15"/>
      <c r="BK971" s="15"/>
      <c r="BL971" s="15"/>
      <c r="BM971" s="15"/>
      <c r="BN971" s="92"/>
      <c r="BO971" s="92"/>
      <c r="BP971" s="92"/>
      <c r="BQ971" s="92"/>
      <c r="BR971" s="92"/>
      <c r="BS971" s="92"/>
      <c r="BT971" s="92"/>
      <c r="BU971" s="92"/>
      <c r="BV971" s="92"/>
      <c r="BW971" s="92"/>
      <c r="BX971" s="92"/>
      <c r="BY971" s="92"/>
      <c r="BZ971" s="92"/>
      <c r="CA971" s="92"/>
      <c r="CB971" s="92"/>
      <c r="CC971" s="92"/>
      <c r="CD971" s="92"/>
      <c r="CE971" s="92"/>
      <c r="CF971" s="92"/>
      <c r="CG971" s="92"/>
      <c r="CH971" s="92"/>
      <c r="CI971" s="92"/>
      <c r="CJ971" s="92"/>
      <c r="CK971" s="92"/>
      <c r="CL971" s="92"/>
      <c r="CM971" s="92"/>
      <c r="CN971" s="92"/>
      <c r="CO971" s="92"/>
      <c r="CP971" s="92"/>
      <c r="CQ971" s="92"/>
      <c r="CR971" s="92"/>
      <c r="CS971" s="92"/>
      <c r="CT971" s="92"/>
      <c r="CU971" s="92"/>
      <c r="CV971" s="92"/>
      <c r="CW971" s="92"/>
      <c r="CX971" s="85"/>
      <c r="CY971" s="85"/>
      <c r="CZ971" s="85"/>
      <c r="DA971" s="85"/>
      <c r="DB971" s="85"/>
      <c r="DC971" s="85"/>
      <c r="DD971" s="85"/>
      <c r="DE971" s="85"/>
      <c r="DF971" s="85"/>
      <c r="DG971" s="85"/>
      <c r="DH971" s="85"/>
      <c r="DI971" s="85"/>
      <c r="DJ971" s="85"/>
      <c r="DK971" s="85"/>
      <c r="DL971" s="85"/>
      <c r="DM971" s="85"/>
      <c r="DN971" s="85"/>
      <c r="DO971" s="85"/>
      <c r="DP971" s="85"/>
    </row>
    <row r="972">
      <c r="A972" s="91"/>
      <c r="B972" s="91"/>
      <c r="C972" s="91"/>
      <c r="D972" s="91"/>
      <c r="E972" s="78"/>
      <c r="F972" s="15"/>
      <c r="G972" s="15"/>
      <c r="H972" s="91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  <c r="BB972" s="15"/>
      <c r="BC972" s="15"/>
      <c r="BD972" s="15"/>
      <c r="BE972" s="15"/>
      <c r="BF972" s="15"/>
      <c r="BG972" s="15"/>
      <c r="BH972" s="15"/>
      <c r="BI972" s="15"/>
      <c r="BJ972" s="15"/>
      <c r="BK972" s="15"/>
      <c r="BL972" s="15"/>
      <c r="BM972" s="15"/>
      <c r="BN972" s="92"/>
      <c r="BO972" s="92"/>
      <c r="BP972" s="92"/>
      <c r="BQ972" s="92"/>
      <c r="BR972" s="92"/>
      <c r="BS972" s="92"/>
      <c r="BT972" s="92"/>
      <c r="BU972" s="92"/>
      <c r="BV972" s="92"/>
      <c r="BW972" s="92"/>
      <c r="BX972" s="92"/>
      <c r="BY972" s="92"/>
      <c r="BZ972" s="92"/>
      <c r="CA972" s="92"/>
      <c r="CB972" s="92"/>
      <c r="CC972" s="92"/>
      <c r="CD972" s="92"/>
      <c r="CE972" s="92"/>
      <c r="CF972" s="92"/>
      <c r="CG972" s="92"/>
      <c r="CH972" s="92"/>
      <c r="CI972" s="92"/>
      <c r="CJ972" s="92"/>
      <c r="CK972" s="92"/>
      <c r="CL972" s="92"/>
      <c r="CM972" s="92"/>
      <c r="CN972" s="92"/>
      <c r="CO972" s="92"/>
      <c r="CP972" s="92"/>
      <c r="CQ972" s="92"/>
      <c r="CR972" s="92"/>
      <c r="CS972" s="92"/>
      <c r="CT972" s="92"/>
      <c r="CU972" s="92"/>
      <c r="CV972" s="92"/>
      <c r="CW972" s="92"/>
      <c r="CX972" s="85"/>
      <c r="CY972" s="85"/>
      <c r="CZ972" s="85"/>
      <c r="DA972" s="85"/>
      <c r="DB972" s="85"/>
      <c r="DC972" s="85"/>
      <c r="DD972" s="85"/>
      <c r="DE972" s="85"/>
      <c r="DF972" s="85"/>
      <c r="DG972" s="85"/>
      <c r="DH972" s="85"/>
      <c r="DI972" s="85"/>
      <c r="DJ972" s="85"/>
      <c r="DK972" s="85"/>
      <c r="DL972" s="85"/>
      <c r="DM972" s="85"/>
      <c r="DN972" s="85"/>
      <c r="DO972" s="85"/>
      <c r="DP972" s="85"/>
    </row>
    <row r="973">
      <c r="A973" s="91"/>
      <c r="B973" s="91"/>
      <c r="C973" s="91"/>
      <c r="D973" s="91"/>
      <c r="E973" s="78"/>
      <c r="F973" s="15"/>
      <c r="G973" s="15"/>
      <c r="H973" s="91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  <c r="BC973" s="15"/>
      <c r="BD973" s="15"/>
      <c r="BE973" s="15"/>
      <c r="BF973" s="15"/>
      <c r="BG973" s="15"/>
      <c r="BH973" s="15"/>
      <c r="BI973" s="15"/>
      <c r="BJ973" s="15"/>
      <c r="BK973" s="15"/>
      <c r="BL973" s="15"/>
      <c r="BM973" s="15"/>
      <c r="BN973" s="92"/>
      <c r="BO973" s="92"/>
      <c r="BP973" s="92"/>
      <c r="BQ973" s="92"/>
      <c r="BR973" s="92"/>
      <c r="BS973" s="92"/>
      <c r="BT973" s="92"/>
      <c r="BU973" s="92"/>
      <c r="BV973" s="92"/>
      <c r="BW973" s="92"/>
      <c r="BX973" s="92"/>
      <c r="BY973" s="92"/>
      <c r="BZ973" s="92"/>
      <c r="CA973" s="92"/>
      <c r="CB973" s="92"/>
      <c r="CC973" s="92"/>
      <c r="CD973" s="92"/>
      <c r="CE973" s="92"/>
      <c r="CF973" s="92"/>
      <c r="CG973" s="92"/>
      <c r="CH973" s="92"/>
      <c r="CI973" s="92"/>
      <c r="CJ973" s="92"/>
      <c r="CK973" s="92"/>
      <c r="CL973" s="92"/>
      <c r="CM973" s="92"/>
      <c r="CN973" s="92"/>
      <c r="CO973" s="92"/>
      <c r="CP973" s="92"/>
      <c r="CQ973" s="92"/>
      <c r="CR973" s="92"/>
      <c r="CS973" s="92"/>
      <c r="CT973" s="92"/>
      <c r="CU973" s="92"/>
      <c r="CV973" s="92"/>
      <c r="CW973" s="92"/>
      <c r="CX973" s="85"/>
      <c r="CY973" s="85"/>
      <c r="CZ973" s="85"/>
      <c r="DA973" s="85"/>
      <c r="DB973" s="85"/>
      <c r="DC973" s="85"/>
      <c r="DD973" s="85"/>
      <c r="DE973" s="85"/>
      <c r="DF973" s="85"/>
      <c r="DG973" s="85"/>
      <c r="DH973" s="85"/>
      <c r="DI973" s="85"/>
      <c r="DJ973" s="85"/>
      <c r="DK973" s="85"/>
      <c r="DL973" s="85"/>
      <c r="DM973" s="85"/>
      <c r="DN973" s="85"/>
      <c r="DO973" s="85"/>
      <c r="DP973" s="85"/>
    </row>
    <row r="974">
      <c r="A974" s="91"/>
      <c r="B974" s="91"/>
      <c r="C974" s="91"/>
      <c r="D974" s="91"/>
      <c r="E974" s="78"/>
      <c r="F974" s="15"/>
      <c r="G974" s="15"/>
      <c r="H974" s="91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  <c r="BC974" s="15"/>
      <c r="BD974" s="15"/>
      <c r="BE974" s="15"/>
      <c r="BF974" s="15"/>
      <c r="BG974" s="15"/>
      <c r="BH974" s="15"/>
      <c r="BI974" s="15"/>
      <c r="BJ974" s="15"/>
      <c r="BK974" s="15"/>
      <c r="BL974" s="15"/>
      <c r="BM974" s="15"/>
      <c r="BN974" s="92"/>
      <c r="BO974" s="92"/>
      <c r="BP974" s="92"/>
      <c r="BQ974" s="92"/>
      <c r="BR974" s="92"/>
      <c r="BS974" s="92"/>
      <c r="BT974" s="92"/>
      <c r="BU974" s="92"/>
      <c r="BV974" s="92"/>
      <c r="BW974" s="92"/>
      <c r="BX974" s="92"/>
      <c r="BY974" s="92"/>
      <c r="BZ974" s="92"/>
      <c r="CA974" s="92"/>
      <c r="CB974" s="92"/>
      <c r="CC974" s="92"/>
      <c r="CD974" s="92"/>
      <c r="CE974" s="92"/>
      <c r="CF974" s="92"/>
      <c r="CG974" s="92"/>
      <c r="CH974" s="92"/>
      <c r="CI974" s="92"/>
      <c r="CJ974" s="92"/>
      <c r="CK974" s="92"/>
      <c r="CL974" s="92"/>
      <c r="CM974" s="92"/>
      <c r="CN974" s="92"/>
      <c r="CO974" s="92"/>
      <c r="CP974" s="92"/>
      <c r="CQ974" s="92"/>
      <c r="CR974" s="92"/>
      <c r="CS974" s="92"/>
      <c r="CT974" s="92"/>
      <c r="CU974" s="92"/>
      <c r="CV974" s="92"/>
      <c r="CW974" s="92"/>
      <c r="CX974" s="85"/>
      <c r="CY974" s="85"/>
      <c r="CZ974" s="85"/>
      <c r="DA974" s="85"/>
      <c r="DB974" s="85"/>
      <c r="DC974" s="85"/>
      <c r="DD974" s="85"/>
      <c r="DE974" s="85"/>
      <c r="DF974" s="85"/>
      <c r="DG974" s="85"/>
      <c r="DH974" s="85"/>
      <c r="DI974" s="85"/>
      <c r="DJ974" s="85"/>
      <c r="DK974" s="85"/>
      <c r="DL974" s="85"/>
      <c r="DM974" s="85"/>
      <c r="DN974" s="85"/>
      <c r="DO974" s="85"/>
      <c r="DP974" s="85"/>
    </row>
    <row r="975">
      <c r="A975" s="91"/>
      <c r="B975" s="91"/>
      <c r="C975" s="91"/>
      <c r="D975" s="91"/>
      <c r="E975" s="78"/>
      <c r="F975" s="15"/>
      <c r="G975" s="15"/>
      <c r="H975" s="91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  <c r="BD975" s="15"/>
      <c r="BE975" s="15"/>
      <c r="BF975" s="15"/>
      <c r="BG975" s="15"/>
      <c r="BH975" s="15"/>
      <c r="BI975" s="15"/>
      <c r="BJ975" s="15"/>
      <c r="BK975" s="15"/>
      <c r="BL975" s="15"/>
      <c r="BM975" s="15"/>
      <c r="BN975" s="92"/>
      <c r="BO975" s="92"/>
      <c r="BP975" s="92"/>
      <c r="BQ975" s="92"/>
      <c r="BR975" s="92"/>
      <c r="BS975" s="92"/>
      <c r="BT975" s="92"/>
      <c r="BU975" s="92"/>
      <c r="BV975" s="92"/>
      <c r="BW975" s="92"/>
      <c r="BX975" s="92"/>
      <c r="BY975" s="92"/>
      <c r="BZ975" s="92"/>
      <c r="CA975" s="92"/>
      <c r="CB975" s="92"/>
      <c r="CC975" s="92"/>
      <c r="CD975" s="92"/>
      <c r="CE975" s="92"/>
      <c r="CF975" s="92"/>
      <c r="CG975" s="92"/>
      <c r="CH975" s="92"/>
      <c r="CI975" s="92"/>
      <c r="CJ975" s="92"/>
      <c r="CK975" s="92"/>
      <c r="CL975" s="92"/>
      <c r="CM975" s="92"/>
      <c r="CN975" s="92"/>
      <c r="CO975" s="92"/>
      <c r="CP975" s="92"/>
      <c r="CQ975" s="92"/>
      <c r="CR975" s="92"/>
      <c r="CS975" s="92"/>
      <c r="CT975" s="92"/>
      <c r="CU975" s="92"/>
      <c r="CV975" s="92"/>
      <c r="CW975" s="92"/>
      <c r="CX975" s="85"/>
      <c r="CY975" s="85"/>
      <c r="CZ975" s="85"/>
      <c r="DA975" s="85"/>
      <c r="DB975" s="85"/>
      <c r="DC975" s="85"/>
      <c r="DD975" s="85"/>
      <c r="DE975" s="85"/>
      <c r="DF975" s="85"/>
      <c r="DG975" s="85"/>
      <c r="DH975" s="85"/>
      <c r="DI975" s="85"/>
      <c r="DJ975" s="85"/>
      <c r="DK975" s="85"/>
      <c r="DL975" s="85"/>
      <c r="DM975" s="85"/>
      <c r="DN975" s="85"/>
      <c r="DO975" s="85"/>
      <c r="DP975" s="85"/>
    </row>
    <row r="976">
      <c r="A976" s="91"/>
      <c r="B976" s="91"/>
      <c r="C976" s="91"/>
      <c r="D976" s="91"/>
      <c r="E976" s="78"/>
      <c r="F976" s="15"/>
      <c r="G976" s="15"/>
      <c r="H976" s="91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  <c r="BB976" s="15"/>
      <c r="BC976" s="15"/>
      <c r="BD976" s="15"/>
      <c r="BE976" s="15"/>
      <c r="BF976" s="15"/>
      <c r="BG976" s="15"/>
      <c r="BH976" s="15"/>
      <c r="BI976" s="15"/>
      <c r="BJ976" s="15"/>
      <c r="BK976" s="15"/>
      <c r="BL976" s="15"/>
      <c r="BM976" s="15"/>
      <c r="BN976" s="92"/>
      <c r="BO976" s="92"/>
      <c r="BP976" s="92"/>
      <c r="BQ976" s="92"/>
      <c r="BR976" s="92"/>
      <c r="BS976" s="92"/>
      <c r="BT976" s="92"/>
      <c r="BU976" s="92"/>
      <c r="BV976" s="92"/>
      <c r="BW976" s="92"/>
      <c r="BX976" s="92"/>
      <c r="BY976" s="92"/>
      <c r="BZ976" s="92"/>
      <c r="CA976" s="92"/>
      <c r="CB976" s="92"/>
      <c r="CC976" s="92"/>
      <c r="CD976" s="92"/>
      <c r="CE976" s="92"/>
      <c r="CF976" s="92"/>
      <c r="CG976" s="92"/>
      <c r="CH976" s="92"/>
      <c r="CI976" s="92"/>
      <c r="CJ976" s="92"/>
      <c r="CK976" s="92"/>
      <c r="CL976" s="92"/>
      <c r="CM976" s="92"/>
      <c r="CN976" s="92"/>
      <c r="CO976" s="92"/>
      <c r="CP976" s="92"/>
      <c r="CQ976" s="92"/>
      <c r="CR976" s="92"/>
      <c r="CS976" s="92"/>
      <c r="CT976" s="92"/>
      <c r="CU976" s="92"/>
      <c r="CV976" s="92"/>
      <c r="CW976" s="92"/>
      <c r="CX976" s="85"/>
      <c r="CY976" s="85"/>
      <c r="CZ976" s="85"/>
      <c r="DA976" s="85"/>
      <c r="DB976" s="85"/>
      <c r="DC976" s="85"/>
      <c r="DD976" s="85"/>
      <c r="DE976" s="85"/>
      <c r="DF976" s="85"/>
      <c r="DG976" s="85"/>
      <c r="DH976" s="85"/>
      <c r="DI976" s="85"/>
      <c r="DJ976" s="85"/>
      <c r="DK976" s="85"/>
      <c r="DL976" s="85"/>
      <c r="DM976" s="85"/>
      <c r="DN976" s="85"/>
      <c r="DO976" s="85"/>
      <c r="DP976" s="85"/>
    </row>
    <row r="977">
      <c r="A977" s="91"/>
      <c r="B977" s="91"/>
      <c r="C977" s="91"/>
      <c r="D977" s="91"/>
      <c r="E977" s="78"/>
      <c r="F977" s="15"/>
      <c r="G977" s="15"/>
      <c r="H977" s="91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  <c r="BC977" s="15"/>
      <c r="BD977" s="15"/>
      <c r="BE977" s="15"/>
      <c r="BF977" s="15"/>
      <c r="BG977" s="15"/>
      <c r="BH977" s="15"/>
      <c r="BI977" s="15"/>
      <c r="BJ977" s="15"/>
      <c r="BK977" s="15"/>
      <c r="BL977" s="15"/>
      <c r="BM977" s="15"/>
      <c r="BN977" s="92"/>
      <c r="BO977" s="92"/>
      <c r="BP977" s="92"/>
      <c r="BQ977" s="92"/>
      <c r="BR977" s="92"/>
      <c r="BS977" s="92"/>
      <c r="BT977" s="92"/>
      <c r="BU977" s="92"/>
      <c r="BV977" s="92"/>
      <c r="BW977" s="92"/>
      <c r="BX977" s="92"/>
      <c r="BY977" s="92"/>
      <c r="BZ977" s="92"/>
      <c r="CA977" s="92"/>
      <c r="CB977" s="92"/>
      <c r="CC977" s="92"/>
      <c r="CD977" s="92"/>
      <c r="CE977" s="92"/>
      <c r="CF977" s="92"/>
      <c r="CG977" s="92"/>
      <c r="CH977" s="92"/>
      <c r="CI977" s="92"/>
      <c r="CJ977" s="92"/>
      <c r="CK977" s="92"/>
      <c r="CL977" s="92"/>
      <c r="CM977" s="92"/>
      <c r="CN977" s="92"/>
      <c r="CO977" s="92"/>
      <c r="CP977" s="92"/>
      <c r="CQ977" s="92"/>
      <c r="CR977" s="92"/>
      <c r="CS977" s="92"/>
      <c r="CT977" s="92"/>
      <c r="CU977" s="92"/>
      <c r="CV977" s="92"/>
      <c r="CW977" s="92"/>
      <c r="CX977" s="85"/>
      <c r="CY977" s="85"/>
      <c r="CZ977" s="85"/>
      <c r="DA977" s="85"/>
      <c r="DB977" s="85"/>
      <c r="DC977" s="85"/>
      <c r="DD977" s="85"/>
      <c r="DE977" s="85"/>
      <c r="DF977" s="85"/>
      <c r="DG977" s="85"/>
      <c r="DH977" s="85"/>
      <c r="DI977" s="85"/>
      <c r="DJ977" s="85"/>
      <c r="DK977" s="85"/>
      <c r="DL977" s="85"/>
      <c r="DM977" s="85"/>
      <c r="DN977" s="85"/>
      <c r="DO977" s="85"/>
      <c r="DP977" s="85"/>
    </row>
    <row r="978">
      <c r="A978" s="91"/>
      <c r="B978" s="91"/>
      <c r="C978" s="91"/>
      <c r="D978" s="91"/>
      <c r="E978" s="78"/>
      <c r="F978" s="15"/>
      <c r="G978" s="15"/>
      <c r="H978" s="91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  <c r="BB978" s="15"/>
      <c r="BC978" s="15"/>
      <c r="BD978" s="15"/>
      <c r="BE978" s="15"/>
      <c r="BF978" s="15"/>
      <c r="BG978" s="15"/>
      <c r="BH978" s="15"/>
      <c r="BI978" s="15"/>
      <c r="BJ978" s="15"/>
      <c r="BK978" s="15"/>
      <c r="BL978" s="15"/>
      <c r="BM978" s="15"/>
      <c r="BN978" s="92"/>
      <c r="BO978" s="92"/>
      <c r="BP978" s="92"/>
      <c r="BQ978" s="92"/>
      <c r="BR978" s="92"/>
      <c r="BS978" s="92"/>
      <c r="BT978" s="92"/>
      <c r="BU978" s="92"/>
      <c r="BV978" s="92"/>
      <c r="BW978" s="92"/>
      <c r="BX978" s="92"/>
      <c r="BY978" s="92"/>
      <c r="BZ978" s="92"/>
      <c r="CA978" s="92"/>
      <c r="CB978" s="92"/>
      <c r="CC978" s="92"/>
      <c r="CD978" s="92"/>
      <c r="CE978" s="92"/>
      <c r="CF978" s="92"/>
      <c r="CG978" s="92"/>
      <c r="CH978" s="92"/>
      <c r="CI978" s="92"/>
      <c r="CJ978" s="92"/>
      <c r="CK978" s="92"/>
      <c r="CL978" s="92"/>
      <c r="CM978" s="92"/>
      <c r="CN978" s="92"/>
      <c r="CO978" s="92"/>
      <c r="CP978" s="92"/>
      <c r="CQ978" s="92"/>
      <c r="CR978" s="92"/>
      <c r="CS978" s="92"/>
      <c r="CT978" s="92"/>
      <c r="CU978" s="92"/>
      <c r="CV978" s="92"/>
      <c r="CW978" s="92"/>
      <c r="CX978" s="85"/>
      <c r="CY978" s="85"/>
      <c r="CZ978" s="85"/>
      <c r="DA978" s="85"/>
      <c r="DB978" s="85"/>
      <c r="DC978" s="85"/>
      <c r="DD978" s="85"/>
      <c r="DE978" s="85"/>
      <c r="DF978" s="85"/>
      <c r="DG978" s="85"/>
      <c r="DH978" s="85"/>
      <c r="DI978" s="85"/>
      <c r="DJ978" s="85"/>
      <c r="DK978" s="85"/>
      <c r="DL978" s="85"/>
      <c r="DM978" s="85"/>
      <c r="DN978" s="85"/>
      <c r="DO978" s="85"/>
      <c r="DP978" s="85"/>
    </row>
    <row r="979">
      <c r="A979" s="91"/>
      <c r="B979" s="91"/>
      <c r="C979" s="91"/>
      <c r="D979" s="91"/>
      <c r="E979" s="78"/>
      <c r="F979" s="15"/>
      <c r="G979" s="15"/>
      <c r="H979" s="91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  <c r="BC979" s="15"/>
      <c r="BD979" s="15"/>
      <c r="BE979" s="15"/>
      <c r="BF979" s="15"/>
      <c r="BG979" s="15"/>
      <c r="BH979" s="15"/>
      <c r="BI979" s="15"/>
      <c r="BJ979" s="15"/>
      <c r="BK979" s="15"/>
      <c r="BL979" s="15"/>
      <c r="BM979" s="15"/>
      <c r="BN979" s="92"/>
      <c r="BO979" s="92"/>
      <c r="BP979" s="92"/>
      <c r="BQ979" s="92"/>
      <c r="BR979" s="92"/>
      <c r="BS979" s="92"/>
      <c r="BT979" s="92"/>
      <c r="BU979" s="92"/>
      <c r="BV979" s="92"/>
      <c r="BW979" s="92"/>
      <c r="BX979" s="92"/>
      <c r="BY979" s="92"/>
      <c r="BZ979" s="92"/>
      <c r="CA979" s="92"/>
      <c r="CB979" s="92"/>
      <c r="CC979" s="92"/>
      <c r="CD979" s="92"/>
      <c r="CE979" s="92"/>
      <c r="CF979" s="92"/>
      <c r="CG979" s="92"/>
      <c r="CH979" s="92"/>
      <c r="CI979" s="92"/>
      <c r="CJ979" s="92"/>
      <c r="CK979" s="92"/>
      <c r="CL979" s="92"/>
      <c r="CM979" s="92"/>
      <c r="CN979" s="92"/>
      <c r="CO979" s="92"/>
      <c r="CP979" s="92"/>
      <c r="CQ979" s="92"/>
      <c r="CR979" s="92"/>
      <c r="CS979" s="92"/>
      <c r="CT979" s="92"/>
      <c r="CU979" s="92"/>
      <c r="CV979" s="92"/>
      <c r="CW979" s="92"/>
      <c r="CX979" s="85"/>
      <c r="CY979" s="85"/>
      <c r="CZ979" s="85"/>
      <c r="DA979" s="85"/>
      <c r="DB979" s="85"/>
      <c r="DC979" s="85"/>
      <c r="DD979" s="85"/>
      <c r="DE979" s="85"/>
      <c r="DF979" s="85"/>
      <c r="DG979" s="85"/>
      <c r="DH979" s="85"/>
      <c r="DI979" s="85"/>
      <c r="DJ979" s="85"/>
      <c r="DK979" s="85"/>
      <c r="DL979" s="85"/>
      <c r="DM979" s="85"/>
      <c r="DN979" s="85"/>
      <c r="DO979" s="85"/>
      <c r="DP979" s="85"/>
    </row>
    <row r="980">
      <c r="A980" s="91"/>
      <c r="B980" s="91"/>
      <c r="C980" s="91"/>
      <c r="D980" s="91"/>
      <c r="E980" s="78"/>
      <c r="F980" s="15"/>
      <c r="G980" s="15"/>
      <c r="H980" s="91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  <c r="BB980" s="15"/>
      <c r="BC980" s="15"/>
      <c r="BD980" s="15"/>
      <c r="BE980" s="15"/>
      <c r="BF980" s="15"/>
      <c r="BG980" s="15"/>
      <c r="BH980" s="15"/>
      <c r="BI980" s="15"/>
      <c r="BJ980" s="15"/>
      <c r="BK980" s="15"/>
      <c r="BL980" s="15"/>
      <c r="BM980" s="15"/>
      <c r="BN980" s="92"/>
      <c r="BO980" s="92"/>
      <c r="BP980" s="92"/>
      <c r="BQ980" s="92"/>
      <c r="BR980" s="92"/>
      <c r="BS980" s="92"/>
      <c r="BT980" s="92"/>
      <c r="BU980" s="92"/>
      <c r="BV980" s="92"/>
      <c r="BW980" s="92"/>
      <c r="BX980" s="92"/>
      <c r="BY980" s="92"/>
      <c r="BZ980" s="92"/>
      <c r="CA980" s="92"/>
      <c r="CB980" s="92"/>
      <c r="CC980" s="92"/>
      <c r="CD980" s="92"/>
      <c r="CE980" s="92"/>
      <c r="CF980" s="92"/>
      <c r="CG980" s="92"/>
      <c r="CH980" s="92"/>
      <c r="CI980" s="92"/>
      <c r="CJ980" s="92"/>
      <c r="CK980" s="92"/>
      <c r="CL980" s="92"/>
      <c r="CM980" s="92"/>
      <c r="CN980" s="92"/>
      <c r="CO980" s="92"/>
      <c r="CP980" s="92"/>
      <c r="CQ980" s="92"/>
      <c r="CR980" s="92"/>
      <c r="CS980" s="92"/>
      <c r="CT980" s="92"/>
      <c r="CU980" s="92"/>
      <c r="CV980" s="92"/>
      <c r="CW980" s="92"/>
      <c r="CX980" s="85"/>
      <c r="CY980" s="85"/>
      <c r="CZ980" s="85"/>
      <c r="DA980" s="85"/>
      <c r="DB980" s="85"/>
      <c r="DC980" s="85"/>
      <c r="DD980" s="85"/>
      <c r="DE980" s="85"/>
      <c r="DF980" s="85"/>
      <c r="DG980" s="85"/>
      <c r="DH980" s="85"/>
      <c r="DI980" s="85"/>
      <c r="DJ980" s="85"/>
      <c r="DK980" s="85"/>
      <c r="DL980" s="85"/>
      <c r="DM980" s="85"/>
      <c r="DN980" s="85"/>
      <c r="DO980" s="85"/>
      <c r="DP980" s="85"/>
    </row>
    <row r="981">
      <c r="A981" s="91"/>
      <c r="B981" s="91"/>
      <c r="C981" s="91"/>
      <c r="D981" s="91"/>
      <c r="E981" s="78"/>
      <c r="F981" s="15"/>
      <c r="G981" s="15"/>
      <c r="H981" s="91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  <c r="BB981" s="15"/>
      <c r="BC981" s="15"/>
      <c r="BD981" s="15"/>
      <c r="BE981" s="15"/>
      <c r="BF981" s="15"/>
      <c r="BG981" s="15"/>
      <c r="BH981" s="15"/>
      <c r="BI981" s="15"/>
      <c r="BJ981" s="15"/>
      <c r="BK981" s="15"/>
      <c r="BL981" s="15"/>
      <c r="BM981" s="15"/>
      <c r="BN981" s="92"/>
      <c r="BO981" s="92"/>
      <c r="BP981" s="92"/>
      <c r="BQ981" s="92"/>
      <c r="BR981" s="92"/>
      <c r="BS981" s="92"/>
      <c r="BT981" s="92"/>
      <c r="BU981" s="92"/>
      <c r="BV981" s="92"/>
      <c r="BW981" s="92"/>
      <c r="BX981" s="92"/>
      <c r="BY981" s="92"/>
      <c r="BZ981" s="92"/>
      <c r="CA981" s="92"/>
      <c r="CB981" s="92"/>
      <c r="CC981" s="92"/>
      <c r="CD981" s="92"/>
      <c r="CE981" s="92"/>
      <c r="CF981" s="92"/>
      <c r="CG981" s="92"/>
      <c r="CH981" s="92"/>
      <c r="CI981" s="92"/>
      <c r="CJ981" s="92"/>
      <c r="CK981" s="92"/>
      <c r="CL981" s="92"/>
      <c r="CM981" s="92"/>
      <c r="CN981" s="92"/>
      <c r="CO981" s="92"/>
      <c r="CP981" s="92"/>
      <c r="CQ981" s="92"/>
      <c r="CR981" s="92"/>
      <c r="CS981" s="92"/>
      <c r="CT981" s="92"/>
      <c r="CU981" s="92"/>
      <c r="CV981" s="92"/>
      <c r="CW981" s="92"/>
      <c r="CX981" s="85"/>
      <c r="CY981" s="85"/>
      <c r="CZ981" s="85"/>
      <c r="DA981" s="85"/>
      <c r="DB981" s="85"/>
      <c r="DC981" s="85"/>
      <c r="DD981" s="85"/>
      <c r="DE981" s="85"/>
      <c r="DF981" s="85"/>
      <c r="DG981" s="85"/>
      <c r="DH981" s="85"/>
      <c r="DI981" s="85"/>
      <c r="DJ981" s="85"/>
      <c r="DK981" s="85"/>
      <c r="DL981" s="85"/>
      <c r="DM981" s="85"/>
      <c r="DN981" s="85"/>
      <c r="DO981" s="85"/>
      <c r="DP981" s="85"/>
    </row>
    <row r="982">
      <c r="A982" s="91"/>
      <c r="B982" s="91"/>
      <c r="C982" s="91"/>
      <c r="D982" s="91"/>
      <c r="E982" s="78"/>
      <c r="F982" s="15"/>
      <c r="G982" s="15"/>
      <c r="H982" s="91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/>
      <c r="BB982" s="15"/>
      <c r="BC982" s="15"/>
      <c r="BD982" s="15"/>
      <c r="BE982" s="15"/>
      <c r="BF982" s="15"/>
      <c r="BG982" s="15"/>
      <c r="BH982" s="15"/>
      <c r="BI982" s="15"/>
      <c r="BJ982" s="15"/>
      <c r="BK982" s="15"/>
      <c r="BL982" s="15"/>
      <c r="BM982" s="15"/>
      <c r="BN982" s="92"/>
      <c r="BO982" s="92"/>
      <c r="BP982" s="92"/>
      <c r="BQ982" s="92"/>
      <c r="BR982" s="92"/>
      <c r="BS982" s="92"/>
      <c r="BT982" s="92"/>
      <c r="BU982" s="92"/>
      <c r="BV982" s="92"/>
      <c r="BW982" s="92"/>
      <c r="BX982" s="92"/>
      <c r="BY982" s="92"/>
      <c r="BZ982" s="92"/>
      <c r="CA982" s="92"/>
      <c r="CB982" s="92"/>
      <c r="CC982" s="92"/>
      <c r="CD982" s="92"/>
      <c r="CE982" s="92"/>
      <c r="CF982" s="92"/>
      <c r="CG982" s="92"/>
      <c r="CH982" s="92"/>
      <c r="CI982" s="92"/>
      <c r="CJ982" s="92"/>
      <c r="CK982" s="92"/>
      <c r="CL982" s="92"/>
      <c r="CM982" s="92"/>
      <c r="CN982" s="92"/>
      <c r="CO982" s="92"/>
      <c r="CP982" s="92"/>
      <c r="CQ982" s="92"/>
      <c r="CR982" s="92"/>
      <c r="CS982" s="92"/>
      <c r="CT982" s="92"/>
      <c r="CU982" s="92"/>
      <c r="CV982" s="92"/>
      <c r="CW982" s="92"/>
      <c r="CX982" s="85"/>
      <c r="CY982" s="85"/>
      <c r="CZ982" s="85"/>
      <c r="DA982" s="85"/>
      <c r="DB982" s="85"/>
      <c r="DC982" s="85"/>
      <c r="DD982" s="85"/>
      <c r="DE982" s="85"/>
      <c r="DF982" s="85"/>
      <c r="DG982" s="85"/>
      <c r="DH982" s="85"/>
      <c r="DI982" s="85"/>
      <c r="DJ982" s="85"/>
      <c r="DK982" s="85"/>
      <c r="DL982" s="85"/>
      <c r="DM982" s="85"/>
      <c r="DN982" s="85"/>
      <c r="DO982" s="85"/>
      <c r="DP982" s="85"/>
    </row>
    <row r="983">
      <c r="A983" s="91"/>
      <c r="B983" s="91"/>
      <c r="C983" s="91"/>
      <c r="D983" s="91"/>
      <c r="E983" s="78"/>
      <c r="F983" s="15"/>
      <c r="G983" s="15"/>
      <c r="H983" s="91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  <c r="BB983" s="15"/>
      <c r="BC983" s="15"/>
      <c r="BD983" s="15"/>
      <c r="BE983" s="15"/>
      <c r="BF983" s="15"/>
      <c r="BG983" s="15"/>
      <c r="BH983" s="15"/>
      <c r="BI983" s="15"/>
      <c r="BJ983" s="15"/>
      <c r="BK983" s="15"/>
      <c r="BL983" s="15"/>
      <c r="BM983" s="15"/>
      <c r="BN983" s="92"/>
      <c r="BO983" s="92"/>
      <c r="BP983" s="92"/>
      <c r="BQ983" s="92"/>
      <c r="BR983" s="92"/>
      <c r="BS983" s="92"/>
      <c r="BT983" s="92"/>
      <c r="BU983" s="92"/>
      <c r="BV983" s="92"/>
      <c r="BW983" s="92"/>
      <c r="BX983" s="92"/>
      <c r="BY983" s="92"/>
      <c r="BZ983" s="92"/>
      <c r="CA983" s="92"/>
      <c r="CB983" s="92"/>
      <c r="CC983" s="92"/>
      <c r="CD983" s="92"/>
      <c r="CE983" s="92"/>
      <c r="CF983" s="92"/>
      <c r="CG983" s="92"/>
      <c r="CH983" s="92"/>
      <c r="CI983" s="92"/>
      <c r="CJ983" s="92"/>
      <c r="CK983" s="92"/>
      <c r="CL983" s="92"/>
      <c r="CM983" s="92"/>
      <c r="CN983" s="92"/>
      <c r="CO983" s="92"/>
      <c r="CP983" s="92"/>
      <c r="CQ983" s="92"/>
      <c r="CR983" s="92"/>
      <c r="CS983" s="92"/>
      <c r="CT983" s="92"/>
      <c r="CU983" s="92"/>
      <c r="CV983" s="92"/>
      <c r="CW983" s="92"/>
      <c r="CX983" s="85"/>
      <c r="CY983" s="85"/>
      <c r="CZ983" s="85"/>
      <c r="DA983" s="85"/>
      <c r="DB983" s="85"/>
      <c r="DC983" s="85"/>
      <c r="DD983" s="85"/>
      <c r="DE983" s="85"/>
      <c r="DF983" s="85"/>
      <c r="DG983" s="85"/>
      <c r="DH983" s="85"/>
      <c r="DI983" s="85"/>
      <c r="DJ983" s="85"/>
      <c r="DK983" s="85"/>
      <c r="DL983" s="85"/>
      <c r="DM983" s="85"/>
      <c r="DN983" s="85"/>
      <c r="DO983" s="85"/>
      <c r="DP983" s="85"/>
    </row>
    <row r="984">
      <c r="A984" s="91"/>
      <c r="B984" s="91"/>
      <c r="C984" s="91"/>
      <c r="D984" s="91"/>
      <c r="E984" s="78"/>
      <c r="F984" s="15"/>
      <c r="G984" s="15"/>
      <c r="H984" s="91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  <c r="BB984" s="15"/>
      <c r="BC984" s="15"/>
      <c r="BD984" s="15"/>
      <c r="BE984" s="15"/>
      <c r="BF984" s="15"/>
      <c r="BG984" s="15"/>
      <c r="BH984" s="15"/>
      <c r="BI984" s="15"/>
      <c r="BJ984" s="15"/>
      <c r="BK984" s="15"/>
      <c r="BL984" s="15"/>
      <c r="BM984" s="15"/>
      <c r="BN984" s="92"/>
      <c r="BO984" s="92"/>
      <c r="BP984" s="92"/>
      <c r="BQ984" s="92"/>
      <c r="BR984" s="92"/>
      <c r="BS984" s="92"/>
      <c r="BT984" s="92"/>
      <c r="BU984" s="92"/>
      <c r="BV984" s="92"/>
      <c r="BW984" s="92"/>
      <c r="BX984" s="92"/>
      <c r="BY984" s="92"/>
      <c r="BZ984" s="92"/>
      <c r="CA984" s="92"/>
      <c r="CB984" s="92"/>
      <c r="CC984" s="92"/>
      <c r="CD984" s="92"/>
      <c r="CE984" s="92"/>
      <c r="CF984" s="92"/>
      <c r="CG984" s="92"/>
      <c r="CH984" s="92"/>
      <c r="CI984" s="92"/>
      <c r="CJ984" s="92"/>
      <c r="CK984" s="92"/>
      <c r="CL984" s="92"/>
      <c r="CM984" s="92"/>
      <c r="CN984" s="92"/>
      <c r="CO984" s="92"/>
      <c r="CP984" s="92"/>
      <c r="CQ984" s="92"/>
      <c r="CR984" s="92"/>
      <c r="CS984" s="92"/>
      <c r="CT984" s="92"/>
      <c r="CU984" s="92"/>
      <c r="CV984" s="92"/>
      <c r="CW984" s="92"/>
      <c r="CX984" s="85"/>
      <c r="CY984" s="85"/>
      <c r="CZ984" s="85"/>
      <c r="DA984" s="85"/>
      <c r="DB984" s="85"/>
      <c r="DC984" s="85"/>
      <c r="DD984" s="85"/>
      <c r="DE984" s="85"/>
      <c r="DF984" s="85"/>
      <c r="DG984" s="85"/>
      <c r="DH984" s="85"/>
      <c r="DI984" s="85"/>
      <c r="DJ984" s="85"/>
      <c r="DK984" s="85"/>
      <c r="DL984" s="85"/>
      <c r="DM984" s="85"/>
      <c r="DN984" s="85"/>
      <c r="DO984" s="85"/>
      <c r="DP984" s="85"/>
    </row>
    <row r="985">
      <c r="A985" s="91"/>
      <c r="B985" s="91"/>
      <c r="C985" s="91"/>
      <c r="D985" s="91"/>
      <c r="E985" s="78"/>
      <c r="F985" s="15"/>
      <c r="G985" s="15"/>
      <c r="H985" s="91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  <c r="BB985" s="15"/>
      <c r="BC985" s="15"/>
      <c r="BD985" s="15"/>
      <c r="BE985" s="15"/>
      <c r="BF985" s="15"/>
      <c r="BG985" s="15"/>
      <c r="BH985" s="15"/>
      <c r="BI985" s="15"/>
      <c r="BJ985" s="15"/>
      <c r="BK985" s="15"/>
      <c r="BL985" s="15"/>
      <c r="BM985" s="15"/>
      <c r="BN985" s="92"/>
      <c r="BO985" s="92"/>
      <c r="BP985" s="92"/>
      <c r="BQ985" s="92"/>
      <c r="BR985" s="92"/>
      <c r="BS985" s="92"/>
      <c r="BT985" s="92"/>
      <c r="BU985" s="92"/>
      <c r="BV985" s="92"/>
      <c r="BW985" s="92"/>
      <c r="BX985" s="92"/>
      <c r="BY985" s="92"/>
      <c r="BZ985" s="92"/>
      <c r="CA985" s="92"/>
      <c r="CB985" s="92"/>
      <c r="CC985" s="92"/>
      <c r="CD985" s="92"/>
      <c r="CE985" s="92"/>
      <c r="CF985" s="92"/>
      <c r="CG985" s="92"/>
      <c r="CH985" s="92"/>
      <c r="CI985" s="92"/>
      <c r="CJ985" s="92"/>
      <c r="CK985" s="92"/>
      <c r="CL985" s="92"/>
      <c r="CM985" s="92"/>
      <c r="CN985" s="92"/>
      <c r="CO985" s="92"/>
      <c r="CP985" s="92"/>
      <c r="CQ985" s="92"/>
      <c r="CR985" s="92"/>
      <c r="CS985" s="92"/>
      <c r="CT985" s="92"/>
      <c r="CU985" s="92"/>
      <c r="CV985" s="92"/>
      <c r="CW985" s="92"/>
      <c r="CX985" s="85"/>
      <c r="CY985" s="85"/>
      <c r="CZ985" s="85"/>
      <c r="DA985" s="85"/>
      <c r="DB985" s="85"/>
      <c r="DC985" s="85"/>
      <c r="DD985" s="85"/>
      <c r="DE985" s="85"/>
      <c r="DF985" s="85"/>
      <c r="DG985" s="85"/>
      <c r="DH985" s="85"/>
      <c r="DI985" s="85"/>
      <c r="DJ985" s="85"/>
      <c r="DK985" s="85"/>
      <c r="DL985" s="85"/>
      <c r="DM985" s="85"/>
      <c r="DN985" s="85"/>
      <c r="DO985" s="85"/>
      <c r="DP985" s="85"/>
    </row>
    <row r="986">
      <c r="A986" s="91"/>
      <c r="B986" s="91"/>
      <c r="C986" s="91"/>
      <c r="D986" s="91"/>
      <c r="E986" s="78"/>
      <c r="F986" s="15"/>
      <c r="G986" s="15"/>
      <c r="H986" s="91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  <c r="BC986" s="15"/>
      <c r="BD986" s="15"/>
      <c r="BE986" s="15"/>
      <c r="BF986" s="15"/>
      <c r="BG986" s="15"/>
      <c r="BH986" s="15"/>
      <c r="BI986" s="15"/>
      <c r="BJ986" s="15"/>
      <c r="BK986" s="15"/>
      <c r="BL986" s="15"/>
      <c r="BM986" s="15"/>
      <c r="BN986" s="92"/>
      <c r="BO986" s="92"/>
      <c r="BP986" s="92"/>
      <c r="BQ986" s="92"/>
      <c r="BR986" s="92"/>
      <c r="BS986" s="92"/>
      <c r="BT986" s="92"/>
      <c r="BU986" s="92"/>
      <c r="BV986" s="92"/>
      <c r="BW986" s="92"/>
      <c r="BX986" s="92"/>
      <c r="BY986" s="92"/>
      <c r="BZ986" s="92"/>
      <c r="CA986" s="92"/>
      <c r="CB986" s="92"/>
      <c r="CC986" s="92"/>
      <c r="CD986" s="92"/>
      <c r="CE986" s="92"/>
      <c r="CF986" s="92"/>
      <c r="CG986" s="92"/>
      <c r="CH986" s="92"/>
      <c r="CI986" s="92"/>
      <c r="CJ986" s="92"/>
      <c r="CK986" s="92"/>
      <c r="CL986" s="92"/>
      <c r="CM986" s="92"/>
      <c r="CN986" s="92"/>
      <c r="CO986" s="92"/>
      <c r="CP986" s="92"/>
      <c r="CQ986" s="92"/>
      <c r="CR986" s="92"/>
      <c r="CS986" s="92"/>
      <c r="CT986" s="92"/>
      <c r="CU986" s="92"/>
      <c r="CV986" s="92"/>
      <c r="CW986" s="92"/>
      <c r="CX986" s="85"/>
      <c r="CY986" s="85"/>
      <c r="CZ986" s="85"/>
      <c r="DA986" s="85"/>
      <c r="DB986" s="85"/>
      <c r="DC986" s="85"/>
      <c r="DD986" s="85"/>
      <c r="DE986" s="85"/>
      <c r="DF986" s="85"/>
      <c r="DG986" s="85"/>
      <c r="DH986" s="85"/>
      <c r="DI986" s="85"/>
      <c r="DJ986" s="85"/>
      <c r="DK986" s="85"/>
      <c r="DL986" s="85"/>
      <c r="DM986" s="85"/>
      <c r="DN986" s="85"/>
      <c r="DO986" s="85"/>
      <c r="DP986" s="85"/>
    </row>
    <row r="987">
      <c r="A987" s="91"/>
      <c r="B987" s="91"/>
      <c r="C987" s="91"/>
      <c r="D987" s="91"/>
      <c r="E987" s="78"/>
      <c r="F987" s="15"/>
      <c r="G987" s="15"/>
      <c r="H987" s="91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  <c r="BB987" s="15"/>
      <c r="BC987" s="15"/>
      <c r="BD987" s="15"/>
      <c r="BE987" s="15"/>
      <c r="BF987" s="15"/>
      <c r="BG987" s="15"/>
      <c r="BH987" s="15"/>
      <c r="BI987" s="15"/>
      <c r="BJ987" s="15"/>
      <c r="BK987" s="15"/>
      <c r="BL987" s="15"/>
      <c r="BM987" s="15"/>
      <c r="BN987" s="92"/>
      <c r="BO987" s="92"/>
      <c r="BP987" s="92"/>
      <c r="BQ987" s="92"/>
      <c r="BR987" s="92"/>
      <c r="BS987" s="92"/>
      <c r="BT987" s="92"/>
      <c r="BU987" s="92"/>
      <c r="BV987" s="92"/>
      <c r="BW987" s="92"/>
      <c r="BX987" s="92"/>
      <c r="BY987" s="92"/>
      <c r="BZ987" s="92"/>
      <c r="CA987" s="92"/>
      <c r="CB987" s="92"/>
      <c r="CC987" s="92"/>
      <c r="CD987" s="92"/>
      <c r="CE987" s="92"/>
      <c r="CF987" s="92"/>
      <c r="CG987" s="92"/>
      <c r="CH987" s="92"/>
      <c r="CI987" s="92"/>
      <c r="CJ987" s="92"/>
      <c r="CK987" s="92"/>
      <c r="CL987" s="92"/>
      <c r="CM987" s="92"/>
      <c r="CN987" s="92"/>
      <c r="CO987" s="92"/>
      <c r="CP987" s="92"/>
      <c r="CQ987" s="92"/>
      <c r="CR987" s="92"/>
      <c r="CS987" s="92"/>
      <c r="CT987" s="92"/>
      <c r="CU987" s="92"/>
      <c r="CV987" s="92"/>
      <c r="CW987" s="92"/>
      <c r="CX987" s="85"/>
      <c r="CY987" s="85"/>
      <c r="CZ987" s="85"/>
      <c r="DA987" s="85"/>
      <c r="DB987" s="85"/>
      <c r="DC987" s="85"/>
      <c r="DD987" s="85"/>
      <c r="DE987" s="85"/>
      <c r="DF987" s="85"/>
      <c r="DG987" s="85"/>
      <c r="DH987" s="85"/>
      <c r="DI987" s="85"/>
      <c r="DJ987" s="85"/>
      <c r="DK987" s="85"/>
      <c r="DL987" s="85"/>
      <c r="DM987" s="85"/>
      <c r="DN987" s="85"/>
      <c r="DO987" s="85"/>
      <c r="DP987" s="85"/>
    </row>
    <row r="988">
      <c r="A988" s="91"/>
      <c r="B988" s="91"/>
      <c r="C988" s="91"/>
      <c r="D988" s="91"/>
      <c r="E988" s="78"/>
      <c r="F988" s="15"/>
      <c r="G988" s="15"/>
      <c r="H988" s="91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  <c r="BC988" s="15"/>
      <c r="BD988" s="15"/>
      <c r="BE988" s="15"/>
      <c r="BF988" s="15"/>
      <c r="BG988" s="15"/>
      <c r="BH988" s="15"/>
      <c r="BI988" s="15"/>
      <c r="BJ988" s="15"/>
      <c r="BK988" s="15"/>
      <c r="BL988" s="15"/>
      <c r="BM988" s="15"/>
      <c r="BN988" s="92"/>
      <c r="BO988" s="92"/>
      <c r="BP988" s="92"/>
      <c r="BQ988" s="92"/>
      <c r="BR988" s="92"/>
      <c r="BS988" s="92"/>
      <c r="BT988" s="92"/>
      <c r="BU988" s="92"/>
      <c r="BV988" s="92"/>
      <c r="BW988" s="92"/>
      <c r="BX988" s="92"/>
      <c r="BY988" s="92"/>
      <c r="BZ988" s="92"/>
      <c r="CA988" s="92"/>
      <c r="CB988" s="92"/>
      <c r="CC988" s="92"/>
      <c r="CD988" s="92"/>
      <c r="CE988" s="92"/>
      <c r="CF988" s="92"/>
      <c r="CG988" s="92"/>
      <c r="CH988" s="92"/>
      <c r="CI988" s="92"/>
      <c r="CJ988" s="92"/>
      <c r="CK988" s="92"/>
      <c r="CL988" s="92"/>
      <c r="CM988" s="92"/>
      <c r="CN988" s="92"/>
      <c r="CO988" s="92"/>
      <c r="CP988" s="92"/>
      <c r="CQ988" s="92"/>
      <c r="CR988" s="92"/>
      <c r="CS988" s="92"/>
      <c r="CT988" s="92"/>
      <c r="CU988" s="92"/>
      <c r="CV988" s="92"/>
      <c r="CW988" s="92"/>
      <c r="CX988" s="85"/>
      <c r="CY988" s="85"/>
      <c r="CZ988" s="85"/>
      <c r="DA988" s="85"/>
      <c r="DB988" s="85"/>
      <c r="DC988" s="85"/>
      <c r="DD988" s="85"/>
      <c r="DE988" s="85"/>
      <c r="DF988" s="85"/>
      <c r="DG988" s="85"/>
      <c r="DH988" s="85"/>
      <c r="DI988" s="85"/>
      <c r="DJ988" s="85"/>
      <c r="DK988" s="85"/>
      <c r="DL988" s="85"/>
      <c r="DM988" s="85"/>
      <c r="DN988" s="85"/>
      <c r="DO988" s="85"/>
      <c r="DP988" s="85"/>
    </row>
    <row r="989">
      <c r="A989" s="91"/>
      <c r="B989" s="91"/>
      <c r="C989" s="91"/>
      <c r="D989" s="91"/>
      <c r="E989" s="78"/>
      <c r="F989" s="15"/>
      <c r="G989" s="15"/>
      <c r="H989" s="91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  <c r="BC989" s="15"/>
      <c r="BD989" s="15"/>
      <c r="BE989" s="15"/>
      <c r="BF989" s="15"/>
      <c r="BG989" s="15"/>
      <c r="BH989" s="15"/>
      <c r="BI989" s="15"/>
      <c r="BJ989" s="15"/>
      <c r="BK989" s="15"/>
      <c r="BL989" s="15"/>
      <c r="BM989" s="15"/>
      <c r="BN989" s="92"/>
      <c r="BO989" s="92"/>
      <c r="BP989" s="92"/>
      <c r="BQ989" s="92"/>
      <c r="BR989" s="92"/>
      <c r="BS989" s="92"/>
      <c r="BT989" s="92"/>
      <c r="BU989" s="92"/>
      <c r="BV989" s="92"/>
      <c r="BW989" s="92"/>
      <c r="BX989" s="92"/>
      <c r="BY989" s="92"/>
      <c r="BZ989" s="92"/>
      <c r="CA989" s="92"/>
      <c r="CB989" s="92"/>
      <c r="CC989" s="92"/>
      <c r="CD989" s="92"/>
      <c r="CE989" s="92"/>
      <c r="CF989" s="92"/>
      <c r="CG989" s="92"/>
      <c r="CH989" s="92"/>
      <c r="CI989" s="92"/>
      <c r="CJ989" s="92"/>
      <c r="CK989" s="92"/>
      <c r="CL989" s="92"/>
      <c r="CM989" s="92"/>
      <c r="CN989" s="92"/>
      <c r="CO989" s="92"/>
      <c r="CP989" s="92"/>
      <c r="CQ989" s="92"/>
      <c r="CR989" s="92"/>
      <c r="CS989" s="92"/>
      <c r="CT989" s="92"/>
      <c r="CU989" s="92"/>
      <c r="CV989" s="92"/>
      <c r="CW989" s="92"/>
      <c r="CX989" s="85"/>
      <c r="CY989" s="85"/>
      <c r="CZ989" s="85"/>
      <c r="DA989" s="85"/>
      <c r="DB989" s="85"/>
      <c r="DC989" s="85"/>
      <c r="DD989" s="85"/>
      <c r="DE989" s="85"/>
      <c r="DF989" s="85"/>
      <c r="DG989" s="85"/>
      <c r="DH989" s="85"/>
      <c r="DI989" s="85"/>
      <c r="DJ989" s="85"/>
      <c r="DK989" s="85"/>
      <c r="DL989" s="85"/>
      <c r="DM989" s="85"/>
      <c r="DN989" s="85"/>
      <c r="DO989" s="85"/>
      <c r="DP989" s="85"/>
    </row>
    <row r="990">
      <c r="A990" s="91"/>
      <c r="B990" s="91"/>
      <c r="C990" s="91"/>
      <c r="D990" s="91"/>
      <c r="E990" s="78"/>
      <c r="F990" s="15"/>
      <c r="G990" s="15"/>
      <c r="H990" s="91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  <c r="BB990" s="15"/>
      <c r="BC990" s="15"/>
      <c r="BD990" s="15"/>
      <c r="BE990" s="15"/>
      <c r="BF990" s="15"/>
      <c r="BG990" s="15"/>
      <c r="BH990" s="15"/>
      <c r="BI990" s="15"/>
      <c r="BJ990" s="15"/>
      <c r="BK990" s="15"/>
      <c r="BL990" s="15"/>
      <c r="BM990" s="15"/>
      <c r="BN990" s="92"/>
      <c r="BO990" s="92"/>
      <c r="BP990" s="92"/>
      <c r="BQ990" s="92"/>
      <c r="BR990" s="92"/>
      <c r="BS990" s="92"/>
      <c r="BT990" s="92"/>
      <c r="BU990" s="92"/>
      <c r="BV990" s="92"/>
      <c r="BW990" s="92"/>
      <c r="BX990" s="92"/>
      <c r="BY990" s="92"/>
      <c r="BZ990" s="92"/>
      <c r="CA990" s="92"/>
      <c r="CB990" s="92"/>
      <c r="CC990" s="92"/>
      <c r="CD990" s="92"/>
      <c r="CE990" s="92"/>
      <c r="CF990" s="92"/>
      <c r="CG990" s="92"/>
      <c r="CH990" s="92"/>
      <c r="CI990" s="92"/>
      <c r="CJ990" s="92"/>
      <c r="CK990" s="92"/>
      <c r="CL990" s="92"/>
      <c r="CM990" s="92"/>
      <c r="CN990" s="92"/>
      <c r="CO990" s="92"/>
      <c r="CP990" s="92"/>
      <c r="CQ990" s="92"/>
      <c r="CR990" s="92"/>
      <c r="CS990" s="92"/>
      <c r="CT990" s="92"/>
      <c r="CU990" s="92"/>
      <c r="CV990" s="92"/>
      <c r="CW990" s="92"/>
      <c r="CX990" s="85"/>
      <c r="CY990" s="85"/>
      <c r="CZ990" s="85"/>
      <c r="DA990" s="85"/>
      <c r="DB990" s="85"/>
      <c r="DC990" s="85"/>
      <c r="DD990" s="85"/>
      <c r="DE990" s="85"/>
      <c r="DF990" s="85"/>
      <c r="DG990" s="85"/>
      <c r="DH990" s="85"/>
      <c r="DI990" s="85"/>
      <c r="DJ990" s="85"/>
      <c r="DK990" s="85"/>
      <c r="DL990" s="85"/>
      <c r="DM990" s="85"/>
      <c r="DN990" s="85"/>
      <c r="DO990" s="85"/>
      <c r="DP990" s="85"/>
    </row>
    <row r="991">
      <c r="A991" s="91"/>
      <c r="B991" s="91"/>
      <c r="C991" s="91"/>
      <c r="D991" s="91"/>
      <c r="E991" s="78"/>
      <c r="F991" s="15"/>
      <c r="G991" s="15"/>
      <c r="H991" s="91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  <c r="BC991" s="15"/>
      <c r="BD991" s="15"/>
      <c r="BE991" s="15"/>
      <c r="BF991" s="15"/>
      <c r="BG991" s="15"/>
      <c r="BH991" s="15"/>
      <c r="BI991" s="15"/>
      <c r="BJ991" s="15"/>
      <c r="BK991" s="15"/>
      <c r="BL991" s="15"/>
      <c r="BM991" s="15"/>
      <c r="BN991" s="92"/>
      <c r="BO991" s="92"/>
      <c r="BP991" s="92"/>
      <c r="BQ991" s="92"/>
      <c r="BR991" s="92"/>
      <c r="BS991" s="92"/>
      <c r="BT991" s="92"/>
      <c r="BU991" s="92"/>
      <c r="BV991" s="92"/>
      <c r="BW991" s="92"/>
      <c r="BX991" s="92"/>
      <c r="BY991" s="92"/>
      <c r="BZ991" s="92"/>
      <c r="CA991" s="92"/>
      <c r="CB991" s="92"/>
      <c r="CC991" s="92"/>
      <c r="CD991" s="92"/>
      <c r="CE991" s="92"/>
      <c r="CF991" s="92"/>
      <c r="CG991" s="92"/>
      <c r="CH991" s="92"/>
      <c r="CI991" s="92"/>
      <c r="CJ991" s="92"/>
      <c r="CK991" s="92"/>
      <c r="CL991" s="92"/>
      <c r="CM991" s="92"/>
      <c r="CN991" s="92"/>
      <c r="CO991" s="92"/>
      <c r="CP991" s="92"/>
      <c r="CQ991" s="92"/>
      <c r="CR991" s="92"/>
      <c r="CS991" s="92"/>
      <c r="CT991" s="92"/>
      <c r="CU991" s="92"/>
      <c r="CV991" s="92"/>
      <c r="CW991" s="92"/>
      <c r="CX991" s="85"/>
      <c r="CY991" s="85"/>
      <c r="CZ991" s="85"/>
      <c r="DA991" s="85"/>
      <c r="DB991" s="85"/>
      <c r="DC991" s="85"/>
      <c r="DD991" s="85"/>
      <c r="DE991" s="85"/>
      <c r="DF991" s="85"/>
      <c r="DG991" s="85"/>
      <c r="DH991" s="85"/>
      <c r="DI991" s="85"/>
      <c r="DJ991" s="85"/>
      <c r="DK991" s="85"/>
      <c r="DL991" s="85"/>
      <c r="DM991" s="85"/>
      <c r="DN991" s="85"/>
      <c r="DO991" s="85"/>
      <c r="DP991" s="85"/>
    </row>
    <row r="992">
      <c r="A992" s="91"/>
      <c r="B992" s="91"/>
      <c r="C992" s="91"/>
      <c r="D992" s="91"/>
      <c r="E992" s="78"/>
      <c r="F992" s="15"/>
      <c r="G992" s="15"/>
      <c r="H992" s="91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  <c r="BB992" s="15"/>
      <c r="BC992" s="15"/>
      <c r="BD992" s="15"/>
      <c r="BE992" s="15"/>
      <c r="BF992" s="15"/>
      <c r="BG992" s="15"/>
      <c r="BH992" s="15"/>
      <c r="BI992" s="15"/>
      <c r="BJ992" s="15"/>
      <c r="BK992" s="15"/>
      <c r="BL992" s="15"/>
      <c r="BM992" s="15"/>
      <c r="BN992" s="92"/>
      <c r="BO992" s="92"/>
      <c r="BP992" s="92"/>
      <c r="BQ992" s="92"/>
      <c r="BR992" s="92"/>
      <c r="BS992" s="92"/>
      <c r="BT992" s="92"/>
      <c r="BU992" s="92"/>
      <c r="BV992" s="92"/>
      <c r="BW992" s="92"/>
      <c r="BX992" s="92"/>
      <c r="BY992" s="92"/>
      <c r="BZ992" s="92"/>
      <c r="CA992" s="92"/>
      <c r="CB992" s="92"/>
      <c r="CC992" s="92"/>
      <c r="CD992" s="92"/>
      <c r="CE992" s="92"/>
      <c r="CF992" s="92"/>
      <c r="CG992" s="92"/>
      <c r="CH992" s="92"/>
      <c r="CI992" s="92"/>
      <c r="CJ992" s="92"/>
      <c r="CK992" s="92"/>
      <c r="CL992" s="92"/>
      <c r="CM992" s="92"/>
      <c r="CN992" s="92"/>
      <c r="CO992" s="92"/>
      <c r="CP992" s="92"/>
      <c r="CQ992" s="92"/>
      <c r="CR992" s="92"/>
      <c r="CS992" s="92"/>
      <c r="CT992" s="92"/>
      <c r="CU992" s="92"/>
      <c r="CV992" s="92"/>
      <c r="CW992" s="92"/>
      <c r="CX992" s="85"/>
      <c r="CY992" s="85"/>
      <c r="CZ992" s="85"/>
      <c r="DA992" s="85"/>
      <c r="DB992" s="85"/>
      <c r="DC992" s="85"/>
      <c r="DD992" s="85"/>
      <c r="DE992" s="85"/>
      <c r="DF992" s="85"/>
      <c r="DG992" s="85"/>
      <c r="DH992" s="85"/>
      <c r="DI992" s="85"/>
      <c r="DJ992" s="85"/>
      <c r="DK992" s="85"/>
      <c r="DL992" s="85"/>
      <c r="DM992" s="85"/>
      <c r="DN992" s="85"/>
      <c r="DO992" s="85"/>
      <c r="DP992" s="85"/>
    </row>
    <row r="993">
      <c r="A993" s="91"/>
      <c r="B993" s="91"/>
      <c r="C993" s="91"/>
      <c r="D993" s="91"/>
      <c r="E993" s="78"/>
      <c r="F993" s="15"/>
      <c r="G993" s="15"/>
      <c r="H993" s="91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  <c r="BC993" s="15"/>
      <c r="BD993" s="15"/>
      <c r="BE993" s="15"/>
      <c r="BF993" s="15"/>
      <c r="BG993" s="15"/>
      <c r="BH993" s="15"/>
      <c r="BI993" s="15"/>
      <c r="BJ993" s="15"/>
      <c r="BK993" s="15"/>
      <c r="BL993" s="15"/>
      <c r="BM993" s="15"/>
      <c r="BN993" s="92"/>
      <c r="BO993" s="92"/>
      <c r="BP993" s="92"/>
      <c r="BQ993" s="92"/>
      <c r="BR993" s="92"/>
      <c r="BS993" s="92"/>
      <c r="BT993" s="92"/>
      <c r="BU993" s="92"/>
      <c r="BV993" s="92"/>
      <c r="BW993" s="92"/>
      <c r="BX993" s="92"/>
      <c r="BY993" s="92"/>
      <c r="BZ993" s="92"/>
      <c r="CA993" s="92"/>
      <c r="CB993" s="92"/>
      <c r="CC993" s="92"/>
      <c r="CD993" s="92"/>
      <c r="CE993" s="92"/>
      <c r="CF993" s="92"/>
      <c r="CG993" s="92"/>
      <c r="CH993" s="92"/>
      <c r="CI993" s="92"/>
      <c r="CJ993" s="92"/>
      <c r="CK993" s="92"/>
      <c r="CL993" s="92"/>
      <c r="CM993" s="92"/>
      <c r="CN993" s="92"/>
      <c r="CO993" s="92"/>
      <c r="CP993" s="92"/>
      <c r="CQ993" s="92"/>
      <c r="CR993" s="92"/>
      <c r="CS993" s="92"/>
      <c r="CT993" s="92"/>
      <c r="CU993" s="92"/>
      <c r="CV993" s="92"/>
      <c r="CW993" s="92"/>
      <c r="CX993" s="85"/>
      <c r="CY993" s="85"/>
      <c r="CZ993" s="85"/>
      <c r="DA993" s="85"/>
      <c r="DB993" s="85"/>
      <c r="DC993" s="85"/>
      <c r="DD993" s="85"/>
      <c r="DE993" s="85"/>
      <c r="DF993" s="85"/>
      <c r="DG993" s="85"/>
      <c r="DH993" s="85"/>
      <c r="DI993" s="85"/>
      <c r="DJ993" s="85"/>
      <c r="DK993" s="85"/>
      <c r="DL993" s="85"/>
      <c r="DM993" s="85"/>
      <c r="DN993" s="85"/>
      <c r="DO993" s="85"/>
      <c r="DP993" s="85"/>
    </row>
    <row r="994">
      <c r="A994" s="91"/>
      <c r="B994" s="91"/>
      <c r="C994" s="91"/>
      <c r="D994" s="91"/>
      <c r="E994" s="78"/>
      <c r="F994" s="15"/>
      <c r="G994" s="15"/>
      <c r="H994" s="91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  <c r="BB994" s="15"/>
      <c r="BC994" s="15"/>
      <c r="BD994" s="15"/>
      <c r="BE994" s="15"/>
      <c r="BF994" s="15"/>
      <c r="BG994" s="15"/>
      <c r="BH994" s="15"/>
      <c r="BI994" s="15"/>
      <c r="BJ994" s="15"/>
      <c r="BK994" s="15"/>
      <c r="BL994" s="15"/>
      <c r="BM994" s="15"/>
      <c r="BN994" s="92"/>
      <c r="BO994" s="92"/>
      <c r="BP994" s="92"/>
      <c r="BQ994" s="92"/>
      <c r="BR994" s="92"/>
      <c r="BS994" s="92"/>
      <c r="BT994" s="92"/>
      <c r="BU994" s="92"/>
      <c r="BV994" s="92"/>
      <c r="BW994" s="92"/>
      <c r="BX994" s="92"/>
      <c r="BY994" s="92"/>
      <c r="BZ994" s="92"/>
      <c r="CA994" s="92"/>
      <c r="CB994" s="92"/>
      <c r="CC994" s="92"/>
      <c r="CD994" s="92"/>
      <c r="CE994" s="92"/>
      <c r="CF994" s="92"/>
      <c r="CG994" s="92"/>
      <c r="CH994" s="92"/>
      <c r="CI994" s="92"/>
      <c r="CJ994" s="92"/>
      <c r="CK994" s="92"/>
      <c r="CL994" s="92"/>
      <c r="CM994" s="92"/>
      <c r="CN994" s="92"/>
      <c r="CO994" s="92"/>
      <c r="CP994" s="92"/>
      <c r="CQ994" s="92"/>
      <c r="CR994" s="92"/>
      <c r="CS994" s="92"/>
      <c r="CT994" s="92"/>
      <c r="CU994" s="92"/>
      <c r="CV994" s="92"/>
      <c r="CW994" s="92"/>
      <c r="CX994" s="85"/>
      <c r="CY994" s="85"/>
      <c r="CZ994" s="85"/>
      <c r="DA994" s="85"/>
      <c r="DB994" s="85"/>
      <c r="DC994" s="85"/>
      <c r="DD994" s="85"/>
      <c r="DE994" s="85"/>
      <c r="DF994" s="85"/>
      <c r="DG994" s="85"/>
      <c r="DH994" s="85"/>
      <c r="DI994" s="85"/>
      <c r="DJ994" s="85"/>
      <c r="DK994" s="85"/>
      <c r="DL994" s="85"/>
      <c r="DM994" s="85"/>
      <c r="DN994" s="85"/>
      <c r="DO994" s="85"/>
      <c r="DP994" s="85"/>
    </row>
    <row r="995">
      <c r="A995" s="91"/>
      <c r="B995" s="91"/>
      <c r="C995" s="91"/>
      <c r="D995" s="91"/>
      <c r="E995" s="78"/>
      <c r="F995" s="15"/>
      <c r="G995" s="15"/>
      <c r="H995" s="91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  <c r="BC995" s="15"/>
      <c r="BD995" s="15"/>
      <c r="BE995" s="15"/>
      <c r="BF995" s="15"/>
      <c r="BG995" s="15"/>
      <c r="BH995" s="15"/>
      <c r="BI995" s="15"/>
      <c r="BJ995" s="15"/>
      <c r="BK995" s="15"/>
      <c r="BL995" s="15"/>
      <c r="BM995" s="15"/>
      <c r="BN995" s="92"/>
      <c r="BO995" s="92"/>
      <c r="BP995" s="92"/>
      <c r="BQ995" s="92"/>
      <c r="BR995" s="92"/>
      <c r="BS995" s="92"/>
      <c r="BT995" s="92"/>
      <c r="BU995" s="92"/>
      <c r="BV995" s="92"/>
      <c r="BW995" s="92"/>
      <c r="BX995" s="92"/>
      <c r="BY995" s="92"/>
      <c r="BZ995" s="92"/>
      <c r="CA995" s="92"/>
      <c r="CB995" s="92"/>
      <c r="CC995" s="92"/>
      <c r="CD995" s="92"/>
      <c r="CE995" s="92"/>
      <c r="CF995" s="92"/>
      <c r="CG995" s="92"/>
      <c r="CH995" s="92"/>
      <c r="CI995" s="92"/>
      <c r="CJ995" s="92"/>
      <c r="CK995" s="92"/>
      <c r="CL995" s="92"/>
      <c r="CM995" s="92"/>
      <c r="CN995" s="92"/>
      <c r="CO995" s="92"/>
      <c r="CP995" s="92"/>
      <c r="CQ995" s="92"/>
      <c r="CR995" s="92"/>
      <c r="CS995" s="92"/>
      <c r="CT995" s="92"/>
      <c r="CU995" s="92"/>
      <c r="CV995" s="92"/>
      <c r="CW995" s="92"/>
      <c r="CX995" s="85"/>
      <c r="CY995" s="85"/>
      <c r="CZ995" s="85"/>
      <c r="DA995" s="85"/>
      <c r="DB995" s="85"/>
      <c r="DC995" s="85"/>
      <c r="DD995" s="85"/>
      <c r="DE995" s="85"/>
      <c r="DF995" s="85"/>
      <c r="DG995" s="85"/>
      <c r="DH995" s="85"/>
      <c r="DI995" s="85"/>
      <c r="DJ995" s="85"/>
      <c r="DK995" s="85"/>
      <c r="DL995" s="85"/>
      <c r="DM995" s="85"/>
      <c r="DN995" s="85"/>
      <c r="DO995" s="85"/>
      <c r="DP995" s="85"/>
    </row>
    <row r="996">
      <c r="A996" s="91"/>
      <c r="B996" s="91"/>
      <c r="C996" s="91"/>
      <c r="D996" s="91"/>
      <c r="E996" s="78"/>
      <c r="F996" s="15"/>
      <c r="G996" s="15"/>
      <c r="H996" s="91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  <c r="BB996" s="15"/>
      <c r="BC996" s="15"/>
      <c r="BD996" s="15"/>
      <c r="BE996" s="15"/>
      <c r="BF996" s="15"/>
      <c r="BG996" s="15"/>
      <c r="BH996" s="15"/>
      <c r="BI996" s="15"/>
      <c r="BJ996" s="15"/>
      <c r="BK996" s="15"/>
      <c r="BL996" s="15"/>
      <c r="BM996" s="15"/>
      <c r="BN996" s="92"/>
      <c r="BO996" s="92"/>
      <c r="BP996" s="92"/>
      <c r="BQ996" s="92"/>
      <c r="BR996" s="92"/>
      <c r="BS996" s="92"/>
      <c r="BT996" s="92"/>
      <c r="BU996" s="92"/>
      <c r="BV996" s="92"/>
      <c r="BW996" s="92"/>
      <c r="BX996" s="92"/>
      <c r="BY996" s="92"/>
      <c r="BZ996" s="92"/>
      <c r="CA996" s="92"/>
      <c r="CB996" s="92"/>
      <c r="CC996" s="92"/>
      <c r="CD996" s="92"/>
      <c r="CE996" s="92"/>
      <c r="CF996" s="92"/>
      <c r="CG996" s="92"/>
      <c r="CH996" s="92"/>
      <c r="CI996" s="92"/>
      <c r="CJ996" s="92"/>
      <c r="CK996" s="92"/>
      <c r="CL996" s="92"/>
      <c r="CM996" s="92"/>
      <c r="CN996" s="92"/>
      <c r="CO996" s="92"/>
      <c r="CP996" s="92"/>
      <c r="CQ996" s="92"/>
      <c r="CR996" s="92"/>
      <c r="CS996" s="92"/>
      <c r="CT996" s="92"/>
      <c r="CU996" s="92"/>
      <c r="CV996" s="92"/>
      <c r="CW996" s="92"/>
      <c r="CX996" s="85"/>
      <c r="CY996" s="85"/>
      <c r="CZ996" s="85"/>
      <c r="DA996" s="85"/>
      <c r="DB996" s="85"/>
      <c r="DC996" s="85"/>
      <c r="DD996" s="85"/>
      <c r="DE996" s="85"/>
      <c r="DF996" s="85"/>
      <c r="DG996" s="85"/>
      <c r="DH996" s="85"/>
      <c r="DI996" s="85"/>
      <c r="DJ996" s="85"/>
      <c r="DK996" s="85"/>
      <c r="DL996" s="85"/>
      <c r="DM996" s="85"/>
      <c r="DN996" s="85"/>
      <c r="DO996" s="85"/>
      <c r="DP996" s="85"/>
    </row>
    <row r="997">
      <c r="A997" s="91"/>
      <c r="B997" s="91"/>
      <c r="C997" s="91"/>
      <c r="D997" s="91"/>
      <c r="E997" s="78"/>
      <c r="F997" s="15"/>
      <c r="G997" s="15"/>
      <c r="H997" s="91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  <c r="BC997" s="15"/>
      <c r="BD997" s="15"/>
      <c r="BE997" s="15"/>
      <c r="BF997" s="15"/>
      <c r="BG997" s="15"/>
      <c r="BH997" s="15"/>
      <c r="BI997" s="15"/>
      <c r="BJ997" s="15"/>
      <c r="BK997" s="15"/>
      <c r="BL997" s="15"/>
      <c r="BM997" s="15"/>
      <c r="BN997" s="92"/>
      <c r="BO997" s="92"/>
      <c r="BP997" s="92"/>
      <c r="BQ997" s="92"/>
      <c r="BR997" s="92"/>
      <c r="BS997" s="92"/>
      <c r="BT997" s="92"/>
      <c r="BU997" s="92"/>
      <c r="BV997" s="92"/>
      <c r="BW997" s="92"/>
      <c r="BX997" s="92"/>
      <c r="BY997" s="92"/>
      <c r="BZ997" s="92"/>
      <c r="CA997" s="92"/>
      <c r="CB997" s="92"/>
      <c r="CC997" s="92"/>
      <c r="CD997" s="92"/>
      <c r="CE997" s="92"/>
      <c r="CF997" s="92"/>
      <c r="CG997" s="92"/>
      <c r="CH997" s="92"/>
      <c r="CI997" s="92"/>
      <c r="CJ997" s="92"/>
      <c r="CK997" s="92"/>
      <c r="CL997" s="92"/>
      <c r="CM997" s="92"/>
      <c r="CN997" s="92"/>
      <c r="CO997" s="92"/>
      <c r="CP997" s="92"/>
      <c r="CQ997" s="92"/>
      <c r="CR997" s="92"/>
      <c r="CS997" s="92"/>
      <c r="CT997" s="92"/>
      <c r="CU997" s="92"/>
      <c r="CV997" s="92"/>
      <c r="CW997" s="92"/>
      <c r="CX997" s="85"/>
      <c r="CY997" s="85"/>
      <c r="CZ997" s="85"/>
      <c r="DA997" s="85"/>
      <c r="DB997" s="85"/>
      <c r="DC997" s="85"/>
      <c r="DD997" s="85"/>
      <c r="DE997" s="85"/>
      <c r="DF997" s="85"/>
      <c r="DG997" s="85"/>
      <c r="DH997" s="85"/>
      <c r="DI997" s="85"/>
      <c r="DJ997" s="85"/>
      <c r="DK997" s="85"/>
      <c r="DL997" s="85"/>
      <c r="DM997" s="85"/>
      <c r="DN997" s="85"/>
      <c r="DO997" s="85"/>
      <c r="DP997" s="85"/>
    </row>
    <row r="998">
      <c r="A998" s="91"/>
      <c r="B998" s="91"/>
      <c r="C998" s="91"/>
      <c r="D998" s="91"/>
      <c r="E998" s="78"/>
      <c r="F998" s="15"/>
      <c r="G998" s="15"/>
      <c r="H998" s="91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  <c r="BB998" s="15"/>
      <c r="BC998" s="15"/>
      <c r="BD998" s="15"/>
      <c r="BE998" s="15"/>
      <c r="BF998" s="15"/>
      <c r="BG998" s="15"/>
      <c r="BH998" s="15"/>
      <c r="BI998" s="15"/>
      <c r="BJ998" s="15"/>
      <c r="BK998" s="15"/>
      <c r="BL998" s="15"/>
      <c r="BM998" s="15"/>
      <c r="BN998" s="92"/>
      <c r="BO998" s="92"/>
      <c r="BP998" s="92"/>
      <c r="BQ998" s="92"/>
      <c r="BR998" s="92"/>
      <c r="BS998" s="92"/>
      <c r="BT998" s="92"/>
      <c r="BU998" s="92"/>
      <c r="BV998" s="92"/>
      <c r="BW998" s="92"/>
      <c r="BX998" s="92"/>
      <c r="BY998" s="92"/>
      <c r="BZ998" s="92"/>
      <c r="CA998" s="92"/>
      <c r="CB998" s="92"/>
      <c r="CC998" s="92"/>
      <c r="CD998" s="92"/>
      <c r="CE998" s="92"/>
      <c r="CF998" s="92"/>
      <c r="CG998" s="92"/>
      <c r="CH998" s="92"/>
      <c r="CI998" s="92"/>
      <c r="CJ998" s="92"/>
      <c r="CK998" s="92"/>
      <c r="CL998" s="92"/>
      <c r="CM998" s="92"/>
      <c r="CN998" s="92"/>
      <c r="CO998" s="92"/>
      <c r="CP998" s="92"/>
      <c r="CQ998" s="92"/>
      <c r="CR998" s="92"/>
      <c r="CS998" s="92"/>
      <c r="CT998" s="92"/>
      <c r="CU998" s="92"/>
      <c r="CV998" s="92"/>
      <c r="CW998" s="92"/>
      <c r="CX998" s="85"/>
      <c r="CY998" s="85"/>
      <c r="CZ998" s="85"/>
      <c r="DA998" s="85"/>
      <c r="DB998" s="85"/>
      <c r="DC998" s="85"/>
      <c r="DD998" s="85"/>
      <c r="DE998" s="85"/>
      <c r="DF998" s="85"/>
      <c r="DG998" s="85"/>
      <c r="DH998" s="85"/>
      <c r="DI998" s="85"/>
      <c r="DJ998" s="85"/>
      <c r="DK998" s="85"/>
      <c r="DL998" s="85"/>
      <c r="DM998" s="85"/>
      <c r="DN998" s="85"/>
      <c r="DO998" s="85"/>
      <c r="DP998" s="85"/>
    </row>
    <row r="999">
      <c r="A999" s="91"/>
      <c r="B999" s="91"/>
      <c r="C999" s="91"/>
      <c r="D999" s="91"/>
      <c r="E999" s="78"/>
      <c r="F999" s="15"/>
      <c r="G999" s="15"/>
      <c r="H999" s="91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  <c r="BC999" s="15"/>
      <c r="BD999" s="15"/>
      <c r="BE999" s="15"/>
      <c r="BF999" s="15"/>
      <c r="BG999" s="15"/>
      <c r="BH999" s="15"/>
      <c r="BI999" s="15"/>
      <c r="BJ999" s="15"/>
      <c r="BK999" s="15"/>
      <c r="BL999" s="15"/>
      <c r="BM999" s="15"/>
      <c r="BN999" s="92"/>
      <c r="BO999" s="92"/>
      <c r="BP999" s="92"/>
      <c r="BQ999" s="92"/>
      <c r="BR999" s="92"/>
      <c r="BS999" s="92"/>
      <c r="BT999" s="92"/>
      <c r="BU999" s="92"/>
      <c r="BV999" s="92"/>
      <c r="BW999" s="92"/>
      <c r="BX999" s="92"/>
      <c r="BY999" s="92"/>
      <c r="BZ999" s="92"/>
      <c r="CA999" s="92"/>
      <c r="CB999" s="92"/>
      <c r="CC999" s="92"/>
      <c r="CD999" s="92"/>
      <c r="CE999" s="92"/>
      <c r="CF999" s="92"/>
      <c r="CG999" s="92"/>
      <c r="CH999" s="92"/>
      <c r="CI999" s="92"/>
      <c r="CJ999" s="92"/>
      <c r="CK999" s="92"/>
      <c r="CL999" s="92"/>
      <c r="CM999" s="92"/>
      <c r="CN999" s="92"/>
      <c r="CO999" s="92"/>
      <c r="CP999" s="92"/>
      <c r="CQ999" s="92"/>
      <c r="CR999" s="92"/>
      <c r="CS999" s="92"/>
      <c r="CT999" s="92"/>
      <c r="CU999" s="92"/>
      <c r="CV999" s="92"/>
      <c r="CW999" s="92"/>
      <c r="CX999" s="85"/>
      <c r="CY999" s="85"/>
      <c r="CZ999" s="85"/>
      <c r="DA999" s="85"/>
      <c r="DB999" s="85"/>
      <c r="DC999" s="85"/>
      <c r="DD999" s="85"/>
      <c r="DE999" s="85"/>
      <c r="DF999" s="85"/>
      <c r="DG999" s="85"/>
      <c r="DH999" s="85"/>
      <c r="DI999" s="85"/>
      <c r="DJ999" s="85"/>
      <c r="DK999" s="85"/>
      <c r="DL999" s="85"/>
      <c r="DM999" s="85"/>
      <c r="DN999" s="85"/>
      <c r="DO999" s="85"/>
      <c r="DP999" s="85"/>
    </row>
    <row r="1000">
      <c r="A1000" s="91"/>
      <c r="B1000" s="91"/>
      <c r="C1000" s="91"/>
      <c r="D1000" s="91"/>
      <c r="E1000" s="78"/>
      <c r="F1000" s="15"/>
      <c r="G1000" s="15"/>
      <c r="H1000" s="91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/>
      <c r="BB1000" s="15"/>
      <c r="BC1000" s="15"/>
      <c r="BD1000" s="15"/>
      <c r="BE1000" s="15"/>
      <c r="BF1000" s="15"/>
      <c r="BG1000" s="15"/>
      <c r="BH1000" s="15"/>
      <c r="BI1000" s="15"/>
      <c r="BJ1000" s="15"/>
      <c r="BK1000" s="15"/>
      <c r="BL1000" s="15"/>
      <c r="BM1000" s="15"/>
      <c r="BN1000" s="92"/>
      <c r="BO1000" s="92"/>
      <c r="BP1000" s="92"/>
      <c r="BQ1000" s="92"/>
      <c r="BR1000" s="92"/>
      <c r="BS1000" s="92"/>
      <c r="BT1000" s="92"/>
      <c r="BU1000" s="92"/>
      <c r="BV1000" s="92"/>
      <c r="BW1000" s="92"/>
      <c r="BX1000" s="92"/>
      <c r="BY1000" s="92"/>
      <c r="BZ1000" s="92"/>
      <c r="CA1000" s="92"/>
      <c r="CB1000" s="92"/>
      <c r="CC1000" s="92"/>
      <c r="CD1000" s="92"/>
      <c r="CE1000" s="92"/>
      <c r="CF1000" s="92"/>
      <c r="CG1000" s="92"/>
      <c r="CH1000" s="92"/>
      <c r="CI1000" s="92"/>
      <c r="CJ1000" s="92"/>
      <c r="CK1000" s="92"/>
      <c r="CL1000" s="92"/>
      <c r="CM1000" s="92"/>
      <c r="CN1000" s="92"/>
      <c r="CO1000" s="92"/>
      <c r="CP1000" s="92"/>
      <c r="CQ1000" s="92"/>
      <c r="CR1000" s="92"/>
      <c r="CS1000" s="92"/>
      <c r="CT1000" s="92"/>
      <c r="CU1000" s="92"/>
      <c r="CV1000" s="92"/>
      <c r="CW1000" s="92"/>
      <c r="CX1000" s="85"/>
      <c r="CY1000" s="85"/>
      <c r="CZ1000" s="85"/>
      <c r="DA1000" s="85"/>
      <c r="DB1000" s="85"/>
      <c r="DC1000" s="85"/>
      <c r="DD1000" s="85"/>
      <c r="DE1000" s="85"/>
      <c r="DF1000" s="85"/>
      <c r="DG1000" s="85"/>
      <c r="DH1000" s="85"/>
      <c r="DI1000" s="85"/>
      <c r="DJ1000" s="85"/>
      <c r="DK1000" s="85"/>
      <c r="DL1000" s="85"/>
      <c r="DM1000" s="85"/>
      <c r="DN1000" s="85"/>
      <c r="DO1000" s="85"/>
      <c r="DP1000" s="85"/>
    </row>
    <row r="1001">
      <c r="A1001" s="91"/>
      <c r="B1001" s="91"/>
      <c r="C1001" s="91"/>
      <c r="D1001" s="91"/>
      <c r="E1001" s="78"/>
      <c r="F1001" s="15"/>
      <c r="G1001" s="15"/>
      <c r="H1001" s="91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15"/>
      <c r="AJ1001" s="15"/>
      <c r="AK1001" s="15"/>
      <c r="AL1001" s="15"/>
      <c r="AM1001" s="15"/>
      <c r="AN1001" s="15"/>
      <c r="AO1001" s="15"/>
      <c r="AP1001" s="15"/>
      <c r="AQ1001" s="15"/>
      <c r="AR1001" s="15"/>
      <c r="AS1001" s="15"/>
      <c r="AT1001" s="15"/>
      <c r="AU1001" s="15"/>
      <c r="AV1001" s="15"/>
      <c r="AW1001" s="15"/>
      <c r="AX1001" s="15"/>
      <c r="AY1001" s="15"/>
      <c r="AZ1001" s="15"/>
      <c r="BA1001" s="15"/>
      <c r="BB1001" s="15"/>
      <c r="BC1001" s="15"/>
      <c r="BD1001" s="15"/>
      <c r="BE1001" s="15"/>
      <c r="BF1001" s="15"/>
      <c r="BG1001" s="15"/>
      <c r="BH1001" s="15"/>
      <c r="BI1001" s="15"/>
      <c r="BJ1001" s="15"/>
      <c r="BK1001" s="15"/>
      <c r="BL1001" s="15"/>
      <c r="BM1001" s="15"/>
      <c r="BN1001" s="92"/>
      <c r="BO1001" s="92"/>
      <c r="BP1001" s="92"/>
      <c r="BQ1001" s="92"/>
      <c r="BR1001" s="92"/>
      <c r="BS1001" s="92"/>
      <c r="BT1001" s="92"/>
      <c r="BU1001" s="92"/>
      <c r="BV1001" s="92"/>
      <c r="BW1001" s="92"/>
      <c r="BX1001" s="92"/>
      <c r="BY1001" s="92"/>
      <c r="BZ1001" s="92"/>
      <c r="CA1001" s="92"/>
      <c r="CB1001" s="92"/>
      <c r="CC1001" s="92"/>
      <c r="CD1001" s="92"/>
      <c r="CE1001" s="92"/>
      <c r="CF1001" s="92"/>
      <c r="CG1001" s="92"/>
      <c r="CH1001" s="92"/>
      <c r="CI1001" s="92"/>
      <c r="CJ1001" s="92"/>
      <c r="CK1001" s="92"/>
      <c r="CL1001" s="92"/>
      <c r="CM1001" s="92"/>
      <c r="CN1001" s="92"/>
      <c r="CO1001" s="92"/>
      <c r="CP1001" s="92"/>
      <c r="CQ1001" s="92"/>
      <c r="CR1001" s="92"/>
      <c r="CS1001" s="92"/>
      <c r="CT1001" s="92"/>
      <c r="CU1001" s="92"/>
      <c r="CV1001" s="92"/>
      <c r="CW1001" s="92"/>
      <c r="CX1001" s="85"/>
      <c r="CY1001" s="85"/>
      <c r="CZ1001" s="85"/>
      <c r="DA1001" s="85"/>
      <c r="DB1001" s="85"/>
      <c r="DC1001" s="85"/>
      <c r="DD1001" s="85"/>
      <c r="DE1001" s="85"/>
      <c r="DF1001" s="85"/>
      <c r="DG1001" s="85"/>
      <c r="DH1001" s="85"/>
      <c r="DI1001" s="85"/>
      <c r="DJ1001" s="85"/>
      <c r="DK1001" s="85"/>
      <c r="DL1001" s="85"/>
      <c r="DM1001" s="85"/>
      <c r="DN1001" s="85"/>
      <c r="DO1001" s="85"/>
      <c r="DP1001" s="85"/>
    </row>
    <row r="1002">
      <c r="A1002" s="91"/>
      <c r="B1002" s="91"/>
      <c r="C1002" s="91"/>
      <c r="D1002" s="91"/>
      <c r="E1002" s="78"/>
      <c r="F1002" s="15"/>
      <c r="G1002" s="15"/>
      <c r="H1002" s="91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  <c r="AD1002" s="15"/>
      <c r="AE1002" s="15"/>
      <c r="AF1002" s="15"/>
      <c r="AG1002" s="15"/>
      <c r="AH1002" s="15"/>
      <c r="AI1002" s="15"/>
      <c r="AJ1002" s="15"/>
      <c r="AK1002" s="15"/>
      <c r="AL1002" s="15"/>
      <c r="AM1002" s="15"/>
      <c r="AN1002" s="15"/>
      <c r="AO1002" s="15"/>
      <c r="AP1002" s="15"/>
      <c r="AQ1002" s="15"/>
      <c r="AR1002" s="15"/>
      <c r="AS1002" s="15"/>
      <c r="AT1002" s="15"/>
      <c r="AU1002" s="15"/>
      <c r="AV1002" s="15"/>
      <c r="AW1002" s="15"/>
      <c r="AX1002" s="15"/>
      <c r="AY1002" s="15"/>
      <c r="AZ1002" s="15"/>
      <c r="BA1002" s="15"/>
      <c r="BB1002" s="15"/>
      <c r="BC1002" s="15"/>
      <c r="BD1002" s="15"/>
      <c r="BE1002" s="15"/>
      <c r="BF1002" s="15"/>
      <c r="BG1002" s="15"/>
      <c r="BH1002" s="15"/>
      <c r="BI1002" s="15"/>
      <c r="BJ1002" s="15"/>
      <c r="BK1002" s="15"/>
      <c r="BL1002" s="15"/>
      <c r="BM1002" s="15"/>
      <c r="BN1002" s="92"/>
      <c r="BO1002" s="92"/>
      <c r="BP1002" s="92"/>
      <c r="BQ1002" s="92"/>
      <c r="BR1002" s="92"/>
      <c r="BS1002" s="92"/>
      <c r="BT1002" s="92"/>
      <c r="BU1002" s="92"/>
      <c r="BV1002" s="92"/>
      <c r="BW1002" s="92"/>
      <c r="BX1002" s="92"/>
      <c r="BY1002" s="92"/>
      <c r="BZ1002" s="92"/>
      <c r="CA1002" s="92"/>
      <c r="CB1002" s="92"/>
      <c r="CC1002" s="92"/>
      <c r="CD1002" s="92"/>
      <c r="CE1002" s="92"/>
      <c r="CF1002" s="92"/>
      <c r="CG1002" s="92"/>
      <c r="CH1002" s="92"/>
      <c r="CI1002" s="92"/>
      <c r="CJ1002" s="92"/>
      <c r="CK1002" s="92"/>
      <c r="CL1002" s="92"/>
      <c r="CM1002" s="92"/>
      <c r="CN1002" s="92"/>
      <c r="CO1002" s="92"/>
      <c r="CP1002" s="92"/>
      <c r="CQ1002" s="92"/>
      <c r="CR1002" s="92"/>
      <c r="CS1002" s="92"/>
      <c r="CT1002" s="92"/>
      <c r="CU1002" s="92"/>
      <c r="CV1002" s="92"/>
      <c r="CW1002" s="92"/>
      <c r="CX1002" s="85"/>
      <c r="CY1002" s="85"/>
      <c r="CZ1002" s="85"/>
      <c r="DA1002" s="85"/>
      <c r="DB1002" s="85"/>
      <c r="DC1002" s="85"/>
      <c r="DD1002" s="85"/>
      <c r="DE1002" s="85"/>
      <c r="DF1002" s="85"/>
      <c r="DG1002" s="85"/>
      <c r="DH1002" s="85"/>
      <c r="DI1002" s="85"/>
      <c r="DJ1002" s="85"/>
      <c r="DK1002" s="85"/>
      <c r="DL1002" s="85"/>
      <c r="DM1002" s="85"/>
      <c r="DN1002" s="85"/>
      <c r="DO1002" s="85"/>
      <c r="DP1002" s="85"/>
    </row>
    <row r="1003">
      <c r="A1003" s="91"/>
      <c r="B1003" s="91"/>
      <c r="C1003" s="91"/>
      <c r="D1003" s="91"/>
      <c r="E1003" s="78"/>
      <c r="F1003" s="15"/>
      <c r="G1003" s="15"/>
      <c r="H1003" s="91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15"/>
      <c r="AH1003" s="15"/>
      <c r="AI1003" s="15"/>
      <c r="AJ1003" s="15"/>
      <c r="AK1003" s="15"/>
      <c r="AL1003" s="15"/>
      <c r="AM1003" s="15"/>
      <c r="AN1003" s="15"/>
      <c r="AO1003" s="15"/>
      <c r="AP1003" s="15"/>
      <c r="AQ1003" s="15"/>
      <c r="AR1003" s="15"/>
      <c r="AS1003" s="15"/>
      <c r="AT1003" s="15"/>
      <c r="AU1003" s="15"/>
      <c r="AV1003" s="15"/>
      <c r="AW1003" s="15"/>
      <c r="AX1003" s="15"/>
      <c r="AY1003" s="15"/>
      <c r="AZ1003" s="15"/>
      <c r="BA1003" s="15"/>
      <c r="BB1003" s="15"/>
      <c r="BC1003" s="15"/>
      <c r="BD1003" s="15"/>
      <c r="BE1003" s="15"/>
      <c r="BF1003" s="15"/>
      <c r="BG1003" s="15"/>
      <c r="BH1003" s="15"/>
      <c r="BI1003" s="15"/>
      <c r="BJ1003" s="15"/>
      <c r="BK1003" s="15"/>
      <c r="BL1003" s="15"/>
      <c r="BM1003" s="15"/>
      <c r="BN1003" s="92"/>
      <c r="BO1003" s="92"/>
      <c r="BP1003" s="92"/>
      <c r="BQ1003" s="92"/>
      <c r="BR1003" s="92"/>
      <c r="BS1003" s="92"/>
      <c r="BT1003" s="92"/>
      <c r="BU1003" s="92"/>
      <c r="BV1003" s="92"/>
      <c r="BW1003" s="92"/>
      <c r="BX1003" s="92"/>
      <c r="BY1003" s="92"/>
      <c r="BZ1003" s="92"/>
      <c r="CA1003" s="92"/>
      <c r="CB1003" s="92"/>
      <c r="CC1003" s="92"/>
      <c r="CD1003" s="92"/>
      <c r="CE1003" s="92"/>
      <c r="CF1003" s="92"/>
      <c r="CG1003" s="92"/>
      <c r="CH1003" s="92"/>
      <c r="CI1003" s="92"/>
      <c r="CJ1003" s="92"/>
      <c r="CK1003" s="92"/>
      <c r="CL1003" s="92"/>
      <c r="CM1003" s="92"/>
      <c r="CN1003" s="92"/>
      <c r="CO1003" s="92"/>
      <c r="CP1003" s="92"/>
      <c r="CQ1003" s="92"/>
      <c r="CR1003" s="92"/>
      <c r="CS1003" s="92"/>
      <c r="CT1003" s="92"/>
      <c r="CU1003" s="92"/>
      <c r="CV1003" s="92"/>
      <c r="CW1003" s="92"/>
      <c r="CX1003" s="85"/>
      <c r="CY1003" s="85"/>
      <c r="CZ1003" s="85"/>
      <c r="DA1003" s="85"/>
      <c r="DB1003" s="85"/>
      <c r="DC1003" s="85"/>
      <c r="DD1003" s="85"/>
      <c r="DE1003" s="85"/>
      <c r="DF1003" s="85"/>
      <c r="DG1003" s="85"/>
      <c r="DH1003" s="85"/>
      <c r="DI1003" s="85"/>
      <c r="DJ1003" s="85"/>
      <c r="DK1003" s="85"/>
      <c r="DL1003" s="85"/>
      <c r="DM1003" s="85"/>
      <c r="DN1003" s="85"/>
      <c r="DO1003" s="85"/>
      <c r="DP1003" s="85"/>
    </row>
    <row r="1004">
      <c r="A1004" s="91"/>
      <c r="B1004" s="91"/>
      <c r="C1004" s="91"/>
      <c r="D1004" s="91"/>
      <c r="E1004" s="78"/>
      <c r="F1004" s="15"/>
      <c r="G1004" s="15"/>
      <c r="H1004" s="91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  <c r="AD1004" s="15"/>
      <c r="AE1004" s="15"/>
      <c r="AF1004" s="15"/>
      <c r="AG1004" s="15"/>
      <c r="AH1004" s="15"/>
      <c r="AI1004" s="15"/>
      <c r="AJ1004" s="15"/>
      <c r="AK1004" s="15"/>
      <c r="AL1004" s="15"/>
      <c r="AM1004" s="15"/>
      <c r="AN1004" s="15"/>
      <c r="AO1004" s="15"/>
      <c r="AP1004" s="15"/>
      <c r="AQ1004" s="15"/>
      <c r="AR1004" s="15"/>
      <c r="AS1004" s="15"/>
      <c r="AT1004" s="15"/>
      <c r="AU1004" s="15"/>
      <c r="AV1004" s="15"/>
      <c r="AW1004" s="15"/>
      <c r="AX1004" s="15"/>
      <c r="AY1004" s="15"/>
      <c r="AZ1004" s="15"/>
      <c r="BA1004" s="15"/>
      <c r="BB1004" s="15"/>
      <c r="BC1004" s="15"/>
      <c r="BD1004" s="15"/>
      <c r="BE1004" s="15"/>
      <c r="BF1004" s="15"/>
      <c r="BG1004" s="15"/>
      <c r="BH1004" s="15"/>
      <c r="BI1004" s="15"/>
      <c r="BJ1004" s="15"/>
      <c r="BK1004" s="15"/>
      <c r="BL1004" s="15"/>
      <c r="BM1004" s="15"/>
      <c r="BN1004" s="92"/>
      <c r="BO1004" s="92"/>
      <c r="BP1004" s="92"/>
      <c r="BQ1004" s="92"/>
      <c r="BR1004" s="92"/>
      <c r="BS1004" s="92"/>
      <c r="BT1004" s="92"/>
      <c r="BU1004" s="92"/>
      <c r="BV1004" s="92"/>
      <c r="BW1004" s="92"/>
      <c r="BX1004" s="92"/>
      <c r="BY1004" s="92"/>
      <c r="BZ1004" s="92"/>
      <c r="CA1004" s="92"/>
      <c r="CB1004" s="92"/>
      <c r="CC1004" s="92"/>
      <c r="CD1004" s="92"/>
      <c r="CE1004" s="92"/>
      <c r="CF1004" s="92"/>
      <c r="CG1004" s="92"/>
      <c r="CH1004" s="92"/>
      <c r="CI1004" s="92"/>
      <c r="CJ1004" s="92"/>
      <c r="CK1004" s="92"/>
      <c r="CL1004" s="92"/>
      <c r="CM1004" s="92"/>
      <c r="CN1004" s="92"/>
      <c r="CO1004" s="92"/>
      <c r="CP1004" s="92"/>
      <c r="CQ1004" s="92"/>
      <c r="CR1004" s="92"/>
      <c r="CS1004" s="92"/>
      <c r="CT1004" s="92"/>
      <c r="CU1004" s="92"/>
      <c r="CV1004" s="92"/>
      <c r="CW1004" s="92"/>
      <c r="CX1004" s="85"/>
      <c r="CY1004" s="85"/>
      <c r="CZ1004" s="85"/>
      <c r="DA1004" s="85"/>
      <c r="DB1004" s="85"/>
      <c r="DC1004" s="85"/>
      <c r="DD1004" s="85"/>
      <c r="DE1004" s="85"/>
      <c r="DF1004" s="85"/>
      <c r="DG1004" s="85"/>
      <c r="DH1004" s="85"/>
      <c r="DI1004" s="85"/>
      <c r="DJ1004" s="85"/>
      <c r="DK1004" s="85"/>
      <c r="DL1004" s="85"/>
      <c r="DM1004" s="85"/>
      <c r="DN1004" s="85"/>
      <c r="DO1004" s="85"/>
      <c r="DP1004" s="85"/>
    </row>
    <row r="1005">
      <c r="A1005" s="91"/>
      <c r="B1005" s="91"/>
      <c r="C1005" s="91"/>
      <c r="D1005" s="91"/>
      <c r="E1005" s="78"/>
      <c r="F1005" s="15"/>
      <c r="G1005" s="15"/>
      <c r="H1005" s="91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15"/>
      <c r="AH1005" s="15"/>
      <c r="AI1005" s="15"/>
      <c r="AJ1005" s="15"/>
      <c r="AK1005" s="15"/>
      <c r="AL1005" s="15"/>
      <c r="AM1005" s="15"/>
      <c r="AN1005" s="15"/>
      <c r="AO1005" s="15"/>
      <c r="AP1005" s="15"/>
      <c r="AQ1005" s="15"/>
      <c r="AR1005" s="15"/>
      <c r="AS1005" s="15"/>
      <c r="AT1005" s="15"/>
      <c r="AU1005" s="15"/>
      <c r="AV1005" s="15"/>
      <c r="AW1005" s="15"/>
      <c r="AX1005" s="15"/>
      <c r="AY1005" s="15"/>
      <c r="AZ1005" s="15"/>
      <c r="BA1005" s="15"/>
      <c r="BB1005" s="15"/>
      <c r="BC1005" s="15"/>
      <c r="BD1005" s="15"/>
      <c r="BE1005" s="15"/>
      <c r="BF1005" s="15"/>
      <c r="BG1005" s="15"/>
      <c r="BH1005" s="15"/>
      <c r="BI1005" s="15"/>
      <c r="BJ1005" s="15"/>
      <c r="BK1005" s="15"/>
      <c r="BL1005" s="15"/>
      <c r="BM1005" s="15"/>
      <c r="BN1005" s="92"/>
      <c r="BO1005" s="92"/>
      <c r="BP1005" s="92"/>
      <c r="BQ1005" s="92"/>
      <c r="BR1005" s="92"/>
      <c r="BS1005" s="92"/>
      <c r="BT1005" s="92"/>
      <c r="BU1005" s="92"/>
      <c r="BV1005" s="92"/>
      <c r="BW1005" s="92"/>
      <c r="BX1005" s="92"/>
      <c r="BY1005" s="92"/>
      <c r="BZ1005" s="92"/>
      <c r="CA1005" s="92"/>
      <c r="CB1005" s="92"/>
      <c r="CC1005" s="92"/>
      <c r="CD1005" s="92"/>
      <c r="CE1005" s="92"/>
      <c r="CF1005" s="92"/>
      <c r="CG1005" s="92"/>
      <c r="CH1005" s="92"/>
      <c r="CI1005" s="92"/>
      <c r="CJ1005" s="92"/>
      <c r="CK1005" s="92"/>
      <c r="CL1005" s="92"/>
      <c r="CM1005" s="92"/>
      <c r="CN1005" s="92"/>
      <c r="CO1005" s="92"/>
      <c r="CP1005" s="92"/>
      <c r="CQ1005" s="92"/>
      <c r="CR1005" s="92"/>
      <c r="CS1005" s="92"/>
      <c r="CT1005" s="92"/>
      <c r="CU1005" s="92"/>
      <c r="CV1005" s="92"/>
      <c r="CW1005" s="92"/>
      <c r="CX1005" s="85"/>
      <c r="CY1005" s="85"/>
      <c r="CZ1005" s="85"/>
      <c r="DA1005" s="85"/>
      <c r="DB1005" s="85"/>
      <c r="DC1005" s="85"/>
      <c r="DD1005" s="85"/>
      <c r="DE1005" s="85"/>
      <c r="DF1005" s="85"/>
      <c r="DG1005" s="85"/>
      <c r="DH1005" s="85"/>
      <c r="DI1005" s="85"/>
      <c r="DJ1005" s="85"/>
      <c r="DK1005" s="85"/>
      <c r="DL1005" s="85"/>
      <c r="DM1005" s="85"/>
      <c r="DN1005" s="85"/>
      <c r="DO1005" s="85"/>
      <c r="DP1005" s="85"/>
    </row>
    <row r="1006">
      <c r="A1006" s="91"/>
      <c r="B1006" s="91"/>
      <c r="C1006" s="91"/>
      <c r="D1006" s="91"/>
      <c r="E1006" s="78"/>
      <c r="F1006" s="15"/>
      <c r="G1006" s="15"/>
      <c r="H1006" s="91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  <c r="AC1006" s="15"/>
      <c r="AD1006" s="15"/>
      <c r="AE1006" s="15"/>
      <c r="AF1006" s="15"/>
      <c r="AG1006" s="15"/>
      <c r="AH1006" s="15"/>
      <c r="AI1006" s="15"/>
      <c r="AJ1006" s="15"/>
      <c r="AK1006" s="15"/>
      <c r="AL1006" s="15"/>
      <c r="AM1006" s="15"/>
      <c r="AN1006" s="15"/>
      <c r="AO1006" s="15"/>
      <c r="AP1006" s="15"/>
      <c r="AQ1006" s="15"/>
      <c r="AR1006" s="15"/>
      <c r="AS1006" s="15"/>
      <c r="AT1006" s="15"/>
      <c r="AU1006" s="15"/>
      <c r="AV1006" s="15"/>
      <c r="AW1006" s="15"/>
      <c r="AX1006" s="15"/>
      <c r="AY1006" s="15"/>
      <c r="AZ1006" s="15"/>
      <c r="BA1006" s="15"/>
      <c r="BB1006" s="15"/>
      <c r="BC1006" s="15"/>
      <c r="BD1006" s="15"/>
      <c r="BE1006" s="15"/>
      <c r="BF1006" s="15"/>
      <c r="BG1006" s="15"/>
      <c r="BH1006" s="15"/>
      <c r="BI1006" s="15"/>
      <c r="BJ1006" s="15"/>
      <c r="BK1006" s="15"/>
      <c r="BL1006" s="15"/>
      <c r="BM1006" s="15"/>
      <c r="BN1006" s="92"/>
      <c r="BO1006" s="92"/>
      <c r="BP1006" s="92"/>
      <c r="BQ1006" s="92"/>
      <c r="BR1006" s="92"/>
      <c r="BS1006" s="92"/>
      <c r="BT1006" s="92"/>
      <c r="BU1006" s="92"/>
      <c r="BV1006" s="92"/>
      <c r="BW1006" s="92"/>
      <c r="BX1006" s="92"/>
      <c r="BY1006" s="92"/>
      <c r="BZ1006" s="92"/>
      <c r="CA1006" s="92"/>
      <c r="CB1006" s="92"/>
      <c r="CC1006" s="92"/>
      <c r="CD1006" s="92"/>
      <c r="CE1006" s="92"/>
      <c r="CF1006" s="92"/>
      <c r="CG1006" s="92"/>
      <c r="CH1006" s="92"/>
      <c r="CI1006" s="92"/>
      <c r="CJ1006" s="92"/>
      <c r="CK1006" s="92"/>
      <c r="CL1006" s="92"/>
      <c r="CM1006" s="92"/>
      <c r="CN1006" s="92"/>
      <c r="CO1006" s="92"/>
      <c r="CP1006" s="92"/>
      <c r="CQ1006" s="92"/>
      <c r="CR1006" s="92"/>
      <c r="CS1006" s="92"/>
      <c r="CT1006" s="92"/>
      <c r="CU1006" s="92"/>
      <c r="CV1006" s="92"/>
      <c r="CW1006" s="92"/>
      <c r="CX1006" s="85"/>
      <c r="CY1006" s="85"/>
      <c r="CZ1006" s="85"/>
      <c r="DA1006" s="85"/>
      <c r="DB1006" s="85"/>
      <c r="DC1006" s="85"/>
      <c r="DD1006" s="85"/>
      <c r="DE1006" s="85"/>
      <c r="DF1006" s="85"/>
      <c r="DG1006" s="85"/>
      <c r="DH1006" s="85"/>
      <c r="DI1006" s="85"/>
      <c r="DJ1006" s="85"/>
      <c r="DK1006" s="85"/>
      <c r="DL1006" s="85"/>
      <c r="DM1006" s="85"/>
      <c r="DN1006" s="85"/>
      <c r="DO1006" s="85"/>
      <c r="DP1006" s="85"/>
    </row>
    <row r="1007">
      <c r="A1007" s="91"/>
      <c r="B1007" s="91"/>
      <c r="C1007" s="91"/>
      <c r="D1007" s="91"/>
      <c r="E1007" s="78"/>
      <c r="F1007" s="15"/>
      <c r="G1007" s="15"/>
      <c r="H1007" s="91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  <c r="AC1007" s="15"/>
      <c r="AD1007" s="15"/>
      <c r="AE1007" s="15"/>
      <c r="AF1007" s="15"/>
      <c r="AG1007" s="15"/>
      <c r="AH1007" s="15"/>
      <c r="AI1007" s="15"/>
      <c r="AJ1007" s="15"/>
      <c r="AK1007" s="15"/>
      <c r="AL1007" s="15"/>
      <c r="AM1007" s="15"/>
      <c r="AN1007" s="15"/>
      <c r="AO1007" s="15"/>
      <c r="AP1007" s="15"/>
      <c r="AQ1007" s="15"/>
      <c r="AR1007" s="15"/>
      <c r="AS1007" s="15"/>
      <c r="AT1007" s="15"/>
      <c r="AU1007" s="15"/>
      <c r="AV1007" s="15"/>
      <c r="AW1007" s="15"/>
      <c r="AX1007" s="15"/>
      <c r="AY1007" s="15"/>
      <c r="AZ1007" s="15"/>
      <c r="BA1007" s="15"/>
      <c r="BB1007" s="15"/>
      <c r="BC1007" s="15"/>
      <c r="BD1007" s="15"/>
      <c r="BE1007" s="15"/>
      <c r="BF1007" s="15"/>
      <c r="BG1007" s="15"/>
      <c r="BH1007" s="15"/>
      <c r="BI1007" s="15"/>
      <c r="BJ1007" s="15"/>
      <c r="BK1007" s="15"/>
      <c r="BL1007" s="15"/>
      <c r="BM1007" s="15"/>
      <c r="BN1007" s="92"/>
      <c r="BO1007" s="92"/>
      <c r="BP1007" s="92"/>
      <c r="BQ1007" s="92"/>
      <c r="BR1007" s="92"/>
      <c r="BS1007" s="92"/>
      <c r="BT1007" s="92"/>
      <c r="BU1007" s="92"/>
      <c r="BV1007" s="92"/>
      <c r="BW1007" s="92"/>
      <c r="BX1007" s="92"/>
      <c r="BY1007" s="92"/>
      <c r="BZ1007" s="92"/>
      <c r="CA1007" s="92"/>
      <c r="CB1007" s="92"/>
      <c r="CC1007" s="92"/>
      <c r="CD1007" s="92"/>
      <c r="CE1007" s="92"/>
      <c r="CF1007" s="92"/>
      <c r="CG1007" s="92"/>
      <c r="CH1007" s="92"/>
      <c r="CI1007" s="92"/>
      <c r="CJ1007" s="92"/>
      <c r="CK1007" s="92"/>
      <c r="CL1007" s="92"/>
      <c r="CM1007" s="92"/>
      <c r="CN1007" s="92"/>
      <c r="CO1007" s="92"/>
      <c r="CP1007" s="92"/>
      <c r="CQ1007" s="92"/>
      <c r="CR1007" s="92"/>
      <c r="CS1007" s="92"/>
      <c r="CT1007" s="92"/>
      <c r="CU1007" s="92"/>
      <c r="CV1007" s="92"/>
      <c r="CW1007" s="92"/>
      <c r="CX1007" s="85"/>
      <c r="CY1007" s="85"/>
      <c r="CZ1007" s="85"/>
      <c r="DA1007" s="85"/>
      <c r="DB1007" s="85"/>
      <c r="DC1007" s="85"/>
      <c r="DD1007" s="85"/>
      <c r="DE1007" s="85"/>
      <c r="DF1007" s="85"/>
      <c r="DG1007" s="85"/>
      <c r="DH1007" s="85"/>
      <c r="DI1007" s="85"/>
      <c r="DJ1007" s="85"/>
      <c r="DK1007" s="85"/>
      <c r="DL1007" s="85"/>
      <c r="DM1007" s="85"/>
      <c r="DN1007" s="85"/>
      <c r="DO1007" s="85"/>
      <c r="DP1007" s="85"/>
    </row>
    <row r="1008">
      <c r="A1008" s="91"/>
      <c r="B1008" s="91"/>
      <c r="C1008" s="91"/>
      <c r="D1008" s="91"/>
      <c r="E1008" s="78"/>
      <c r="F1008" s="15"/>
      <c r="G1008" s="15"/>
      <c r="H1008" s="91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  <c r="AC1008" s="15"/>
      <c r="AD1008" s="15"/>
      <c r="AE1008" s="15"/>
      <c r="AF1008" s="15"/>
      <c r="AG1008" s="15"/>
      <c r="AH1008" s="15"/>
      <c r="AI1008" s="15"/>
      <c r="AJ1008" s="15"/>
      <c r="AK1008" s="15"/>
      <c r="AL1008" s="15"/>
      <c r="AM1008" s="15"/>
      <c r="AN1008" s="15"/>
      <c r="AO1008" s="15"/>
      <c r="AP1008" s="15"/>
      <c r="AQ1008" s="15"/>
      <c r="AR1008" s="15"/>
      <c r="AS1008" s="15"/>
      <c r="AT1008" s="15"/>
      <c r="AU1008" s="15"/>
      <c r="AV1008" s="15"/>
      <c r="AW1008" s="15"/>
      <c r="AX1008" s="15"/>
      <c r="AY1008" s="15"/>
      <c r="AZ1008" s="15"/>
      <c r="BA1008" s="15"/>
      <c r="BB1008" s="15"/>
      <c r="BC1008" s="15"/>
      <c r="BD1008" s="15"/>
      <c r="BE1008" s="15"/>
      <c r="BF1008" s="15"/>
      <c r="BG1008" s="15"/>
      <c r="BH1008" s="15"/>
      <c r="BI1008" s="15"/>
      <c r="BJ1008" s="15"/>
      <c r="BK1008" s="15"/>
      <c r="BL1008" s="15"/>
      <c r="BM1008" s="15"/>
      <c r="BN1008" s="92"/>
      <c r="BO1008" s="92"/>
      <c r="BP1008" s="92"/>
      <c r="BQ1008" s="92"/>
      <c r="BR1008" s="92"/>
      <c r="BS1008" s="92"/>
      <c r="BT1008" s="92"/>
      <c r="BU1008" s="92"/>
      <c r="BV1008" s="92"/>
      <c r="BW1008" s="92"/>
      <c r="BX1008" s="92"/>
      <c r="BY1008" s="92"/>
      <c r="BZ1008" s="92"/>
      <c r="CA1008" s="92"/>
      <c r="CB1008" s="92"/>
      <c r="CC1008" s="92"/>
      <c r="CD1008" s="92"/>
      <c r="CE1008" s="92"/>
      <c r="CF1008" s="92"/>
      <c r="CG1008" s="92"/>
      <c r="CH1008" s="92"/>
      <c r="CI1008" s="92"/>
      <c r="CJ1008" s="92"/>
      <c r="CK1008" s="92"/>
      <c r="CL1008" s="92"/>
      <c r="CM1008" s="92"/>
      <c r="CN1008" s="92"/>
      <c r="CO1008" s="92"/>
      <c r="CP1008" s="92"/>
      <c r="CQ1008" s="92"/>
      <c r="CR1008" s="92"/>
      <c r="CS1008" s="92"/>
      <c r="CT1008" s="92"/>
      <c r="CU1008" s="92"/>
      <c r="CV1008" s="92"/>
      <c r="CW1008" s="92"/>
      <c r="CX1008" s="85"/>
      <c r="CY1008" s="85"/>
      <c r="CZ1008" s="85"/>
      <c r="DA1008" s="85"/>
      <c r="DB1008" s="85"/>
      <c r="DC1008" s="85"/>
      <c r="DD1008" s="85"/>
      <c r="DE1008" s="85"/>
      <c r="DF1008" s="85"/>
      <c r="DG1008" s="85"/>
      <c r="DH1008" s="85"/>
      <c r="DI1008" s="85"/>
      <c r="DJ1008" s="85"/>
      <c r="DK1008" s="85"/>
      <c r="DL1008" s="85"/>
      <c r="DM1008" s="85"/>
      <c r="DN1008" s="85"/>
      <c r="DO1008" s="85"/>
      <c r="DP1008" s="85"/>
    </row>
    <row r="1009">
      <c r="A1009" s="91"/>
      <c r="B1009" s="91"/>
      <c r="C1009" s="91"/>
      <c r="D1009" s="91"/>
      <c r="E1009" s="78"/>
      <c r="F1009" s="15"/>
      <c r="G1009" s="15"/>
      <c r="H1009" s="91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  <c r="AC1009" s="15"/>
      <c r="AD1009" s="15"/>
      <c r="AE1009" s="15"/>
      <c r="AF1009" s="15"/>
      <c r="AG1009" s="15"/>
      <c r="AH1009" s="15"/>
      <c r="AI1009" s="15"/>
      <c r="AJ1009" s="15"/>
      <c r="AK1009" s="15"/>
      <c r="AL1009" s="15"/>
      <c r="AM1009" s="15"/>
      <c r="AN1009" s="15"/>
      <c r="AO1009" s="15"/>
      <c r="AP1009" s="15"/>
      <c r="AQ1009" s="15"/>
      <c r="AR1009" s="15"/>
      <c r="AS1009" s="15"/>
      <c r="AT1009" s="15"/>
      <c r="AU1009" s="15"/>
      <c r="AV1009" s="15"/>
      <c r="AW1009" s="15"/>
      <c r="AX1009" s="15"/>
      <c r="AY1009" s="15"/>
      <c r="AZ1009" s="15"/>
      <c r="BA1009" s="15"/>
      <c r="BB1009" s="15"/>
      <c r="BC1009" s="15"/>
      <c r="BD1009" s="15"/>
      <c r="BE1009" s="15"/>
      <c r="BF1009" s="15"/>
      <c r="BG1009" s="15"/>
      <c r="BH1009" s="15"/>
      <c r="BI1009" s="15"/>
      <c r="BJ1009" s="15"/>
      <c r="BK1009" s="15"/>
      <c r="BL1009" s="15"/>
      <c r="BM1009" s="15"/>
      <c r="BN1009" s="92"/>
      <c r="BO1009" s="92"/>
      <c r="BP1009" s="92"/>
      <c r="BQ1009" s="92"/>
      <c r="BR1009" s="92"/>
      <c r="BS1009" s="92"/>
      <c r="BT1009" s="92"/>
      <c r="BU1009" s="92"/>
      <c r="BV1009" s="92"/>
      <c r="BW1009" s="92"/>
      <c r="BX1009" s="92"/>
      <c r="BY1009" s="92"/>
      <c r="BZ1009" s="92"/>
      <c r="CA1009" s="92"/>
      <c r="CB1009" s="92"/>
      <c r="CC1009" s="92"/>
      <c r="CD1009" s="92"/>
      <c r="CE1009" s="92"/>
      <c r="CF1009" s="92"/>
      <c r="CG1009" s="92"/>
      <c r="CH1009" s="92"/>
      <c r="CI1009" s="92"/>
      <c r="CJ1009" s="92"/>
      <c r="CK1009" s="92"/>
      <c r="CL1009" s="92"/>
      <c r="CM1009" s="92"/>
      <c r="CN1009" s="92"/>
      <c r="CO1009" s="92"/>
      <c r="CP1009" s="92"/>
      <c r="CQ1009" s="92"/>
      <c r="CR1009" s="92"/>
      <c r="CS1009" s="92"/>
      <c r="CT1009" s="92"/>
      <c r="CU1009" s="92"/>
      <c r="CV1009" s="92"/>
      <c r="CW1009" s="92"/>
      <c r="CX1009" s="85"/>
      <c r="CY1009" s="85"/>
      <c r="CZ1009" s="85"/>
      <c r="DA1009" s="85"/>
      <c r="DB1009" s="85"/>
      <c r="DC1009" s="85"/>
      <c r="DD1009" s="85"/>
      <c r="DE1009" s="85"/>
      <c r="DF1009" s="85"/>
      <c r="DG1009" s="85"/>
      <c r="DH1009" s="85"/>
      <c r="DI1009" s="85"/>
      <c r="DJ1009" s="85"/>
      <c r="DK1009" s="85"/>
      <c r="DL1009" s="85"/>
      <c r="DM1009" s="85"/>
      <c r="DN1009" s="85"/>
      <c r="DO1009" s="85"/>
      <c r="DP1009" s="85"/>
    </row>
    <row r="1010">
      <c r="A1010" s="91"/>
      <c r="B1010" s="91"/>
      <c r="C1010" s="91"/>
      <c r="D1010" s="91"/>
      <c r="E1010" s="78"/>
      <c r="F1010" s="15"/>
      <c r="G1010" s="15"/>
      <c r="H1010" s="91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  <c r="AC1010" s="15"/>
      <c r="AD1010" s="15"/>
      <c r="AE1010" s="15"/>
      <c r="AF1010" s="15"/>
      <c r="AG1010" s="15"/>
      <c r="AH1010" s="15"/>
      <c r="AI1010" s="15"/>
      <c r="AJ1010" s="15"/>
      <c r="AK1010" s="15"/>
      <c r="AL1010" s="15"/>
      <c r="AM1010" s="15"/>
      <c r="AN1010" s="15"/>
      <c r="AO1010" s="15"/>
      <c r="AP1010" s="15"/>
      <c r="AQ1010" s="15"/>
      <c r="AR1010" s="15"/>
      <c r="AS1010" s="15"/>
      <c r="AT1010" s="15"/>
      <c r="AU1010" s="15"/>
      <c r="AV1010" s="15"/>
      <c r="AW1010" s="15"/>
      <c r="AX1010" s="15"/>
      <c r="AY1010" s="15"/>
      <c r="AZ1010" s="15"/>
      <c r="BA1010" s="15"/>
      <c r="BB1010" s="15"/>
      <c r="BC1010" s="15"/>
      <c r="BD1010" s="15"/>
      <c r="BE1010" s="15"/>
      <c r="BF1010" s="15"/>
      <c r="BG1010" s="15"/>
      <c r="BH1010" s="15"/>
      <c r="BI1010" s="15"/>
      <c r="BJ1010" s="15"/>
      <c r="BK1010" s="15"/>
      <c r="BL1010" s="15"/>
      <c r="BM1010" s="15"/>
      <c r="BN1010" s="92"/>
      <c r="BO1010" s="92"/>
      <c r="BP1010" s="92"/>
      <c r="BQ1010" s="92"/>
      <c r="BR1010" s="92"/>
      <c r="BS1010" s="92"/>
      <c r="BT1010" s="92"/>
      <c r="BU1010" s="92"/>
      <c r="BV1010" s="92"/>
      <c r="BW1010" s="92"/>
      <c r="BX1010" s="92"/>
      <c r="BY1010" s="92"/>
      <c r="BZ1010" s="92"/>
      <c r="CA1010" s="92"/>
      <c r="CB1010" s="92"/>
      <c r="CC1010" s="92"/>
      <c r="CD1010" s="92"/>
      <c r="CE1010" s="92"/>
      <c r="CF1010" s="92"/>
      <c r="CG1010" s="92"/>
      <c r="CH1010" s="92"/>
      <c r="CI1010" s="92"/>
      <c r="CJ1010" s="92"/>
      <c r="CK1010" s="92"/>
      <c r="CL1010" s="92"/>
      <c r="CM1010" s="92"/>
      <c r="CN1010" s="92"/>
      <c r="CO1010" s="92"/>
      <c r="CP1010" s="92"/>
      <c r="CQ1010" s="92"/>
      <c r="CR1010" s="92"/>
      <c r="CS1010" s="92"/>
      <c r="CT1010" s="92"/>
      <c r="CU1010" s="92"/>
      <c r="CV1010" s="92"/>
      <c r="CW1010" s="92"/>
      <c r="CX1010" s="85"/>
      <c r="CY1010" s="85"/>
      <c r="CZ1010" s="85"/>
      <c r="DA1010" s="85"/>
      <c r="DB1010" s="85"/>
      <c r="DC1010" s="85"/>
      <c r="DD1010" s="85"/>
      <c r="DE1010" s="85"/>
      <c r="DF1010" s="85"/>
      <c r="DG1010" s="85"/>
      <c r="DH1010" s="85"/>
      <c r="DI1010" s="85"/>
      <c r="DJ1010" s="85"/>
      <c r="DK1010" s="85"/>
      <c r="DL1010" s="85"/>
      <c r="DM1010" s="85"/>
      <c r="DN1010" s="85"/>
      <c r="DO1010" s="85"/>
      <c r="DP1010" s="85"/>
    </row>
    <row r="1011">
      <c r="A1011" s="91"/>
      <c r="B1011" s="91"/>
      <c r="C1011" s="91"/>
      <c r="D1011" s="91"/>
      <c r="E1011" s="78"/>
      <c r="F1011" s="15"/>
      <c r="G1011" s="15"/>
      <c r="H1011" s="91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  <c r="AC1011" s="15"/>
      <c r="AD1011" s="15"/>
      <c r="AE1011" s="15"/>
      <c r="AF1011" s="15"/>
      <c r="AG1011" s="15"/>
      <c r="AH1011" s="15"/>
      <c r="AI1011" s="15"/>
      <c r="AJ1011" s="15"/>
      <c r="AK1011" s="15"/>
      <c r="AL1011" s="15"/>
      <c r="AM1011" s="15"/>
      <c r="AN1011" s="15"/>
      <c r="AO1011" s="15"/>
      <c r="AP1011" s="15"/>
      <c r="AQ1011" s="15"/>
      <c r="AR1011" s="15"/>
      <c r="AS1011" s="15"/>
      <c r="AT1011" s="15"/>
      <c r="AU1011" s="15"/>
      <c r="AV1011" s="15"/>
      <c r="AW1011" s="15"/>
      <c r="AX1011" s="15"/>
      <c r="AY1011" s="15"/>
      <c r="AZ1011" s="15"/>
      <c r="BA1011" s="15"/>
      <c r="BB1011" s="15"/>
      <c r="BC1011" s="15"/>
      <c r="BD1011" s="15"/>
      <c r="BE1011" s="15"/>
      <c r="BF1011" s="15"/>
      <c r="BG1011" s="15"/>
      <c r="BH1011" s="15"/>
      <c r="BI1011" s="15"/>
      <c r="BJ1011" s="15"/>
      <c r="BK1011" s="15"/>
      <c r="BL1011" s="15"/>
      <c r="BM1011" s="15"/>
      <c r="BN1011" s="92"/>
      <c r="BO1011" s="92"/>
      <c r="BP1011" s="92"/>
      <c r="BQ1011" s="92"/>
      <c r="BR1011" s="92"/>
      <c r="BS1011" s="92"/>
      <c r="BT1011" s="92"/>
      <c r="BU1011" s="92"/>
      <c r="BV1011" s="92"/>
      <c r="BW1011" s="92"/>
      <c r="BX1011" s="92"/>
      <c r="BY1011" s="92"/>
      <c r="BZ1011" s="92"/>
      <c r="CA1011" s="92"/>
      <c r="CB1011" s="92"/>
      <c r="CC1011" s="92"/>
      <c r="CD1011" s="92"/>
      <c r="CE1011" s="92"/>
      <c r="CF1011" s="92"/>
      <c r="CG1011" s="92"/>
      <c r="CH1011" s="92"/>
      <c r="CI1011" s="92"/>
      <c r="CJ1011" s="92"/>
      <c r="CK1011" s="92"/>
      <c r="CL1011" s="92"/>
      <c r="CM1011" s="92"/>
      <c r="CN1011" s="92"/>
      <c r="CO1011" s="92"/>
      <c r="CP1011" s="92"/>
      <c r="CQ1011" s="92"/>
      <c r="CR1011" s="92"/>
      <c r="CS1011" s="92"/>
      <c r="CT1011" s="92"/>
      <c r="CU1011" s="92"/>
      <c r="CV1011" s="92"/>
      <c r="CW1011" s="92"/>
      <c r="CX1011" s="85"/>
      <c r="CY1011" s="85"/>
      <c r="CZ1011" s="85"/>
      <c r="DA1011" s="85"/>
      <c r="DB1011" s="85"/>
      <c r="DC1011" s="85"/>
      <c r="DD1011" s="85"/>
      <c r="DE1011" s="85"/>
      <c r="DF1011" s="85"/>
      <c r="DG1011" s="85"/>
      <c r="DH1011" s="85"/>
      <c r="DI1011" s="85"/>
      <c r="DJ1011" s="85"/>
      <c r="DK1011" s="85"/>
      <c r="DL1011" s="85"/>
      <c r="DM1011" s="85"/>
      <c r="DN1011" s="85"/>
      <c r="DO1011" s="85"/>
      <c r="DP1011" s="85"/>
    </row>
    <row r="1012">
      <c r="A1012" s="91"/>
      <c r="B1012" s="91"/>
      <c r="C1012" s="91"/>
      <c r="D1012" s="91"/>
      <c r="E1012" s="78"/>
      <c r="F1012" s="15"/>
      <c r="G1012" s="15"/>
      <c r="H1012" s="91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  <c r="AC1012" s="15"/>
      <c r="AD1012" s="15"/>
      <c r="AE1012" s="15"/>
      <c r="AF1012" s="15"/>
      <c r="AG1012" s="15"/>
      <c r="AH1012" s="15"/>
      <c r="AI1012" s="15"/>
      <c r="AJ1012" s="15"/>
      <c r="AK1012" s="15"/>
      <c r="AL1012" s="15"/>
      <c r="AM1012" s="15"/>
      <c r="AN1012" s="15"/>
      <c r="AO1012" s="15"/>
      <c r="AP1012" s="15"/>
      <c r="AQ1012" s="15"/>
      <c r="AR1012" s="15"/>
      <c r="AS1012" s="15"/>
      <c r="AT1012" s="15"/>
      <c r="AU1012" s="15"/>
      <c r="AV1012" s="15"/>
      <c r="AW1012" s="15"/>
      <c r="AX1012" s="15"/>
      <c r="AY1012" s="15"/>
      <c r="AZ1012" s="15"/>
      <c r="BA1012" s="15"/>
      <c r="BB1012" s="15"/>
      <c r="BC1012" s="15"/>
      <c r="BD1012" s="15"/>
      <c r="BE1012" s="15"/>
      <c r="BF1012" s="15"/>
      <c r="BG1012" s="15"/>
      <c r="BH1012" s="15"/>
      <c r="BI1012" s="15"/>
      <c r="BJ1012" s="15"/>
      <c r="BK1012" s="15"/>
      <c r="BL1012" s="15"/>
      <c r="BM1012" s="15"/>
      <c r="BN1012" s="92"/>
      <c r="BO1012" s="92"/>
      <c r="BP1012" s="92"/>
      <c r="BQ1012" s="92"/>
      <c r="BR1012" s="92"/>
      <c r="BS1012" s="92"/>
      <c r="BT1012" s="92"/>
      <c r="BU1012" s="92"/>
      <c r="BV1012" s="92"/>
      <c r="BW1012" s="92"/>
      <c r="BX1012" s="92"/>
      <c r="BY1012" s="92"/>
      <c r="BZ1012" s="92"/>
      <c r="CA1012" s="92"/>
      <c r="CB1012" s="92"/>
      <c r="CC1012" s="92"/>
      <c r="CD1012" s="92"/>
      <c r="CE1012" s="92"/>
      <c r="CF1012" s="92"/>
      <c r="CG1012" s="92"/>
      <c r="CH1012" s="92"/>
      <c r="CI1012" s="92"/>
      <c r="CJ1012" s="92"/>
      <c r="CK1012" s="92"/>
      <c r="CL1012" s="92"/>
      <c r="CM1012" s="92"/>
      <c r="CN1012" s="92"/>
      <c r="CO1012" s="92"/>
      <c r="CP1012" s="92"/>
      <c r="CQ1012" s="92"/>
      <c r="CR1012" s="92"/>
      <c r="CS1012" s="92"/>
      <c r="CT1012" s="92"/>
      <c r="CU1012" s="92"/>
      <c r="CV1012" s="92"/>
      <c r="CW1012" s="92"/>
      <c r="CX1012" s="85"/>
      <c r="CY1012" s="85"/>
      <c r="CZ1012" s="85"/>
      <c r="DA1012" s="85"/>
      <c r="DB1012" s="85"/>
      <c r="DC1012" s="85"/>
      <c r="DD1012" s="85"/>
      <c r="DE1012" s="85"/>
      <c r="DF1012" s="85"/>
      <c r="DG1012" s="85"/>
      <c r="DH1012" s="85"/>
      <c r="DI1012" s="85"/>
      <c r="DJ1012" s="85"/>
      <c r="DK1012" s="85"/>
      <c r="DL1012" s="85"/>
      <c r="DM1012" s="85"/>
      <c r="DN1012" s="85"/>
      <c r="DO1012" s="85"/>
      <c r="DP1012" s="85"/>
    </row>
    <row r="1013">
      <c r="A1013" s="91"/>
      <c r="B1013" s="91"/>
      <c r="C1013" s="91"/>
      <c r="D1013" s="91"/>
      <c r="E1013" s="78"/>
      <c r="F1013" s="15"/>
      <c r="G1013" s="15"/>
      <c r="H1013" s="91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  <c r="AC1013" s="15"/>
      <c r="AD1013" s="15"/>
      <c r="AE1013" s="15"/>
      <c r="AF1013" s="15"/>
      <c r="AG1013" s="15"/>
      <c r="AH1013" s="15"/>
      <c r="AI1013" s="15"/>
      <c r="AJ1013" s="15"/>
      <c r="AK1013" s="15"/>
      <c r="AL1013" s="15"/>
      <c r="AM1013" s="15"/>
      <c r="AN1013" s="15"/>
      <c r="AO1013" s="15"/>
      <c r="AP1013" s="15"/>
      <c r="AQ1013" s="15"/>
      <c r="AR1013" s="15"/>
      <c r="AS1013" s="15"/>
      <c r="AT1013" s="15"/>
      <c r="AU1013" s="15"/>
      <c r="AV1013" s="15"/>
      <c r="AW1013" s="15"/>
      <c r="AX1013" s="15"/>
      <c r="AY1013" s="15"/>
      <c r="AZ1013" s="15"/>
      <c r="BA1013" s="15"/>
      <c r="BB1013" s="15"/>
      <c r="BC1013" s="15"/>
      <c r="BD1013" s="15"/>
      <c r="BE1013" s="15"/>
      <c r="BF1013" s="15"/>
      <c r="BG1013" s="15"/>
      <c r="BH1013" s="15"/>
      <c r="BI1013" s="15"/>
      <c r="BJ1013" s="15"/>
      <c r="BK1013" s="15"/>
      <c r="BL1013" s="15"/>
      <c r="BM1013" s="15"/>
      <c r="BN1013" s="92"/>
      <c r="BO1013" s="92"/>
      <c r="BP1013" s="92"/>
      <c r="BQ1013" s="92"/>
      <c r="BR1013" s="92"/>
      <c r="BS1013" s="92"/>
      <c r="BT1013" s="92"/>
      <c r="BU1013" s="92"/>
      <c r="BV1013" s="92"/>
      <c r="BW1013" s="92"/>
      <c r="BX1013" s="92"/>
      <c r="BY1013" s="92"/>
      <c r="BZ1013" s="92"/>
      <c r="CA1013" s="92"/>
      <c r="CB1013" s="92"/>
      <c r="CC1013" s="92"/>
      <c r="CD1013" s="92"/>
      <c r="CE1013" s="92"/>
      <c r="CF1013" s="92"/>
      <c r="CG1013" s="92"/>
      <c r="CH1013" s="92"/>
      <c r="CI1013" s="92"/>
      <c r="CJ1013" s="92"/>
      <c r="CK1013" s="92"/>
      <c r="CL1013" s="92"/>
      <c r="CM1013" s="92"/>
      <c r="CN1013" s="92"/>
      <c r="CO1013" s="92"/>
      <c r="CP1013" s="92"/>
      <c r="CQ1013" s="92"/>
      <c r="CR1013" s="92"/>
      <c r="CS1013" s="92"/>
      <c r="CT1013" s="92"/>
      <c r="CU1013" s="92"/>
      <c r="CV1013" s="92"/>
      <c r="CW1013" s="92"/>
      <c r="CX1013" s="85"/>
      <c r="CY1013" s="85"/>
      <c r="CZ1013" s="85"/>
      <c r="DA1013" s="85"/>
      <c r="DB1013" s="85"/>
      <c r="DC1013" s="85"/>
      <c r="DD1013" s="85"/>
      <c r="DE1013" s="85"/>
      <c r="DF1013" s="85"/>
      <c r="DG1013" s="85"/>
      <c r="DH1013" s="85"/>
      <c r="DI1013" s="85"/>
      <c r="DJ1013" s="85"/>
      <c r="DK1013" s="85"/>
      <c r="DL1013" s="85"/>
      <c r="DM1013" s="85"/>
      <c r="DN1013" s="85"/>
      <c r="DO1013" s="85"/>
      <c r="DP1013" s="85"/>
    </row>
    <row r="1014">
      <c r="A1014" s="91"/>
      <c r="B1014" s="91"/>
      <c r="C1014" s="91"/>
      <c r="D1014" s="91"/>
      <c r="E1014" s="78"/>
      <c r="F1014" s="15"/>
      <c r="G1014" s="15"/>
      <c r="H1014" s="91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  <c r="AC1014" s="15"/>
      <c r="AD1014" s="15"/>
      <c r="AE1014" s="15"/>
      <c r="AF1014" s="15"/>
      <c r="AG1014" s="15"/>
      <c r="AH1014" s="15"/>
      <c r="AI1014" s="15"/>
      <c r="AJ1014" s="15"/>
      <c r="AK1014" s="15"/>
      <c r="AL1014" s="15"/>
      <c r="AM1014" s="15"/>
      <c r="AN1014" s="15"/>
      <c r="AO1014" s="15"/>
      <c r="AP1014" s="15"/>
      <c r="AQ1014" s="15"/>
      <c r="AR1014" s="15"/>
      <c r="AS1014" s="15"/>
      <c r="AT1014" s="15"/>
      <c r="AU1014" s="15"/>
      <c r="AV1014" s="15"/>
      <c r="AW1014" s="15"/>
      <c r="AX1014" s="15"/>
      <c r="AY1014" s="15"/>
      <c r="AZ1014" s="15"/>
      <c r="BA1014" s="15"/>
      <c r="BB1014" s="15"/>
      <c r="BC1014" s="15"/>
      <c r="BD1014" s="15"/>
      <c r="BE1014" s="15"/>
      <c r="BF1014" s="15"/>
      <c r="BG1014" s="15"/>
      <c r="BH1014" s="15"/>
      <c r="BI1014" s="15"/>
      <c r="BJ1014" s="15"/>
      <c r="BK1014" s="15"/>
      <c r="BL1014" s="15"/>
      <c r="BM1014" s="15"/>
      <c r="BN1014" s="92"/>
      <c r="BO1014" s="92"/>
      <c r="BP1014" s="92"/>
      <c r="BQ1014" s="92"/>
      <c r="BR1014" s="92"/>
      <c r="BS1014" s="92"/>
      <c r="BT1014" s="92"/>
      <c r="BU1014" s="92"/>
      <c r="BV1014" s="92"/>
      <c r="BW1014" s="92"/>
      <c r="BX1014" s="92"/>
      <c r="BY1014" s="92"/>
      <c r="BZ1014" s="92"/>
      <c r="CA1014" s="92"/>
      <c r="CB1014" s="92"/>
      <c r="CC1014" s="92"/>
      <c r="CD1014" s="92"/>
      <c r="CE1014" s="92"/>
      <c r="CF1014" s="92"/>
      <c r="CG1014" s="92"/>
      <c r="CH1014" s="92"/>
      <c r="CI1014" s="92"/>
      <c r="CJ1014" s="92"/>
      <c r="CK1014" s="92"/>
      <c r="CL1014" s="92"/>
      <c r="CM1014" s="92"/>
      <c r="CN1014" s="92"/>
      <c r="CO1014" s="92"/>
      <c r="CP1014" s="92"/>
      <c r="CQ1014" s="92"/>
      <c r="CR1014" s="92"/>
      <c r="CS1014" s="92"/>
      <c r="CT1014" s="92"/>
      <c r="CU1014" s="92"/>
      <c r="CV1014" s="92"/>
      <c r="CW1014" s="92"/>
      <c r="CX1014" s="85"/>
      <c r="CY1014" s="85"/>
      <c r="CZ1014" s="85"/>
      <c r="DA1014" s="85"/>
      <c r="DB1014" s="85"/>
      <c r="DC1014" s="85"/>
      <c r="DD1014" s="85"/>
      <c r="DE1014" s="85"/>
      <c r="DF1014" s="85"/>
      <c r="DG1014" s="85"/>
      <c r="DH1014" s="85"/>
      <c r="DI1014" s="85"/>
      <c r="DJ1014" s="85"/>
      <c r="DK1014" s="85"/>
      <c r="DL1014" s="85"/>
      <c r="DM1014" s="85"/>
      <c r="DN1014" s="85"/>
      <c r="DO1014" s="85"/>
      <c r="DP1014" s="85"/>
    </row>
    <row r="1015">
      <c r="A1015" s="91"/>
      <c r="B1015" s="91"/>
      <c r="C1015" s="91"/>
      <c r="D1015" s="91"/>
      <c r="E1015" s="78"/>
      <c r="F1015" s="15"/>
      <c r="G1015" s="15"/>
      <c r="H1015" s="91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  <c r="AC1015" s="15"/>
      <c r="AD1015" s="15"/>
      <c r="AE1015" s="15"/>
      <c r="AF1015" s="15"/>
      <c r="AG1015" s="15"/>
      <c r="AH1015" s="15"/>
      <c r="AI1015" s="15"/>
      <c r="AJ1015" s="15"/>
      <c r="AK1015" s="15"/>
      <c r="AL1015" s="15"/>
      <c r="AM1015" s="15"/>
      <c r="AN1015" s="15"/>
      <c r="AO1015" s="15"/>
      <c r="AP1015" s="15"/>
      <c r="AQ1015" s="15"/>
      <c r="AR1015" s="15"/>
      <c r="AS1015" s="15"/>
      <c r="AT1015" s="15"/>
      <c r="AU1015" s="15"/>
      <c r="AV1015" s="15"/>
      <c r="AW1015" s="15"/>
      <c r="AX1015" s="15"/>
      <c r="AY1015" s="15"/>
      <c r="AZ1015" s="15"/>
      <c r="BA1015" s="15"/>
      <c r="BB1015" s="15"/>
      <c r="BC1015" s="15"/>
      <c r="BD1015" s="15"/>
      <c r="BE1015" s="15"/>
      <c r="BF1015" s="15"/>
      <c r="BG1015" s="15"/>
      <c r="BH1015" s="15"/>
      <c r="BI1015" s="15"/>
      <c r="BJ1015" s="15"/>
      <c r="BK1015" s="15"/>
      <c r="BL1015" s="15"/>
      <c r="BM1015" s="15"/>
      <c r="BN1015" s="92"/>
      <c r="BO1015" s="92"/>
      <c r="BP1015" s="92"/>
      <c r="BQ1015" s="92"/>
      <c r="BR1015" s="92"/>
      <c r="BS1015" s="92"/>
      <c r="BT1015" s="92"/>
      <c r="BU1015" s="92"/>
      <c r="BV1015" s="92"/>
      <c r="BW1015" s="92"/>
      <c r="BX1015" s="92"/>
      <c r="BY1015" s="92"/>
      <c r="BZ1015" s="92"/>
      <c r="CA1015" s="92"/>
      <c r="CB1015" s="92"/>
      <c r="CC1015" s="92"/>
      <c r="CD1015" s="92"/>
      <c r="CE1015" s="92"/>
      <c r="CF1015" s="92"/>
      <c r="CG1015" s="92"/>
      <c r="CH1015" s="92"/>
      <c r="CI1015" s="92"/>
      <c r="CJ1015" s="92"/>
      <c r="CK1015" s="92"/>
      <c r="CL1015" s="92"/>
      <c r="CM1015" s="92"/>
      <c r="CN1015" s="92"/>
      <c r="CO1015" s="92"/>
      <c r="CP1015" s="92"/>
      <c r="CQ1015" s="92"/>
      <c r="CR1015" s="92"/>
      <c r="CS1015" s="92"/>
      <c r="CT1015" s="92"/>
      <c r="CU1015" s="92"/>
      <c r="CV1015" s="92"/>
      <c r="CW1015" s="92"/>
      <c r="CX1015" s="85"/>
      <c r="CY1015" s="85"/>
      <c r="CZ1015" s="85"/>
      <c r="DA1015" s="85"/>
      <c r="DB1015" s="85"/>
      <c r="DC1015" s="85"/>
      <c r="DD1015" s="85"/>
      <c r="DE1015" s="85"/>
      <c r="DF1015" s="85"/>
      <c r="DG1015" s="85"/>
      <c r="DH1015" s="85"/>
      <c r="DI1015" s="85"/>
      <c r="DJ1015" s="85"/>
      <c r="DK1015" s="85"/>
      <c r="DL1015" s="85"/>
      <c r="DM1015" s="85"/>
      <c r="DN1015" s="85"/>
      <c r="DO1015" s="85"/>
      <c r="DP1015" s="85"/>
    </row>
    <row r="1016">
      <c r="A1016" s="91"/>
      <c r="B1016" s="91"/>
      <c r="C1016" s="91"/>
      <c r="D1016" s="91"/>
      <c r="E1016" s="78"/>
      <c r="F1016" s="15"/>
      <c r="G1016" s="15"/>
      <c r="H1016" s="91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  <c r="AC1016" s="15"/>
      <c r="AD1016" s="15"/>
      <c r="AE1016" s="15"/>
      <c r="AF1016" s="15"/>
      <c r="AG1016" s="15"/>
      <c r="AH1016" s="15"/>
      <c r="AI1016" s="15"/>
      <c r="AJ1016" s="15"/>
      <c r="AK1016" s="15"/>
      <c r="AL1016" s="15"/>
      <c r="AM1016" s="15"/>
      <c r="AN1016" s="15"/>
      <c r="AO1016" s="15"/>
      <c r="AP1016" s="15"/>
      <c r="AQ1016" s="15"/>
      <c r="AR1016" s="15"/>
      <c r="AS1016" s="15"/>
      <c r="AT1016" s="15"/>
      <c r="AU1016" s="15"/>
      <c r="AV1016" s="15"/>
      <c r="AW1016" s="15"/>
      <c r="AX1016" s="15"/>
      <c r="AY1016" s="15"/>
      <c r="AZ1016" s="15"/>
      <c r="BA1016" s="15"/>
      <c r="BB1016" s="15"/>
      <c r="BC1016" s="15"/>
      <c r="BD1016" s="15"/>
      <c r="BE1016" s="15"/>
      <c r="BF1016" s="15"/>
      <c r="BG1016" s="15"/>
      <c r="BH1016" s="15"/>
      <c r="BI1016" s="15"/>
      <c r="BJ1016" s="15"/>
      <c r="BK1016" s="15"/>
      <c r="BL1016" s="15"/>
      <c r="BM1016" s="15"/>
      <c r="BN1016" s="92"/>
      <c r="BO1016" s="92"/>
      <c r="BP1016" s="92"/>
      <c r="BQ1016" s="92"/>
      <c r="BR1016" s="92"/>
      <c r="BS1016" s="92"/>
      <c r="BT1016" s="92"/>
      <c r="BU1016" s="92"/>
      <c r="BV1016" s="92"/>
      <c r="BW1016" s="92"/>
      <c r="BX1016" s="92"/>
      <c r="BY1016" s="92"/>
      <c r="BZ1016" s="92"/>
      <c r="CA1016" s="92"/>
      <c r="CB1016" s="92"/>
      <c r="CC1016" s="92"/>
      <c r="CD1016" s="92"/>
      <c r="CE1016" s="92"/>
      <c r="CF1016" s="92"/>
      <c r="CG1016" s="92"/>
      <c r="CH1016" s="92"/>
      <c r="CI1016" s="92"/>
      <c r="CJ1016" s="92"/>
      <c r="CK1016" s="92"/>
      <c r="CL1016" s="92"/>
      <c r="CM1016" s="92"/>
      <c r="CN1016" s="92"/>
      <c r="CO1016" s="92"/>
      <c r="CP1016" s="92"/>
      <c r="CQ1016" s="92"/>
      <c r="CR1016" s="92"/>
      <c r="CS1016" s="92"/>
      <c r="CT1016" s="92"/>
      <c r="CU1016" s="92"/>
      <c r="CV1016" s="92"/>
      <c r="CW1016" s="92"/>
      <c r="CX1016" s="85"/>
      <c r="CY1016" s="85"/>
      <c r="CZ1016" s="85"/>
      <c r="DA1016" s="85"/>
      <c r="DB1016" s="85"/>
      <c r="DC1016" s="85"/>
      <c r="DD1016" s="85"/>
      <c r="DE1016" s="85"/>
      <c r="DF1016" s="85"/>
      <c r="DG1016" s="85"/>
      <c r="DH1016" s="85"/>
      <c r="DI1016" s="85"/>
      <c r="DJ1016" s="85"/>
      <c r="DK1016" s="85"/>
      <c r="DL1016" s="85"/>
      <c r="DM1016" s="85"/>
      <c r="DN1016" s="85"/>
      <c r="DO1016" s="85"/>
      <c r="DP1016" s="85"/>
    </row>
    <row r="1017">
      <c r="A1017" s="91"/>
      <c r="B1017" s="91"/>
      <c r="C1017" s="91"/>
      <c r="D1017" s="91"/>
      <c r="E1017" s="78"/>
      <c r="F1017" s="15"/>
      <c r="G1017" s="15"/>
      <c r="H1017" s="91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  <c r="AC1017" s="15"/>
      <c r="AD1017" s="15"/>
      <c r="AE1017" s="15"/>
      <c r="AF1017" s="15"/>
      <c r="AG1017" s="15"/>
      <c r="AH1017" s="15"/>
      <c r="AI1017" s="15"/>
      <c r="AJ1017" s="15"/>
      <c r="AK1017" s="15"/>
      <c r="AL1017" s="15"/>
      <c r="AM1017" s="15"/>
      <c r="AN1017" s="15"/>
      <c r="AO1017" s="15"/>
      <c r="AP1017" s="15"/>
      <c r="AQ1017" s="15"/>
      <c r="AR1017" s="15"/>
      <c r="AS1017" s="15"/>
      <c r="AT1017" s="15"/>
      <c r="AU1017" s="15"/>
      <c r="AV1017" s="15"/>
      <c r="AW1017" s="15"/>
      <c r="AX1017" s="15"/>
      <c r="AY1017" s="15"/>
      <c r="AZ1017" s="15"/>
      <c r="BA1017" s="15"/>
      <c r="BB1017" s="15"/>
      <c r="BC1017" s="15"/>
      <c r="BD1017" s="15"/>
      <c r="BE1017" s="15"/>
      <c r="BF1017" s="15"/>
      <c r="BG1017" s="15"/>
      <c r="BH1017" s="15"/>
      <c r="BI1017" s="15"/>
      <c r="BJ1017" s="15"/>
      <c r="BK1017" s="15"/>
      <c r="BL1017" s="15"/>
      <c r="BM1017" s="15"/>
      <c r="BN1017" s="92"/>
      <c r="BO1017" s="92"/>
      <c r="BP1017" s="92"/>
      <c r="BQ1017" s="92"/>
      <c r="BR1017" s="92"/>
      <c r="BS1017" s="92"/>
      <c r="BT1017" s="92"/>
      <c r="BU1017" s="92"/>
      <c r="BV1017" s="92"/>
      <c r="BW1017" s="92"/>
      <c r="BX1017" s="92"/>
      <c r="BY1017" s="92"/>
      <c r="BZ1017" s="92"/>
      <c r="CA1017" s="92"/>
      <c r="CB1017" s="92"/>
      <c r="CC1017" s="92"/>
      <c r="CD1017" s="92"/>
      <c r="CE1017" s="92"/>
      <c r="CF1017" s="92"/>
      <c r="CG1017" s="92"/>
      <c r="CH1017" s="92"/>
      <c r="CI1017" s="92"/>
      <c r="CJ1017" s="92"/>
      <c r="CK1017" s="92"/>
      <c r="CL1017" s="92"/>
      <c r="CM1017" s="92"/>
      <c r="CN1017" s="92"/>
      <c r="CO1017" s="92"/>
      <c r="CP1017" s="92"/>
      <c r="CQ1017" s="92"/>
      <c r="CR1017" s="92"/>
      <c r="CS1017" s="92"/>
      <c r="CT1017" s="92"/>
      <c r="CU1017" s="92"/>
      <c r="CV1017" s="92"/>
      <c r="CW1017" s="92"/>
      <c r="CX1017" s="85"/>
      <c r="CY1017" s="85"/>
      <c r="CZ1017" s="85"/>
      <c r="DA1017" s="85"/>
      <c r="DB1017" s="85"/>
      <c r="DC1017" s="85"/>
      <c r="DD1017" s="85"/>
      <c r="DE1017" s="85"/>
      <c r="DF1017" s="85"/>
      <c r="DG1017" s="85"/>
      <c r="DH1017" s="85"/>
      <c r="DI1017" s="85"/>
      <c r="DJ1017" s="85"/>
      <c r="DK1017" s="85"/>
      <c r="DL1017" s="85"/>
      <c r="DM1017" s="85"/>
      <c r="DN1017" s="85"/>
      <c r="DO1017" s="85"/>
      <c r="DP1017" s="85"/>
    </row>
    <row r="1018">
      <c r="A1018" s="91"/>
      <c r="B1018" s="91"/>
      <c r="C1018" s="91"/>
      <c r="D1018" s="91"/>
      <c r="E1018" s="78"/>
      <c r="F1018" s="15"/>
      <c r="G1018" s="15"/>
      <c r="H1018" s="91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  <c r="AC1018" s="15"/>
      <c r="AD1018" s="15"/>
      <c r="AE1018" s="15"/>
      <c r="AF1018" s="15"/>
      <c r="AG1018" s="15"/>
      <c r="AH1018" s="15"/>
      <c r="AI1018" s="15"/>
      <c r="AJ1018" s="15"/>
      <c r="AK1018" s="15"/>
      <c r="AL1018" s="15"/>
      <c r="AM1018" s="15"/>
      <c r="AN1018" s="15"/>
      <c r="AO1018" s="15"/>
      <c r="AP1018" s="15"/>
      <c r="AQ1018" s="15"/>
      <c r="AR1018" s="15"/>
      <c r="AS1018" s="15"/>
      <c r="AT1018" s="15"/>
      <c r="AU1018" s="15"/>
      <c r="AV1018" s="15"/>
      <c r="AW1018" s="15"/>
      <c r="AX1018" s="15"/>
      <c r="AY1018" s="15"/>
      <c r="AZ1018" s="15"/>
      <c r="BA1018" s="15"/>
      <c r="BB1018" s="15"/>
      <c r="BC1018" s="15"/>
      <c r="BD1018" s="15"/>
      <c r="BE1018" s="15"/>
      <c r="BF1018" s="15"/>
      <c r="BG1018" s="15"/>
      <c r="BH1018" s="15"/>
      <c r="BI1018" s="15"/>
      <c r="BJ1018" s="15"/>
      <c r="BK1018" s="15"/>
      <c r="BL1018" s="15"/>
      <c r="BM1018" s="15"/>
      <c r="BN1018" s="92"/>
      <c r="BO1018" s="92"/>
      <c r="BP1018" s="92"/>
      <c r="BQ1018" s="92"/>
      <c r="BR1018" s="92"/>
      <c r="BS1018" s="92"/>
      <c r="BT1018" s="92"/>
      <c r="BU1018" s="92"/>
      <c r="BV1018" s="92"/>
      <c r="BW1018" s="92"/>
      <c r="BX1018" s="92"/>
      <c r="BY1018" s="92"/>
      <c r="BZ1018" s="92"/>
      <c r="CA1018" s="92"/>
      <c r="CB1018" s="92"/>
      <c r="CC1018" s="92"/>
      <c r="CD1018" s="92"/>
      <c r="CE1018" s="92"/>
      <c r="CF1018" s="92"/>
      <c r="CG1018" s="92"/>
      <c r="CH1018" s="92"/>
      <c r="CI1018" s="92"/>
      <c r="CJ1018" s="92"/>
      <c r="CK1018" s="92"/>
      <c r="CL1018" s="92"/>
      <c r="CM1018" s="92"/>
      <c r="CN1018" s="92"/>
      <c r="CO1018" s="92"/>
      <c r="CP1018" s="92"/>
      <c r="CQ1018" s="92"/>
      <c r="CR1018" s="92"/>
      <c r="CS1018" s="92"/>
      <c r="CT1018" s="92"/>
      <c r="CU1018" s="92"/>
      <c r="CV1018" s="92"/>
      <c r="CW1018" s="92"/>
      <c r="CX1018" s="85"/>
      <c r="CY1018" s="85"/>
      <c r="CZ1018" s="85"/>
      <c r="DA1018" s="85"/>
      <c r="DB1018" s="85"/>
      <c r="DC1018" s="85"/>
      <c r="DD1018" s="85"/>
      <c r="DE1018" s="85"/>
      <c r="DF1018" s="85"/>
      <c r="DG1018" s="85"/>
      <c r="DH1018" s="85"/>
      <c r="DI1018" s="85"/>
      <c r="DJ1018" s="85"/>
      <c r="DK1018" s="85"/>
      <c r="DL1018" s="85"/>
      <c r="DM1018" s="85"/>
      <c r="DN1018" s="85"/>
      <c r="DO1018" s="85"/>
      <c r="DP1018" s="85"/>
    </row>
    <row r="1019">
      <c r="A1019" s="91"/>
      <c r="B1019" s="91"/>
      <c r="C1019" s="91"/>
      <c r="D1019" s="91"/>
      <c r="E1019" s="78"/>
      <c r="F1019" s="15"/>
      <c r="G1019" s="15"/>
      <c r="H1019" s="91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  <c r="AC1019" s="15"/>
      <c r="AD1019" s="15"/>
      <c r="AE1019" s="15"/>
      <c r="AF1019" s="15"/>
      <c r="AG1019" s="15"/>
      <c r="AH1019" s="15"/>
      <c r="AI1019" s="15"/>
      <c r="AJ1019" s="15"/>
      <c r="AK1019" s="15"/>
      <c r="AL1019" s="15"/>
      <c r="AM1019" s="15"/>
      <c r="AN1019" s="15"/>
      <c r="AO1019" s="15"/>
      <c r="AP1019" s="15"/>
      <c r="AQ1019" s="15"/>
      <c r="AR1019" s="15"/>
      <c r="AS1019" s="15"/>
      <c r="AT1019" s="15"/>
      <c r="AU1019" s="15"/>
      <c r="AV1019" s="15"/>
      <c r="AW1019" s="15"/>
      <c r="AX1019" s="15"/>
      <c r="AY1019" s="15"/>
      <c r="AZ1019" s="15"/>
      <c r="BA1019" s="15"/>
      <c r="BB1019" s="15"/>
      <c r="BC1019" s="15"/>
      <c r="BD1019" s="15"/>
      <c r="BE1019" s="15"/>
      <c r="BF1019" s="15"/>
      <c r="BG1019" s="15"/>
      <c r="BH1019" s="15"/>
      <c r="BI1019" s="15"/>
      <c r="BJ1019" s="15"/>
      <c r="BK1019" s="15"/>
      <c r="BL1019" s="15"/>
      <c r="BM1019" s="15"/>
      <c r="BN1019" s="92"/>
      <c r="BO1019" s="92"/>
      <c r="BP1019" s="92"/>
      <c r="BQ1019" s="92"/>
      <c r="BR1019" s="92"/>
      <c r="BS1019" s="92"/>
      <c r="BT1019" s="92"/>
      <c r="BU1019" s="92"/>
      <c r="BV1019" s="92"/>
      <c r="BW1019" s="92"/>
      <c r="BX1019" s="92"/>
      <c r="BY1019" s="92"/>
      <c r="BZ1019" s="92"/>
      <c r="CA1019" s="92"/>
      <c r="CB1019" s="92"/>
      <c r="CC1019" s="92"/>
      <c r="CD1019" s="92"/>
      <c r="CE1019" s="92"/>
      <c r="CF1019" s="92"/>
      <c r="CG1019" s="92"/>
      <c r="CH1019" s="92"/>
      <c r="CI1019" s="92"/>
      <c r="CJ1019" s="92"/>
      <c r="CK1019" s="92"/>
      <c r="CL1019" s="92"/>
      <c r="CM1019" s="92"/>
      <c r="CN1019" s="92"/>
      <c r="CO1019" s="92"/>
      <c r="CP1019" s="92"/>
      <c r="CQ1019" s="92"/>
      <c r="CR1019" s="92"/>
      <c r="CS1019" s="92"/>
      <c r="CT1019" s="92"/>
      <c r="CU1019" s="92"/>
      <c r="CV1019" s="92"/>
      <c r="CW1019" s="92"/>
      <c r="CX1019" s="85"/>
      <c r="CY1019" s="85"/>
      <c r="CZ1019" s="85"/>
      <c r="DA1019" s="85"/>
      <c r="DB1019" s="85"/>
      <c r="DC1019" s="85"/>
      <c r="DD1019" s="85"/>
      <c r="DE1019" s="85"/>
      <c r="DF1019" s="85"/>
      <c r="DG1019" s="85"/>
      <c r="DH1019" s="85"/>
      <c r="DI1019" s="85"/>
      <c r="DJ1019" s="85"/>
      <c r="DK1019" s="85"/>
      <c r="DL1019" s="85"/>
      <c r="DM1019" s="85"/>
      <c r="DN1019" s="85"/>
      <c r="DO1019" s="85"/>
      <c r="DP1019" s="85"/>
    </row>
    <row r="1020">
      <c r="A1020" s="91"/>
      <c r="B1020" s="91"/>
      <c r="C1020" s="91"/>
      <c r="D1020" s="91"/>
      <c r="E1020" s="78"/>
      <c r="F1020" s="15"/>
      <c r="G1020" s="15"/>
      <c r="H1020" s="91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  <c r="AC1020" s="15"/>
      <c r="AD1020" s="15"/>
      <c r="AE1020" s="15"/>
      <c r="AF1020" s="15"/>
      <c r="AG1020" s="15"/>
      <c r="AH1020" s="15"/>
      <c r="AI1020" s="15"/>
      <c r="AJ1020" s="15"/>
      <c r="AK1020" s="15"/>
      <c r="AL1020" s="15"/>
      <c r="AM1020" s="15"/>
      <c r="AN1020" s="15"/>
      <c r="AO1020" s="15"/>
      <c r="AP1020" s="15"/>
      <c r="AQ1020" s="15"/>
      <c r="AR1020" s="15"/>
      <c r="AS1020" s="15"/>
      <c r="AT1020" s="15"/>
      <c r="AU1020" s="15"/>
      <c r="AV1020" s="15"/>
      <c r="AW1020" s="15"/>
      <c r="AX1020" s="15"/>
      <c r="AY1020" s="15"/>
      <c r="AZ1020" s="15"/>
      <c r="BA1020" s="15"/>
      <c r="BB1020" s="15"/>
      <c r="BC1020" s="15"/>
      <c r="BD1020" s="15"/>
      <c r="BE1020" s="15"/>
      <c r="BF1020" s="15"/>
      <c r="BG1020" s="15"/>
      <c r="BH1020" s="15"/>
      <c r="BI1020" s="15"/>
      <c r="BJ1020" s="15"/>
      <c r="BK1020" s="15"/>
      <c r="BL1020" s="15"/>
      <c r="BM1020" s="15"/>
      <c r="BN1020" s="92"/>
      <c r="BO1020" s="92"/>
      <c r="BP1020" s="92"/>
      <c r="BQ1020" s="92"/>
      <c r="BR1020" s="92"/>
      <c r="BS1020" s="92"/>
      <c r="BT1020" s="92"/>
      <c r="BU1020" s="92"/>
      <c r="BV1020" s="92"/>
      <c r="BW1020" s="92"/>
      <c r="BX1020" s="92"/>
      <c r="BY1020" s="92"/>
      <c r="BZ1020" s="92"/>
      <c r="CA1020" s="92"/>
      <c r="CB1020" s="92"/>
      <c r="CC1020" s="92"/>
      <c r="CD1020" s="92"/>
      <c r="CE1020" s="92"/>
      <c r="CF1020" s="92"/>
      <c r="CG1020" s="92"/>
      <c r="CH1020" s="92"/>
      <c r="CI1020" s="92"/>
      <c r="CJ1020" s="92"/>
      <c r="CK1020" s="92"/>
      <c r="CL1020" s="92"/>
      <c r="CM1020" s="92"/>
      <c r="CN1020" s="92"/>
      <c r="CO1020" s="92"/>
      <c r="CP1020" s="92"/>
      <c r="CQ1020" s="92"/>
      <c r="CR1020" s="92"/>
      <c r="CS1020" s="92"/>
      <c r="CT1020" s="92"/>
      <c r="CU1020" s="92"/>
      <c r="CV1020" s="92"/>
      <c r="CW1020" s="92"/>
      <c r="CX1020" s="85"/>
      <c r="CY1020" s="85"/>
      <c r="CZ1020" s="85"/>
      <c r="DA1020" s="85"/>
      <c r="DB1020" s="85"/>
      <c r="DC1020" s="85"/>
      <c r="DD1020" s="85"/>
      <c r="DE1020" s="85"/>
      <c r="DF1020" s="85"/>
      <c r="DG1020" s="85"/>
      <c r="DH1020" s="85"/>
      <c r="DI1020" s="85"/>
      <c r="DJ1020" s="85"/>
      <c r="DK1020" s="85"/>
      <c r="DL1020" s="85"/>
      <c r="DM1020" s="85"/>
      <c r="DN1020" s="85"/>
      <c r="DO1020" s="85"/>
      <c r="DP1020" s="85"/>
    </row>
    <row r="1021">
      <c r="A1021" s="91"/>
      <c r="B1021" s="91"/>
      <c r="C1021" s="91"/>
      <c r="D1021" s="91"/>
      <c r="E1021" s="78"/>
      <c r="F1021" s="15"/>
      <c r="G1021" s="15"/>
      <c r="H1021" s="91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  <c r="AC1021" s="15"/>
      <c r="AD1021" s="15"/>
      <c r="AE1021" s="15"/>
      <c r="AF1021" s="15"/>
      <c r="AG1021" s="15"/>
      <c r="AH1021" s="15"/>
      <c r="AI1021" s="15"/>
      <c r="AJ1021" s="15"/>
      <c r="AK1021" s="15"/>
      <c r="AL1021" s="15"/>
      <c r="AM1021" s="15"/>
      <c r="AN1021" s="15"/>
      <c r="AO1021" s="15"/>
      <c r="AP1021" s="15"/>
      <c r="AQ1021" s="15"/>
      <c r="AR1021" s="15"/>
      <c r="AS1021" s="15"/>
      <c r="AT1021" s="15"/>
      <c r="AU1021" s="15"/>
      <c r="AV1021" s="15"/>
      <c r="AW1021" s="15"/>
      <c r="AX1021" s="15"/>
      <c r="AY1021" s="15"/>
      <c r="AZ1021" s="15"/>
      <c r="BA1021" s="15"/>
      <c r="BB1021" s="15"/>
      <c r="BC1021" s="15"/>
      <c r="BD1021" s="15"/>
      <c r="BE1021" s="15"/>
      <c r="BF1021" s="15"/>
      <c r="BG1021" s="15"/>
      <c r="BH1021" s="15"/>
      <c r="BI1021" s="15"/>
      <c r="BJ1021" s="15"/>
      <c r="BK1021" s="15"/>
      <c r="BL1021" s="15"/>
      <c r="BM1021" s="15"/>
      <c r="BN1021" s="92"/>
      <c r="BO1021" s="92"/>
      <c r="BP1021" s="92"/>
      <c r="BQ1021" s="92"/>
      <c r="BR1021" s="92"/>
      <c r="BS1021" s="92"/>
      <c r="BT1021" s="92"/>
      <c r="BU1021" s="92"/>
      <c r="BV1021" s="92"/>
      <c r="BW1021" s="92"/>
      <c r="BX1021" s="92"/>
      <c r="BY1021" s="92"/>
      <c r="BZ1021" s="92"/>
      <c r="CA1021" s="92"/>
      <c r="CB1021" s="92"/>
      <c r="CC1021" s="92"/>
      <c r="CD1021" s="92"/>
      <c r="CE1021" s="92"/>
      <c r="CF1021" s="92"/>
      <c r="CG1021" s="92"/>
      <c r="CH1021" s="92"/>
      <c r="CI1021" s="92"/>
      <c r="CJ1021" s="92"/>
      <c r="CK1021" s="92"/>
      <c r="CL1021" s="92"/>
      <c r="CM1021" s="92"/>
      <c r="CN1021" s="92"/>
      <c r="CO1021" s="92"/>
      <c r="CP1021" s="92"/>
      <c r="CQ1021" s="92"/>
      <c r="CR1021" s="92"/>
      <c r="CS1021" s="92"/>
      <c r="CT1021" s="92"/>
      <c r="CU1021" s="92"/>
      <c r="CV1021" s="92"/>
      <c r="CW1021" s="92"/>
      <c r="CX1021" s="85"/>
      <c r="CY1021" s="85"/>
      <c r="CZ1021" s="85"/>
      <c r="DA1021" s="85"/>
      <c r="DB1021" s="85"/>
      <c r="DC1021" s="85"/>
      <c r="DD1021" s="85"/>
      <c r="DE1021" s="85"/>
      <c r="DF1021" s="85"/>
      <c r="DG1021" s="85"/>
      <c r="DH1021" s="85"/>
      <c r="DI1021" s="85"/>
      <c r="DJ1021" s="85"/>
      <c r="DK1021" s="85"/>
      <c r="DL1021" s="85"/>
      <c r="DM1021" s="85"/>
      <c r="DN1021" s="85"/>
      <c r="DO1021" s="85"/>
      <c r="DP1021" s="85"/>
    </row>
    <row r="1022">
      <c r="A1022" s="91"/>
      <c r="B1022" s="91"/>
      <c r="C1022" s="91"/>
      <c r="D1022" s="91"/>
      <c r="E1022" s="78"/>
      <c r="F1022" s="15"/>
      <c r="G1022" s="15"/>
      <c r="H1022" s="91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  <c r="AB1022" s="15"/>
      <c r="AC1022" s="15"/>
      <c r="AD1022" s="15"/>
      <c r="AE1022" s="15"/>
      <c r="AF1022" s="15"/>
      <c r="AG1022" s="15"/>
      <c r="AH1022" s="15"/>
      <c r="AI1022" s="15"/>
      <c r="AJ1022" s="15"/>
      <c r="AK1022" s="15"/>
      <c r="AL1022" s="15"/>
      <c r="AM1022" s="15"/>
      <c r="AN1022" s="15"/>
      <c r="AO1022" s="15"/>
      <c r="AP1022" s="15"/>
      <c r="AQ1022" s="15"/>
      <c r="AR1022" s="15"/>
      <c r="AS1022" s="15"/>
      <c r="AT1022" s="15"/>
      <c r="AU1022" s="15"/>
      <c r="AV1022" s="15"/>
      <c r="AW1022" s="15"/>
      <c r="AX1022" s="15"/>
      <c r="AY1022" s="15"/>
      <c r="AZ1022" s="15"/>
      <c r="BA1022" s="15"/>
      <c r="BB1022" s="15"/>
      <c r="BC1022" s="15"/>
      <c r="BD1022" s="15"/>
      <c r="BE1022" s="15"/>
      <c r="BF1022" s="15"/>
      <c r="BG1022" s="15"/>
      <c r="BH1022" s="15"/>
      <c r="BI1022" s="15"/>
      <c r="BJ1022" s="15"/>
      <c r="BK1022" s="15"/>
      <c r="BL1022" s="15"/>
      <c r="BM1022" s="15"/>
      <c r="BN1022" s="92"/>
      <c r="BO1022" s="92"/>
      <c r="BP1022" s="92"/>
      <c r="BQ1022" s="92"/>
      <c r="BR1022" s="92"/>
      <c r="BS1022" s="92"/>
      <c r="BT1022" s="92"/>
      <c r="BU1022" s="92"/>
      <c r="BV1022" s="92"/>
      <c r="BW1022" s="92"/>
      <c r="BX1022" s="92"/>
      <c r="BY1022" s="92"/>
      <c r="BZ1022" s="92"/>
      <c r="CA1022" s="92"/>
      <c r="CB1022" s="92"/>
      <c r="CC1022" s="92"/>
      <c r="CD1022" s="92"/>
      <c r="CE1022" s="92"/>
      <c r="CF1022" s="92"/>
      <c r="CG1022" s="92"/>
      <c r="CH1022" s="92"/>
      <c r="CI1022" s="92"/>
      <c r="CJ1022" s="92"/>
      <c r="CK1022" s="92"/>
      <c r="CL1022" s="92"/>
      <c r="CM1022" s="92"/>
      <c r="CN1022" s="92"/>
      <c r="CO1022" s="92"/>
      <c r="CP1022" s="92"/>
      <c r="CQ1022" s="92"/>
      <c r="CR1022" s="92"/>
      <c r="CS1022" s="92"/>
      <c r="CT1022" s="92"/>
      <c r="CU1022" s="92"/>
      <c r="CV1022" s="92"/>
      <c r="CW1022" s="92"/>
      <c r="CX1022" s="85"/>
      <c r="CY1022" s="85"/>
      <c r="CZ1022" s="85"/>
      <c r="DA1022" s="85"/>
      <c r="DB1022" s="85"/>
      <c r="DC1022" s="85"/>
      <c r="DD1022" s="85"/>
      <c r="DE1022" s="85"/>
      <c r="DF1022" s="85"/>
      <c r="DG1022" s="85"/>
      <c r="DH1022" s="85"/>
      <c r="DI1022" s="85"/>
      <c r="DJ1022" s="85"/>
      <c r="DK1022" s="85"/>
      <c r="DL1022" s="85"/>
      <c r="DM1022" s="85"/>
      <c r="DN1022" s="85"/>
      <c r="DO1022" s="85"/>
      <c r="DP1022" s="85"/>
    </row>
    <row r="1023">
      <c r="A1023" s="91"/>
      <c r="B1023" s="91"/>
      <c r="C1023" s="91"/>
      <c r="D1023" s="91"/>
      <c r="E1023" s="78"/>
      <c r="F1023" s="15"/>
      <c r="G1023" s="15"/>
      <c r="H1023" s="91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  <c r="AB1023" s="15"/>
      <c r="AC1023" s="15"/>
      <c r="AD1023" s="15"/>
      <c r="AE1023" s="15"/>
      <c r="AF1023" s="15"/>
      <c r="AG1023" s="15"/>
      <c r="AH1023" s="15"/>
      <c r="AI1023" s="15"/>
      <c r="AJ1023" s="15"/>
      <c r="AK1023" s="15"/>
      <c r="AL1023" s="15"/>
      <c r="AM1023" s="15"/>
      <c r="AN1023" s="15"/>
      <c r="AO1023" s="15"/>
      <c r="AP1023" s="15"/>
      <c r="AQ1023" s="15"/>
      <c r="AR1023" s="15"/>
      <c r="AS1023" s="15"/>
      <c r="AT1023" s="15"/>
      <c r="AU1023" s="15"/>
      <c r="AV1023" s="15"/>
      <c r="AW1023" s="15"/>
      <c r="AX1023" s="15"/>
      <c r="AY1023" s="15"/>
      <c r="AZ1023" s="15"/>
      <c r="BA1023" s="15"/>
      <c r="BB1023" s="15"/>
      <c r="BC1023" s="15"/>
      <c r="BD1023" s="15"/>
      <c r="BE1023" s="15"/>
      <c r="BF1023" s="15"/>
      <c r="BG1023" s="15"/>
      <c r="BH1023" s="15"/>
      <c r="BI1023" s="15"/>
      <c r="BJ1023" s="15"/>
      <c r="BK1023" s="15"/>
      <c r="BL1023" s="15"/>
      <c r="BM1023" s="15"/>
      <c r="BN1023" s="92"/>
      <c r="BO1023" s="92"/>
      <c r="BP1023" s="92"/>
      <c r="BQ1023" s="92"/>
      <c r="BR1023" s="92"/>
      <c r="BS1023" s="92"/>
      <c r="BT1023" s="92"/>
      <c r="BU1023" s="92"/>
      <c r="BV1023" s="92"/>
      <c r="BW1023" s="92"/>
      <c r="BX1023" s="92"/>
      <c r="BY1023" s="92"/>
      <c r="BZ1023" s="92"/>
      <c r="CA1023" s="92"/>
      <c r="CB1023" s="92"/>
      <c r="CC1023" s="92"/>
      <c r="CD1023" s="92"/>
      <c r="CE1023" s="92"/>
      <c r="CF1023" s="92"/>
      <c r="CG1023" s="92"/>
      <c r="CH1023" s="92"/>
      <c r="CI1023" s="92"/>
      <c r="CJ1023" s="92"/>
      <c r="CK1023" s="92"/>
      <c r="CL1023" s="92"/>
      <c r="CM1023" s="92"/>
      <c r="CN1023" s="92"/>
      <c r="CO1023" s="92"/>
      <c r="CP1023" s="92"/>
      <c r="CQ1023" s="92"/>
      <c r="CR1023" s="92"/>
      <c r="CS1023" s="92"/>
      <c r="CT1023" s="92"/>
      <c r="CU1023" s="92"/>
      <c r="CV1023" s="92"/>
      <c r="CW1023" s="92"/>
      <c r="CX1023" s="85"/>
      <c r="CY1023" s="85"/>
      <c r="CZ1023" s="85"/>
      <c r="DA1023" s="85"/>
      <c r="DB1023" s="85"/>
      <c r="DC1023" s="85"/>
      <c r="DD1023" s="85"/>
      <c r="DE1023" s="85"/>
      <c r="DF1023" s="85"/>
      <c r="DG1023" s="85"/>
      <c r="DH1023" s="85"/>
      <c r="DI1023" s="85"/>
      <c r="DJ1023" s="85"/>
      <c r="DK1023" s="85"/>
      <c r="DL1023" s="85"/>
      <c r="DM1023" s="85"/>
      <c r="DN1023" s="85"/>
      <c r="DO1023" s="85"/>
      <c r="DP1023" s="85"/>
    </row>
    <row r="1024">
      <c r="A1024" s="91"/>
      <c r="B1024" s="91"/>
      <c r="C1024" s="91"/>
      <c r="D1024" s="91"/>
      <c r="E1024" s="78"/>
      <c r="F1024" s="15"/>
      <c r="G1024" s="15"/>
      <c r="H1024" s="91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  <c r="AB1024" s="15"/>
      <c r="AC1024" s="15"/>
      <c r="AD1024" s="15"/>
      <c r="AE1024" s="15"/>
      <c r="AF1024" s="15"/>
      <c r="AG1024" s="15"/>
      <c r="AH1024" s="15"/>
      <c r="AI1024" s="15"/>
      <c r="AJ1024" s="15"/>
      <c r="AK1024" s="15"/>
      <c r="AL1024" s="15"/>
      <c r="AM1024" s="15"/>
      <c r="AN1024" s="15"/>
      <c r="AO1024" s="15"/>
      <c r="AP1024" s="15"/>
      <c r="AQ1024" s="15"/>
      <c r="AR1024" s="15"/>
      <c r="AS1024" s="15"/>
      <c r="AT1024" s="15"/>
      <c r="AU1024" s="15"/>
      <c r="AV1024" s="15"/>
      <c r="AW1024" s="15"/>
      <c r="AX1024" s="15"/>
      <c r="AY1024" s="15"/>
      <c r="AZ1024" s="15"/>
      <c r="BA1024" s="15"/>
      <c r="BB1024" s="15"/>
      <c r="BC1024" s="15"/>
      <c r="BD1024" s="15"/>
      <c r="BE1024" s="15"/>
      <c r="BF1024" s="15"/>
      <c r="BG1024" s="15"/>
      <c r="BH1024" s="15"/>
      <c r="BI1024" s="15"/>
      <c r="BJ1024" s="15"/>
      <c r="BK1024" s="15"/>
      <c r="BL1024" s="15"/>
      <c r="BM1024" s="15"/>
      <c r="BN1024" s="92"/>
      <c r="BO1024" s="92"/>
      <c r="BP1024" s="92"/>
      <c r="BQ1024" s="92"/>
      <c r="BR1024" s="92"/>
      <c r="BS1024" s="92"/>
      <c r="BT1024" s="92"/>
      <c r="BU1024" s="92"/>
      <c r="BV1024" s="92"/>
      <c r="BW1024" s="92"/>
      <c r="BX1024" s="92"/>
      <c r="BY1024" s="92"/>
      <c r="BZ1024" s="92"/>
      <c r="CA1024" s="92"/>
      <c r="CB1024" s="92"/>
      <c r="CC1024" s="92"/>
      <c r="CD1024" s="92"/>
      <c r="CE1024" s="92"/>
      <c r="CF1024" s="92"/>
      <c r="CG1024" s="92"/>
      <c r="CH1024" s="92"/>
      <c r="CI1024" s="92"/>
      <c r="CJ1024" s="92"/>
      <c r="CK1024" s="92"/>
      <c r="CL1024" s="92"/>
      <c r="CM1024" s="92"/>
      <c r="CN1024" s="92"/>
      <c r="CO1024" s="92"/>
      <c r="CP1024" s="92"/>
      <c r="CQ1024" s="92"/>
      <c r="CR1024" s="92"/>
      <c r="CS1024" s="92"/>
      <c r="CT1024" s="92"/>
      <c r="CU1024" s="92"/>
      <c r="CV1024" s="92"/>
      <c r="CW1024" s="92"/>
      <c r="CX1024" s="85"/>
      <c r="CY1024" s="85"/>
      <c r="CZ1024" s="85"/>
      <c r="DA1024" s="85"/>
      <c r="DB1024" s="85"/>
      <c r="DC1024" s="85"/>
      <c r="DD1024" s="85"/>
      <c r="DE1024" s="85"/>
      <c r="DF1024" s="85"/>
      <c r="DG1024" s="85"/>
      <c r="DH1024" s="85"/>
      <c r="DI1024" s="85"/>
      <c r="DJ1024" s="85"/>
      <c r="DK1024" s="85"/>
      <c r="DL1024" s="85"/>
      <c r="DM1024" s="85"/>
      <c r="DN1024" s="85"/>
      <c r="DO1024" s="85"/>
      <c r="DP1024" s="85"/>
    </row>
    <row r="1025">
      <c r="A1025" s="91"/>
      <c r="B1025" s="91"/>
      <c r="C1025" s="91"/>
      <c r="D1025" s="91"/>
      <c r="E1025" s="78"/>
      <c r="F1025" s="15"/>
      <c r="G1025" s="15"/>
      <c r="H1025" s="91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  <c r="AB1025" s="15"/>
      <c r="AC1025" s="15"/>
      <c r="AD1025" s="15"/>
      <c r="AE1025" s="15"/>
      <c r="AF1025" s="15"/>
      <c r="AG1025" s="15"/>
      <c r="AH1025" s="15"/>
      <c r="AI1025" s="15"/>
      <c r="AJ1025" s="15"/>
      <c r="AK1025" s="15"/>
      <c r="AL1025" s="15"/>
      <c r="AM1025" s="15"/>
      <c r="AN1025" s="15"/>
      <c r="AO1025" s="15"/>
      <c r="AP1025" s="15"/>
      <c r="AQ1025" s="15"/>
      <c r="AR1025" s="15"/>
      <c r="AS1025" s="15"/>
      <c r="AT1025" s="15"/>
      <c r="AU1025" s="15"/>
      <c r="AV1025" s="15"/>
      <c r="AW1025" s="15"/>
      <c r="AX1025" s="15"/>
      <c r="AY1025" s="15"/>
      <c r="AZ1025" s="15"/>
      <c r="BA1025" s="15"/>
      <c r="BB1025" s="15"/>
      <c r="BC1025" s="15"/>
      <c r="BD1025" s="15"/>
      <c r="BE1025" s="15"/>
      <c r="BF1025" s="15"/>
      <c r="BG1025" s="15"/>
      <c r="BH1025" s="15"/>
      <c r="BI1025" s="15"/>
      <c r="BJ1025" s="15"/>
      <c r="BK1025" s="15"/>
      <c r="BL1025" s="15"/>
      <c r="BM1025" s="15"/>
      <c r="BN1025" s="92"/>
      <c r="BO1025" s="92"/>
      <c r="BP1025" s="92"/>
      <c r="BQ1025" s="92"/>
      <c r="BR1025" s="92"/>
      <c r="BS1025" s="92"/>
      <c r="BT1025" s="92"/>
      <c r="BU1025" s="92"/>
      <c r="BV1025" s="92"/>
      <c r="BW1025" s="92"/>
      <c r="BX1025" s="92"/>
      <c r="BY1025" s="92"/>
      <c r="BZ1025" s="92"/>
      <c r="CA1025" s="92"/>
      <c r="CB1025" s="92"/>
      <c r="CC1025" s="92"/>
      <c r="CD1025" s="92"/>
      <c r="CE1025" s="92"/>
      <c r="CF1025" s="92"/>
      <c r="CG1025" s="92"/>
      <c r="CH1025" s="92"/>
      <c r="CI1025" s="92"/>
      <c r="CJ1025" s="92"/>
      <c r="CK1025" s="92"/>
      <c r="CL1025" s="92"/>
      <c r="CM1025" s="92"/>
      <c r="CN1025" s="92"/>
      <c r="CO1025" s="92"/>
      <c r="CP1025" s="92"/>
      <c r="CQ1025" s="92"/>
      <c r="CR1025" s="92"/>
      <c r="CS1025" s="92"/>
      <c r="CT1025" s="92"/>
      <c r="CU1025" s="92"/>
      <c r="CV1025" s="92"/>
      <c r="CW1025" s="92"/>
      <c r="CX1025" s="85"/>
      <c r="CY1025" s="85"/>
      <c r="CZ1025" s="85"/>
      <c r="DA1025" s="85"/>
      <c r="DB1025" s="85"/>
      <c r="DC1025" s="85"/>
      <c r="DD1025" s="85"/>
      <c r="DE1025" s="85"/>
      <c r="DF1025" s="85"/>
      <c r="DG1025" s="85"/>
      <c r="DH1025" s="85"/>
      <c r="DI1025" s="85"/>
      <c r="DJ1025" s="85"/>
      <c r="DK1025" s="85"/>
      <c r="DL1025" s="85"/>
      <c r="DM1025" s="85"/>
      <c r="DN1025" s="85"/>
      <c r="DO1025" s="85"/>
      <c r="DP1025" s="85"/>
    </row>
    <row r="1026">
      <c r="A1026" s="91"/>
      <c r="B1026" s="91"/>
      <c r="C1026" s="91"/>
      <c r="D1026" s="91"/>
      <c r="E1026" s="78"/>
      <c r="F1026" s="15"/>
      <c r="G1026" s="15"/>
      <c r="H1026" s="91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  <c r="AA1026" s="15"/>
      <c r="AB1026" s="15"/>
      <c r="AC1026" s="15"/>
      <c r="AD1026" s="15"/>
      <c r="AE1026" s="15"/>
      <c r="AF1026" s="15"/>
      <c r="AG1026" s="15"/>
      <c r="AH1026" s="15"/>
      <c r="AI1026" s="15"/>
      <c r="AJ1026" s="15"/>
      <c r="AK1026" s="15"/>
      <c r="AL1026" s="15"/>
      <c r="AM1026" s="15"/>
      <c r="AN1026" s="15"/>
      <c r="AO1026" s="15"/>
      <c r="AP1026" s="15"/>
      <c r="AQ1026" s="15"/>
      <c r="AR1026" s="15"/>
      <c r="AS1026" s="15"/>
      <c r="AT1026" s="15"/>
      <c r="AU1026" s="15"/>
      <c r="AV1026" s="15"/>
      <c r="AW1026" s="15"/>
      <c r="AX1026" s="15"/>
      <c r="AY1026" s="15"/>
      <c r="AZ1026" s="15"/>
      <c r="BA1026" s="15"/>
      <c r="BB1026" s="15"/>
      <c r="BC1026" s="15"/>
      <c r="BD1026" s="15"/>
      <c r="BE1026" s="15"/>
      <c r="BF1026" s="15"/>
      <c r="BG1026" s="15"/>
      <c r="BH1026" s="15"/>
      <c r="BI1026" s="15"/>
      <c r="BJ1026" s="15"/>
      <c r="BK1026" s="15"/>
      <c r="BL1026" s="15"/>
      <c r="BM1026" s="15"/>
      <c r="BN1026" s="92"/>
      <c r="BO1026" s="92"/>
      <c r="BP1026" s="92"/>
      <c r="BQ1026" s="92"/>
      <c r="BR1026" s="92"/>
      <c r="BS1026" s="92"/>
      <c r="BT1026" s="92"/>
      <c r="BU1026" s="92"/>
      <c r="BV1026" s="92"/>
      <c r="BW1026" s="92"/>
      <c r="BX1026" s="92"/>
      <c r="BY1026" s="92"/>
      <c r="BZ1026" s="92"/>
      <c r="CA1026" s="92"/>
      <c r="CB1026" s="92"/>
      <c r="CC1026" s="92"/>
      <c r="CD1026" s="92"/>
      <c r="CE1026" s="92"/>
      <c r="CF1026" s="92"/>
      <c r="CG1026" s="92"/>
      <c r="CH1026" s="92"/>
      <c r="CI1026" s="92"/>
      <c r="CJ1026" s="92"/>
      <c r="CK1026" s="92"/>
      <c r="CL1026" s="92"/>
      <c r="CM1026" s="92"/>
      <c r="CN1026" s="92"/>
      <c r="CO1026" s="92"/>
      <c r="CP1026" s="92"/>
      <c r="CQ1026" s="92"/>
      <c r="CR1026" s="92"/>
      <c r="CS1026" s="92"/>
      <c r="CT1026" s="92"/>
      <c r="CU1026" s="92"/>
      <c r="CV1026" s="92"/>
      <c r="CW1026" s="92"/>
      <c r="CX1026" s="85"/>
      <c r="CY1026" s="85"/>
      <c r="CZ1026" s="85"/>
      <c r="DA1026" s="85"/>
      <c r="DB1026" s="85"/>
      <c r="DC1026" s="85"/>
      <c r="DD1026" s="85"/>
      <c r="DE1026" s="85"/>
      <c r="DF1026" s="85"/>
      <c r="DG1026" s="85"/>
      <c r="DH1026" s="85"/>
      <c r="DI1026" s="85"/>
      <c r="DJ1026" s="85"/>
      <c r="DK1026" s="85"/>
      <c r="DL1026" s="85"/>
      <c r="DM1026" s="85"/>
      <c r="DN1026" s="85"/>
      <c r="DO1026" s="85"/>
      <c r="DP1026" s="85"/>
    </row>
    <row r="1027">
      <c r="A1027" s="91"/>
      <c r="B1027" s="91"/>
      <c r="C1027" s="91"/>
      <c r="D1027" s="91"/>
      <c r="E1027" s="78"/>
      <c r="F1027" s="15"/>
      <c r="G1027" s="15"/>
      <c r="H1027" s="91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  <c r="AB1027" s="15"/>
      <c r="AC1027" s="15"/>
      <c r="AD1027" s="15"/>
      <c r="AE1027" s="15"/>
      <c r="AF1027" s="15"/>
      <c r="AG1027" s="15"/>
      <c r="AH1027" s="15"/>
      <c r="AI1027" s="15"/>
      <c r="AJ1027" s="15"/>
      <c r="AK1027" s="15"/>
      <c r="AL1027" s="15"/>
      <c r="AM1027" s="15"/>
      <c r="AN1027" s="15"/>
      <c r="AO1027" s="15"/>
      <c r="AP1027" s="15"/>
      <c r="AQ1027" s="15"/>
      <c r="AR1027" s="15"/>
      <c r="AS1027" s="15"/>
      <c r="AT1027" s="15"/>
      <c r="AU1027" s="15"/>
      <c r="AV1027" s="15"/>
      <c r="AW1027" s="15"/>
      <c r="AX1027" s="15"/>
      <c r="AY1027" s="15"/>
      <c r="AZ1027" s="15"/>
      <c r="BA1027" s="15"/>
      <c r="BB1027" s="15"/>
      <c r="BC1027" s="15"/>
      <c r="BD1027" s="15"/>
      <c r="BE1027" s="15"/>
      <c r="BF1027" s="15"/>
      <c r="BG1027" s="15"/>
      <c r="BH1027" s="15"/>
      <c r="BI1027" s="15"/>
      <c r="BJ1027" s="15"/>
      <c r="BK1027" s="15"/>
      <c r="BL1027" s="15"/>
      <c r="BM1027" s="15"/>
      <c r="BN1027" s="92"/>
      <c r="BO1027" s="92"/>
      <c r="BP1027" s="92"/>
      <c r="BQ1027" s="92"/>
      <c r="BR1027" s="92"/>
      <c r="BS1027" s="92"/>
      <c r="BT1027" s="92"/>
      <c r="BU1027" s="92"/>
      <c r="BV1027" s="92"/>
      <c r="BW1027" s="92"/>
      <c r="BX1027" s="92"/>
      <c r="BY1027" s="92"/>
      <c r="BZ1027" s="92"/>
      <c r="CA1027" s="92"/>
      <c r="CB1027" s="92"/>
      <c r="CC1027" s="92"/>
      <c r="CD1027" s="92"/>
      <c r="CE1027" s="92"/>
      <c r="CF1027" s="92"/>
      <c r="CG1027" s="92"/>
      <c r="CH1027" s="92"/>
      <c r="CI1027" s="92"/>
      <c r="CJ1027" s="92"/>
      <c r="CK1027" s="92"/>
      <c r="CL1027" s="92"/>
      <c r="CM1027" s="92"/>
      <c r="CN1027" s="92"/>
      <c r="CO1027" s="92"/>
      <c r="CP1027" s="92"/>
      <c r="CQ1027" s="92"/>
      <c r="CR1027" s="92"/>
      <c r="CS1027" s="92"/>
      <c r="CT1027" s="92"/>
      <c r="CU1027" s="92"/>
      <c r="CV1027" s="92"/>
      <c r="CW1027" s="92"/>
      <c r="CX1027" s="85"/>
      <c r="CY1027" s="85"/>
      <c r="CZ1027" s="85"/>
      <c r="DA1027" s="85"/>
      <c r="DB1027" s="85"/>
      <c r="DC1027" s="85"/>
      <c r="DD1027" s="85"/>
      <c r="DE1027" s="85"/>
      <c r="DF1027" s="85"/>
      <c r="DG1027" s="85"/>
      <c r="DH1027" s="85"/>
      <c r="DI1027" s="85"/>
      <c r="DJ1027" s="85"/>
      <c r="DK1027" s="85"/>
      <c r="DL1027" s="85"/>
      <c r="DM1027" s="85"/>
      <c r="DN1027" s="85"/>
      <c r="DO1027" s="85"/>
      <c r="DP1027" s="85"/>
    </row>
    <row r="1028">
      <c r="A1028" s="91"/>
      <c r="B1028" s="91"/>
      <c r="C1028" s="91"/>
      <c r="D1028" s="91"/>
      <c r="E1028" s="78"/>
      <c r="F1028" s="15"/>
      <c r="G1028" s="15"/>
      <c r="H1028" s="91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/>
      <c r="AB1028" s="15"/>
      <c r="AC1028" s="15"/>
      <c r="AD1028" s="15"/>
      <c r="AE1028" s="15"/>
      <c r="AF1028" s="15"/>
      <c r="AG1028" s="15"/>
      <c r="AH1028" s="15"/>
      <c r="AI1028" s="15"/>
      <c r="AJ1028" s="15"/>
      <c r="AK1028" s="15"/>
      <c r="AL1028" s="15"/>
      <c r="AM1028" s="15"/>
      <c r="AN1028" s="15"/>
      <c r="AO1028" s="15"/>
      <c r="AP1028" s="15"/>
      <c r="AQ1028" s="15"/>
      <c r="AR1028" s="15"/>
      <c r="AS1028" s="15"/>
      <c r="AT1028" s="15"/>
      <c r="AU1028" s="15"/>
      <c r="AV1028" s="15"/>
      <c r="AW1028" s="15"/>
      <c r="AX1028" s="15"/>
      <c r="AY1028" s="15"/>
      <c r="AZ1028" s="15"/>
      <c r="BA1028" s="15"/>
      <c r="BB1028" s="15"/>
      <c r="BC1028" s="15"/>
      <c r="BD1028" s="15"/>
      <c r="BE1028" s="15"/>
      <c r="BF1028" s="15"/>
      <c r="BG1028" s="15"/>
      <c r="BH1028" s="15"/>
      <c r="BI1028" s="15"/>
      <c r="BJ1028" s="15"/>
      <c r="BK1028" s="15"/>
      <c r="BL1028" s="15"/>
      <c r="BM1028" s="15"/>
      <c r="BN1028" s="92"/>
      <c r="BO1028" s="92"/>
      <c r="BP1028" s="92"/>
      <c r="BQ1028" s="92"/>
      <c r="BR1028" s="92"/>
      <c r="BS1028" s="92"/>
      <c r="BT1028" s="92"/>
      <c r="BU1028" s="92"/>
      <c r="BV1028" s="92"/>
      <c r="BW1028" s="92"/>
      <c r="BX1028" s="92"/>
      <c r="BY1028" s="92"/>
      <c r="BZ1028" s="92"/>
      <c r="CA1028" s="92"/>
      <c r="CB1028" s="92"/>
      <c r="CC1028" s="92"/>
      <c r="CD1028" s="92"/>
      <c r="CE1028" s="92"/>
      <c r="CF1028" s="92"/>
      <c r="CG1028" s="92"/>
      <c r="CH1028" s="92"/>
      <c r="CI1028" s="92"/>
      <c r="CJ1028" s="92"/>
      <c r="CK1028" s="92"/>
      <c r="CL1028" s="92"/>
      <c r="CM1028" s="92"/>
      <c r="CN1028" s="92"/>
      <c r="CO1028" s="92"/>
      <c r="CP1028" s="92"/>
      <c r="CQ1028" s="92"/>
      <c r="CR1028" s="92"/>
      <c r="CS1028" s="92"/>
      <c r="CT1028" s="92"/>
      <c r="CU1028" s="92"/>
      <c r="CV1028" s="92"/>
      <c r="CW1028" s="92"/>
      <c r="CX1028" s="85"/>
      <c r="CY1028" s="85"/>
      <c r="CZ1028" s="85"/>
      <c r="DA1028" s="85"/>
      <c r="DB1028" s="85"/>
      <c r="DC1028" s="85"/>
      <c r="DD1028" s="85"/>
      <c r="DE1028" s="85"/>
      <c r="DF1028" s="85"/>
      <c r="DG1028" s="85"/>
      <c r="DH1028" s="85"/>
      <c r="DI1028" s="85"/>
      <c r="DJ1028" s="85"/>
      <c r="DK1028" s="85"/>
      <c r="DL1028" s="85"/>
      <c r="DM1028" s="85"/>
      <c r="DN1028" s="85"/>
      <c r="DO1028" s="85"/>
      <c r="DP1028" s="85"/>
    </row>
    <row r="1029">
      <c r="A1029" s="91"/>
      <c r="B1029" s="91"/>
      <c r="C1029" s="91"/>
      <c r="D1029" s="91"/>
      <c r="E1029" s="78"/>
      <c r="F1029" s="15"/>
      <c r="G1029" s="15"/>
      <c r="H1029" s="91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  <c r="AC1029" s="15"/>
      <c r="AD1029" s="15"/>
      <c r="AE1029" s="15"/>
      <c r="AF1029" s="15"/>
      <c r="AG1029" s="15"/>
      <c r="AH1029" s="15"/>
      <c r="AI1029" s="15"/>
      <c r="AJ1029" s="15"/>
      <c r="AK1029" s="15"/>
      <c r="AL1029" s="15"/>
      <c r="AM1029" s="15"/>
      <c r="AN1029" s="15"/>
      <c r="AO1029" s="15"/>
      <c r="AP1029" s="15"/>
      <c r="AQ1029" s="15"/>
      <c r="AR1029" s="15"/>
      <c r="AS1029" s="15"/>
      <c r="AT1029" s="15"/>
      <c r="AU1029" s="15"/>
      <c r="AV1029" s="15"/>
      <c r="AW1029" s="15"/>
      <c r="AX1029" s="15"/>
      <c r="AY1029" s="15"/>
      <c r="AZ1029" s="15"/>
      <c r="BA1029" s="15"/>
      <c r="BB1029" s="15"/>
      <c r="BC1029" s="15"/>
      <c r="BD1029" s="15"/>
      <c r="BE1029" s="15"/>
      <c r="BF1029" s="15"/>
      <c r="BG1029" s="15"/>
      <c r="BH1029" s="15"/>
      <c r="BI1029" s="15"/>
      <c r="BJ1029" s="15"/>
      <c r="BK1029" s="15"/>
      <c r="BL1029" s="15"/>
      <c r="BM1029" s="15"/>
      <c r="BN1029" s="92"/>
      <c r="BO1029" s="92"/>
      <c r="BP1029" s="92"/>
      <c r="BQ1029" s="92"/>
      <c r="BR1029" s="92"/>
      <c r="BS1029" s="92"/>
      <c r="BT1029" s="92"/>
      <c r="BU1029" s="92"/>
      <c r="BV1029" s="92"/>
      <c r="BW1029" s="92"/>
      <c r="BX1029" s="92"/>
      <c r="BY1029" s="92"/>
      <c r="BZ1029" s="92"/>
      <c r="CA1029" s="92"/>
      <c r="CB1029" s="92"/>
      <c r="CC1029" s="92"/>
      <c r="CD1029" s="92"/>
      <c r="CE1029" s="92"/>
      <c r="CF1029" s="92"/>
      <c r="CG1029" s="92"/>
      <c r="CH1029" s="92"/>
      <c r="CI1029" s="92"/>
      <c r="CJ1029" s="92"/>
      <c r="CK1029" s="92"/>
      <c r="CL1029" s="92"/>
      <c r="CM1029" s="92"/>
      <c r="CN1029" s="92"/>
      <c r="CO1029" s="92"/>
      <c r="CP1029" s="92"/>
      <c r="CQ1029" s="92"/>
      <c r="CR1029" s="92"/>
      <c r="CS1029" s="92"/>
      <c r="CT1029" s="92"/>
      <c r="CU1029" s="92"/>
      <c r="CV1029" s="92"/>
      <c r="CW1029" s="92"/>
      <c r="CX1029" s="85"/>
      <c r="CY1029" s="85"/>
      <c r="CZ1029" s="85"/>
      <c r="DA1029" s="85"/>
      <c r="DB1029" s="85"/>
      <c r="DC1029" s="85"/>
      <c r="DD1029" s="85"/>
      <c r="DE1029" s="85"/>
      <c r="DF1029" s="85"/>
      <c r="DG1029" s="85"/>
      <c r="DH1029" s="85"/>
      <c r="DI1029" s="85"/>
      <c r="DJ1029" s="85"/>
      <c r="DK1029" s="85"/>
      <c r="DL1029" s="85"/>
      <c r="DM1029" s="85"/>
      <c r="DN1029" s="85"/>
      <c r="DO1029" s="85"/>
      <c r="DP1029" s="85"/>
    </row>
    <row r="1030">
      <c r="A1030" s="91"/>
      <c r="B1030" s="91"/>
      <c r="C1030" s="91"/>
      <c r="D1030" s="91"/>
      <c r="E1030" s="78"/>
      <c r="F1030" s="15"/>
      <c r="G1030" s="15"/>
      <c r="H1030" s="91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  <c r="AA1030" s="15"/>
      <c r="AB1030" s="15"/>
      <c r="AC1030" s="15"/>
      <c r="AD1030" s="15"/>
      <c r="AE1030" s="15"/>
      <c r="AF1030" s="15"/>
      <c r="AG1030" s="15"/>
      <c r="AH1030" s="15"/>
      <c r="AI1030" s="15"/>
      <c r="AJ1030" s="15"/>
      <c r="AK1030" s="15"/>
      <c r="AL1030" s="15"/>
      <c r="AM1030" s="15"/>
      <c r="AN1030" s="15"/>
      <c r="AO1030" s="15"/>
      <c r="AP1030" s="15"/>
      <c r="AQ1030" s="15"/>
      <c r="AR1030" s="15"/>
      <c r="AS1030" s="15"/>
      <c r="AT1030" s="15"/>
      <c r="AU1030" s="15"/>
      <c r="AV1030" s="15"/>
      <c r="AW1030" s="15"/>
      <c r="AX1030" s="15"/>
      <c r="AY1030" s="15"/>
      <c r="AZ1030" s="15"/>
      <c r="BA1030" s="15"/>
      <c r="BB1030" s="15"/>
      <c r="BC1030" s="15"/>
      <c r="BD1030" s="15"/>
      <c r="BE1030" s="15"/>
      <c r="BF1030" s="15"/>
      <c r="BG1030" s="15"/>
      <c r="BH1030" s="15"/>
      <c r="BI1030" s="15"/>
      <c r="BJ1030" s="15"/>
      <c r="BK1030" s="15"/>
      <c r="BL1030" s="15"/>
      <c r="BM1030" s="15"/>
      <c r="BN1030" s="92"/>
      <c r="BO1030" s="92"/>
      <c r="BP1030" s="92"/>
      <c r="BQ1030" s="92"/>
      <c r="BR1030" s="92"/>
      <c r="BS1030" s="92"/>
      <c r="BT1030" s="92"/>
      <c r="BU1030" s="92"/>
      <c r="BV1030" s="92"/>
      <c r="BW1030" s="92"/>
      <c r="BX1030" s="92"/>
      <c r="BY1030" s="92"/>
      <c r="BZ1030" s="92"/>
      <c r="CA1030" s="92"/>
      <c r="CB1030" s="92"/>
      <c r="CC1030" s="92"/>
      <c r="CD1030" s="92"/>
      <c r="CE1030" s="92"/>
      <c r="CF1030" s="92"/>
      <c r="CG1030" s="92"/>
      <c r="CH1030" s="92"/>
      <c r="CI1030" s="92"/>
      <c r="CJ1030" s="92"/>
      <c r="CK1030" s="92"/>
      <c r="CL1030" s="92"/>
      <c r="CM1030" s="92"/>
      <c r="CN1030" s="92"/>
      <c r="CO1030" s="92"/>
      <c r="CP1030" s="92"/>
      <c r="CQ1030" s="92"/>
      <c r="CR1030" s="92"/>
      <c r="CS1030" s="92"/>
      <c r="CT1030" s="92"/>
      <c r="CU1030" s="92"/>
      <c r="CV1030" s="92"/>
      <c r="CW1030" s="92"/>
      <c r="CX1030" s="85"/>
      <c r="CY1030" s="85"/>
      <c r="CZ1030" s="85"/>
      <c r="DA1030" s="85"/>
      <c r="DB1030" s="85"/>
      <c r="DC1030" s="85"/>
      <c r="DD1030" s="85"/>
      <c r="DE1030" s="85"/>
      <c r="DF1030" s="85"/>
      <c r="DG1030" s="85"/>
      <c r="DH1030" s="85"/>
      <c r="DI1030" s="85"/>
      <c r="DJ1030" s="85"/>
      <c r="DK1030" s="85"/>
      <c r="DL1030" s="85"/>
      <c r="DM1030" s="85"/>
      <c r="DN1030" s="85"/>
      <c r="DO1030" s="85"/>
      <c r="DP1030" s="85"/>
    </row>
    <row r="1031">
      <c r="A1031" s="91"/>
      <c r="B1031" s="91"/>
      <c r="C1031" s="91"/>
      <c r="D1031" s="91"/>
      <c r="E1031" s="78"/>
      <c r="F1031" s="15"/>
      <c r="G1031" s="15"/>
      <c r="H1031" s="91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  <c r="AA1031" s="15"/>
      <c r="AB1031" s="15"/>
      <c r="AC1031" s="15"/>
      <c r="AD1031" s="15"/>
      <c r="AE1031" s="15"/>
      <c r="AF1031" s="15"/>
      <c r="AG1031" s="15"/>
      <c r="AH1031" s="15"/>
      <c r="AI1031" s="15"/>
      <c r="AJ1031" s="15"/>
      <c r="AK1031" s="15"/>
      <c r="AL1031" s="15"/>
      <c r="AM1031" s="15"/>
      <c r="AN1031" s="15"/>
      <c r="AO1031" s="15"/>
      <c r="AP1031" s="15"/>
      <c r="AQ1031" s="15"/>
      <c r="AR1031" s="15"/>
      <c r="AS1031" s="15"/>
      <c r="AT1031" s="15"/>
      <c r="AU1031" s="15"/>
      <c r="AV1031" s="15"/>
      <c r="AW1031" s="15"/>
      <c r="AX1031" s="15"/>
      <c r="AY1031" s="15"/>
      <c r="AZ1031" s="15"/>
      <c r="BA1031" s="15"/>
      <c r="BB1031" s="15"/>
      <c r="BC1031" s="15"/>
      <c r="BD1031" s="15"/>
      <c r="BE1031" s="15"/>
      <c r="BF1031" s="15"/>
      <c r="BG1031" s="15"/>
      <c r="BH1031" s="15"/>
      <c r="BI1031" s="15"/>
      <c r="BJ1031" s="15"/>
      <c r="BK1031" s="15"/>
      <c r="BL1031" s="15"/>
      <c r="BM1031" s="15"/>
      <c r="BN1031" s="92"/>
      <c r="BO1031" s="92"/>
      <c r="BP1031" s="92"/>
      <c r="BQ1031" s="92"/>
      <c r="BR1031" s="92"/>
      <c r="BS1031" s="92"/>
      <c r="BT1031" s="92"/>
      <c r="BU1031" s="92"/>
      <c r="BV1031" s="92"/>
      <c r="BW1031" s="92"/>
      <c r="BX1031" s="92"/>
      <c r="BY1031" s="92"/>
      <c r="BZ1031" s="92"/>
      <c r="CA1031" s="92"/>
      <c r="CB1031" s="92"/>
      <c r="CC1031" s="92"/>
      <c r="CD1031" s="92"/>
      <c r="CE1031" s="92"/>
      <c r="CF1031" s="92"/>
      <c r="CG1031" s="92"/>
      <c r="CH1031" s="92"/>
      <c r="CI1031" s="92"/>
      <c r="CJ1031" s="92"/>
      <c r="CK1031" s="92"/>
      <c r="CL1031" s="92"/>
      <c r="CM1031" s="92"/>
      <c r="CN1031" s="92"/>
      <c r="CO1031" s="92"/>
      <c r="CP1031" s="92"/>
      <c r="CQ1031" s="92"/>
      <c r="CR1031" s="92"/>
      <c r="CS1031" s="92"/>
      <c r="CT1031" s="92"/>
      <c r="CU1031" s="92"/>
      <c r="CV1031" s="92"/>
      <c r="CW1031" s="92"/>
      <c r="CX1031" s="85"/>
      <c r="CY1031" s="85"/>
      <c r="CZ1031" s="85"/>
      <c r="DA1031" s="85"/>
      <c r="DB1031" s="85"/>
      <c r="DC1031" s="85"/>
      <c r="DD1031" s="85"/>
      <c r="DE1031" s="85"/>
      <c r="DF1031" s="85"/>
      <c r="DG1031" s="85"/>
      <c r="DH1031" s="85"/>
      <c r="DI1031" s="85"/>
      <c r="DJ1031" s="85"/>
      <c r="DK1031" s="85"/>
      <c r="DL1031" s="85"/>
      <c r="DM1031" s="85"/>
      <c r="DN1031" s="85"/>
      <c r="DO1031" s="85"/>
      <c r="DP1031" s="85"/>
    </row>
    <row r="1032">
      <c r="A1032" s="91"/>
      <c r="B1032" s="91"/>
      <c r="C1032" s="91"/>
      <c r="D1032" s="91"/>
      <c r="E1032" s="78"/>
      <c r="F1032" s="15"/>
      <c r="G1032" s="15"/>
      <c r="H1032" s="91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  <c r="AA1032" s="15"/>
      <c r="AB1032" s="15"/>
      <c r="AC1032" s="15"/>
      <c r="AD1032" s="15"/>
      <c r="AE1032" s="15"/>
      <c r="AF1032" s="15"/>
      <c r="AG1032" s="15"/>
      <c r="AH1032" s="15"/>
      <c r="AI1032" s="15"/>
      <c r="AJ1032" s="15"/>
      <c r="AK1032" s="15"/>
      <c r="AL1032" s="15"/>
      <c r="AM1032" s="15"/>
      <c r="AN1032" s="15"/>
      <c r="AO1032" s="15"/>
      <c r="AP1032" s="15"/>
      <c r="AQ1032" s="15"/>
      <c r="AR1032" s="15"/>
      <c r="AS1032" s="15"/>
      <c r="AT1032" s="15"/>
      <c r="AU1032" s="15"/>
      <c r="AV1032" s="15"/>
      <c r="AW1032" s="15"/>
      <c r="AX1032" s="15"/>
      <c r="AY1032" s="15"/>
      <c r="AZ1032" s="15"/>
      <c r="BA1032" s="15"/>
      <c r="BB1032" s="15"/>
      <c r="BC1032" s="15"/>
      <c r="BD1032" s="15"/>
      <c r="BE1032" s="15"/>
      <c r="BF1032" s="15"/>
      <c r="BG1032" s="15"/>
      <c r="BH1032" s="15"/>
      <c r="BI1032" s="15"/>
      <c r="BJ1032" s="15"/>
      <c r="BK1032" s="15"/>
      <c r="BL1032" s="15"/>
      <c r="BM1032" s="15"/>
      <c r="BN1032" s="92"/>
      <c r="BO1032" s="92"/>
      <c r="BP1032" s="92"/>
      <c r="BQ1032" s="92"/>
      <c r="BR1032" s="92"/>
      <c r="BS1032" s="92"/>
      <c r="BT1032" s="92"/>
      <c r="BU1032" s="92"/>
      <c r="BV1032" s="92"/>
      <c r="BW1032" s="92"/>
      <c r="BX1032" s="92"/>
      <c r="BY1032" s="92"/>
      <c r="BZ1032" s="92"/>
      <c r="CA1032" s="92"/>
      <c r="CB1032" s="92"/>
      <c r="CC1032" s="92"/>
      <c r="CD1032" s="92"/>
      <c r="CE1032" s="92"/>
      <c r="CF1032" s="92"/>
      <c r="CG1032" s="92"/>
      <c r="CH1032" s="92"/>
      <c r="CI1032" s="92"/>
      <c r="CJ1032" s="92"/>
      <c r="CK1032" s="92"/>
      <c r="CL1032" s="92"/>
      <c r="CM1032" s="92"/>
      <c r="CN1032" s="92"/>
      <c r="CO1032" s="92"/>
      <c r="CP1032" s="92"/>
      <c r="CQ1032" s="92"/>
      <c r="CR1032" s="92"/>
      <c r="CS1032" s="92"/>
      <c r="CT1032" s="92"/>
      <c r="CU1032" s="92"/>
      <c r="CV1032" s="92"/>
      <c r="CW1032" s="92"/>
      <c r="CX1032" s="85"/>
      <c r="CY1032" s="85"/>
      <c r="CZ1032" s="85"/>
      <c r="DA1032" s="85"/>
      <c r="DB1032" s="85"/>
      <c r="DC1032" s="85"/>
      <c r="DD1032" s="85"/>
      <c r="DE1032" s="85"/>
      <c r="DF1032" s="85"/>
      <c r="DG1032" s="85"/>
      <c r="DH1032" s="85"/>
      <c r="DI1032" s="85"/>
      <c r="DJ1032" s="85"/>
      <c r="DK1032" s="85"/>
      <c r="DL1032" s="85"/>
      <c r="DM1032" s="85"/>
      <c r="DN1032" s="85"/>
      <c r="DO1032" s="85"/>
      <c r="DP1032" s="85"/>
    </row>
    <row r="1033">
      <c r="A1033" s="91"/>
      <c r="B1033" s="91"/>
      <c r="C1033" s="91"/>
      <c r="D1033" s="91"/>
      <c r="E1033" s="78"/>
      <c r="F1033" s="15"/>
      <c r="G1033" s="15"/>
      <c r="H1033" s="91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  <c r="AA1033" s="15"/>
      <c r="AB1033" s="15"/>
      <c r="AC1033" s="15"/>
      <c r="AD1033" s="15"/>
      <c r="AE1033" s="15"/>
      <c r="AF1033" s="15"/>
      <c r="AG1033" s="15"/>
      <c r="AH1033" s="15"/>
      <c r="AI1033" s="15"/>
      <c r="AJ1033" s="15"/>
      <c r="AK1033" s="15"/>
      <c r="AL1033" s="15"/>
      <c r="AM1033" s="15"/>
      <c r="AN1033" s="15"/>
      <c r="AO1033" s="15"/>
      <c r="AP1033" s="15"/>
      <c r="AQ1033" s="15"/>
      <c r="AR1033" s="15"/>
      <c r="AS1033" s="15"/>
      <c r="AT1033" s="15"/>
      <c r="AU1033" s="15"/>
      <c r="AV1033" s="15"/>
      <c r="AW1033" s="15"/>
      <c r="AX1033" s="15"/>
      <c r="AY1033" s="15"/>
      <c r="AZ1033" s="15"/>
      <c r="BA1033" s="15"/>
      <c r="BB1033" s="15"/>
      <c r="BC1033" s="15"/>
      <c r="BD1033" s="15"/>
      <c r="BE1033" s="15"/>
      <c r="BF1033" s="15"/>
      <c r="BG1033" s="15"/>
      <c r="BH1033" s="15"/>
      <c r="BI1033" s="15"/>
      <c r="BJ1033" s="15"/>
      <c r="BK1033" s="15"/>
      <c r="BL1033" s="15"/>
      <c r="BM1033" s="15"/>
      <c r="BN1033" s="92"/>
      <c r="BO1033" s="92"/>
      <c r="BP1033" s="92"/>
      <c r="BQ1033" s="92"/>
      <c r="BR1033" s="92"/>
      <c r="BS1033" s="92"/>
      <c r="BT1033" s="92"/>
      <c r="BU1033" s="92"/>
      <c r="BV1033" s="92"/>
      <c r="BW1033" s="92"/>
      <c r="BX1033" s="92"/>
      <c r="BY1033" s="92"/>
      <c r="BZ1033" s="92"/>
      <c r="CA1033" s="92"/>
      <c r="CB1033" s="92"/>
      <c r="CC1033" s="92"/>
      <c r="CD1033" s="92"/>
      <c r="CE1033" s="92"/>
      <c r="CF1033" s="92"/>
      <c r="CG1033" s="92"/>
      <c r="CH1033" s="92"/>
      <c r="CI1033" s="92"/>
      <c r="CJ1033" s="92"/>
      <c r="CK1033" s="92"/>
      <c r="CL1033" s="92"/>
      <c r="CM1033" s="92"/>
      <c r="CN1033" s="92"/>
      <c r="CO1033" s="92"/>
      <c r="CP1033" s="92"/>
      <c r="CQ1033" s="92"/>
      <c r="CR1033" s="92"/>
      <c r="CS1033" s="92"/>
      <c r="CT1033" s="92"/>
      <c r="CU1033" s="92"/>
      <c r="CV1033" s="92"/>
      <c r="CW1033" s="92"/>
      <c r="CX1033" s="85"/>
      <c r="CY1033" s="85"/>
      <c r="CZ1033" s="85"/>
      <c r="DA1033" s="85"/>
      <c r="DB1033" s="85"/>
      <c r="DC1033" s="85"/>
      <c r="DD1033" s="85"/>
      <c r="DE1033" s="85"/>
      <c r="DF1033" s="85"/>
      <c r="DG1033" s="85"/>
      <c r="DH1033" s="85"/>
      <c r="DI1033" s="85"/>
      <c r="DJ1033" s="85"/>
      <c r="DK1033" s="85"/>
      <c r="DL1033" s="85"/>
      <c r="DM1033" s="85"/>
      <c r="DN1033" s="85"/>
      <c r="DO1033" s="85"/>
      <c r="DP1033" s="85"/>
    </row>
    <row r="1034">
      <c r="A1034" s="91"/>
      <c r="B1034" s="91"/>
      <c r="C1034" s="91"/>
      <c r="D1034" s="91"/>
      <c r="E1034" s="78"/>
      <c r="F1034" s="15"/>
      <c r="G1034" s="15"/>
      <c r="H1034" s="91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  <c r="AA1034" s="15"/>
      <c r="AB1034" s="15"/>
      <c r="AC1034" s="15"/>
      <c r="AD1034" s="15"/>
      <c r="AE1034" s="15"/>
      <c r="AF1034" s="15"/>
      <c r="AG1034" s="15"/>
      <c r="AH1034" s="15"/>
      <c r="AI1034" s="15"/>
      <c r="AJ1034" s="15"/>
      <c r="AK1034" s="15"/>
      <c r="AL1034" s="15"/>
      <c r="AM1034" s="15"/>
      <c r="AN1034" s="15"/>
      <c r="AO1034" s="15"/>
      <c r="AP1034" s="15"/>
      <c r="AQ1034" s="15"/>
      <c r="AR1034" s="15"/>
      <c r="AS1034" s="15"/>
      <c r="AT1034" s="15"/>
      <c r="AU1034" s="15"/>
      <c r="AV1034" s="15"/>
      <c r="AW1034" s="15"/>
      <c r="AX1034" s="15"/>
      <c r="AY1034" s="15"/>
      <c r="AZ1034" s="15"/>
      <c r="BA1034" s="15"/>
      <c r="BB1034" s="15"/>
      <c r="BC1034" s="15"/>
      <c r="BD1034" s="15"/>
      <c r="BE1034" s="15"/>
      <c r="BF1034" s="15"/>
      <c r="BG1034" s="15"/>
      <c r="BH1034" s="15"/>
      <c r="BI1034" s="15"/>
      <c r="BJ1034" s="15"/>
      <c r="BK1034" s="15"/>
      <c r="BL1034" s="15"/>
      <c r="BM1034" s="15"/>
      <c r="BN1034" s="92"/>
      <c r="BO1034" s="92"/>
      <c r="BP1034" s="92"/>
      <c r="BQ1034" s="92"/>
      <c r="BR1034" s="92"/>
      <c r="BS1034" s="92"/>
      <c r="BT1034" s="92"/>
      <c r="BU1034" s="92"/>
      <c r="BV1034" s="92"/>
      <c r="BW1034" s="92"/>
      <c r="BX1034" s="92"/>
      <c r="BY1034" s="92"/>
      <c r="BZ1034" s="92"/>
      <c r="CA1034" s="92"/>
      <c r="CB1034" s="92"/>
      <c r="CC1034" s="92"/>
      <c r="CD1034" s="92"/>
      <c r="CE1034" s="92"/>
      <c r="CF1034" s="92"/>
      <c r="CG1034" s="92"/>
      <c r="CH1034" s="92"/>
      <c r="CI1034" s="92"/>
      <c r="CJ1034" s="92"/>
      <c r="CK1034" s="92"/>
      <c r="CL1034" s="92"/>
      <c r="CM1034" s="92"/>
      <c r="CN1034" s="92"/>
      <c r="CO1034" s="92"/>
      <c r="CP1034" s="92"/>
      <c r="CQ1034" s="92"/>
      <c r="CR1034" s="92"/>
      <c r="CS1034" s="92"/>
      <c r="CT1034" s="92"/>
      <c r="CU1034" s="92"/>
      <c r="CV1034" s="92"/>
      <c r="CW1034" s="92"/>
      <c r="CX1034" s="85"/>
      <c r="CY1034" s="85"/>
      <c r="CZ1034" s="85"/>
      <c r="DA1034" s="85"/>
      <c r="DB1034" s="85"/>
      <c r="DC1034" s="85"/>
      <c r="DD1034" s="85"/>
      <c r="DE1034" s="85"/>
      <c r="DF1034" s="85"/>
      <c r="DG1034" s="85"/>
      <c r="DH1034" s="85"/>
      <c r="DI1034" s="85"/>
      <c r="DJ1034" s="85"/>
      <c r="DK1034" s="85"/>
      <c r="DL1034" s="85"/>
      <c r="DM1034" s="85"/>
      <c r="DN1034" s="85"/>
      <c r="DO1034" s="85"/>
      <c r="DP1034" s="85"/>
    </row>
    <row r="1035">
      <c r="A1035" s="91"/>
      <c r="B1035" s="91"/>
      <c r="C1035" s="91"/>
      <c r="D1035" s="91"/>
      <c r="E1035" s="78"/>
      <c r="F1035" s="15"/>
      <c r="G1035" s="15"/>
      <c r="H1035" s="91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  <c r="AA1035" s="15"/>
      <c r="AB1035" s="15"/>
      <c r="AC1035" s="15"/>
      <c r="AD1035" s="15"/>
      <c r="AE1035" s="15"/>
      <c r="AF1035" s="15"/>
      <c r="AG1035" s="15"/>
      <c r="AH1035" s="15"/>
      <c r="AI1035" s="15"/>
      <c r="AJ1035" s="15"/>
      <c r="AK1035" s="15"/>
      <c r="AL1035" s="15"/>
      <c r="AM1035" s="15"/>
      <c r="AN1035" s="15"/>
      <c r="AO1035" s="15"/>
      <c r="AP1035" s="15"/>
      <c r="AQ1035" s="15"/>
      <c r="AR1035" s="15"/>
      <c r="AS1035" s="15"/>
      <c r="AT1035" s="15"/>
      <c r="AU1035" s="15"/>
      <c r="AV1035" s="15"/>
      <c r="AW1035" s="15"/>
      <c r="AX1035" s="15"/>
      <c r="AY1035" s="15"/>
      <c r="AZ1035" s="15"/>
      <c r="BA1035" s="15"/>
      <c r="BB1035" s="15"/>
      <c r="BC1035" s="15"/>
      <c r="BD1035" s="15"/>
      <c r="BE1035" s="15"/>
      <c r="BF1035" s="15"/>
      <c r="BG1035" s="15"/>
      <c r="BH1035" s="15"/>
      <c r="BI1035" s="15"/>
      <c r="BJ1035" s="15"/>
      <c r="BK1035" s="15"/>
      <c r="BL1035" s="15"/>
      <c r="BM1035" s="15"/>
      <c r="BN1035" s="92"/>
      <c r="BO1035" s="92"/>
      <c r="BP1035" s="92"/>
      <c r="BQ1035" s="92"/>
      <c r="BR1035" s="92"/>
      <c r="BS1035" s="92"/>
      <c r="BT1035" s="92"/>
      <c r="BU1035" s="92"/>
      <c r="BV1035" s="92"/>
      <c r="BW1035" s="92"/>
      <c r="BX1035" s="92"/>
      <c r="BY1035" s="92"/>
      <c r="BZ1035" s="92"/>
      <c r="CA1035" s="92"/>
      <c r="CB1035" s="92"/>
      <c r="CC1035" s="92"/>
      <c r="CD1035" s="92"/>
      <c r="CE1035" s="92"/>
      <c r="CF1035" s="92"/>
      <c r="CG1035" s="92"/>
      <c r="CH1035" s="92"/>
      <c r="CI1035" s="92"/>
      <c r="CJ1035" s="92"/>
      <c r="CK1035" s="92"/>
      <c r="CL1035" s="92"/>
      <c r="CM1035" s="92"/>
      <c r="CN1035" s="92"/>
      <c r="CO1035" s="92"/>
      <c r="CP1035" s="92"/>
      <c r="CQ1035" s="92"/>
      <c r="CR1035" s="92"/>
      <c r="CS1035" s="92"/>
      <c r="CT1035" s="92"/>
      <c r="CU1035" s="92"/>
      <c r="CV1035" s="92"/>
      <c r="CW1035" s="92"/>
      <c r="CX1035" s="85"/>
      <c r="CY1035" s="85"/>
      <c r="CZ1035" s="85"/>
      <c r="DA1035" s="85"/>
      <c r="DB1035" s="85"/>
      <c r="DC1035" s="85"/>
      <c r="DD1035" s="85"/>
      <c r="DE1035" s="85"/>
      <c r="DF1035" s="85"/>
      <c r="DG1035" s="85"/>
      <c r="DH1035" s="85"/>
      <c r="DI1035" s="85"/>
      <c r="DJ1035" s="85"/>
      <c r="DK1035" s="85"/>
      <c r="DL1035" s="85"/>
      <c r="DM1035" s="85"/>
      <c r="DN1035" s="85"/>
      <c r="DO1035" s="85"/>
      <c r="DP1035" s="85"/>
    </row>
    <row r="1036">
      <c r="A1036" s="91"/>
      <c r="B1036" s="91"/>
      <c r="C1036" s="91"/>
      <c r="D1036" s="91"/>
      <c r="E1036" s="78"/>
      <c r="F1036" s="15"/>
      <c r="G1036" s="15"/>
      <c r="H1036" s="91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  <c r="AA1036" s="15"/>
      <c r="AB1036" s="15"/>
      <c r="AC1036" s="15"/>
      <c r="AD1036" s="15"/>
      <c r="AE1036" s="15"/>
      <c r="AF1036" s="15"/>
      <c r="AG1036" s="15"/>
      <c r="AH1036" s="15"/>
      <c r="AI1036" s="15"/>
      <c r="AJ1036" s="15"/>
      <c r="AK1036" s="15"/>
      <c r="AL1036" s="15"/>
      <c r="AM1036" s="15"/>
      <c r="AN1036" s="15"/>
      <c r="AO1036" s="15"/>
      <c r="AP1036" s="15"/>
      <c r="AQ1036" s="15"/>
      <c r="AR1036" s="15"/>
      <c r="AS1036" s="15"/>
      <c r="AT1036" s="15"/>
      <c r="AU1036" s="15"/>
      <c r="AV1036" s="15"/>
      <c r="AW1036" s="15"/>
      <c r="AX1036" s="15"/>
      <c r="AY1036" s="15"/>
      <c r="AZ1036" s="15"/>
      <c r="BA1036" s="15"/>
      <c r="BB1036" s="15"/>
      <c r="BC1036" s="15"/>
      <c r="BD1036" s="15"/>
      <c r="BE1036" s="15"/>
      <c r="BF1036" s="15"/>
      <c r="BG1036" s="15"/>
      <c r="BH1036" s="15"/>
      <c r="BI1036" s="15"/>
      <c r="BJ1036" s="15"/>
      <c r="BK1036" s="15"/>
      <c r="BL1036" s="15"/>
      <c r="BM1036" s="15"/>
      <c r="BN1036" s="92"/>
      <c r="BO1036" s="92"/>
      <c r="BP1036" s="92"/>
      <c r="BQ1036" s="92"/>
      <c r="BR1036" s="92"/>
      <c r="BS1036" s="92"/>
      <c r="BT1036" s="92"/>
      <c r="BU1036" s="92"/>
      <c r="BV1036" s="92"/>
      <c r="BW1036" s="92"/>
      <c r="BX1036" s="92"/>
      <c r="BY1036" s="92"/>
      <c r="BZ1036" s="92"/>
      <c r="CA1036" s="92"/>
      <c r="CB1036" s="92"/>
      <c r="CC1036" s="92"/>
      <c r="CD1036" s="92"/>
      <c r="CE1036" s="92"/>
      <c r="CF1036" s="92"/>
      <c r="CG1036" s="92"/>
      <c r="CH1036" s="92"/>
      <c r="CI1036" s="92"/>
      <c r="CJ1036" s="92"/>
      <c r="CK1036" s="92"/>
      <c r="CL1036" s="92"/>
      <c r="CM1036" s="92"/>
      <c r="CN1036" s="92"/>
      <c r="CO1036" s="92"/>
      <c r="CP1036" s="92"/>
      <c r="CQ1036" s="92"/>
      <c r="CR1036" s="92"/>
      <c r="CS1036" s="92"/>
      <c r="CT1036" s="92"/>
      <c r="CU1036" s="92"/>
      <c r="CV1036" s="92"/>
      <c r="CW1036" s="92"/>
      <c r="CX1036" s="85"/>
      <c r="CY1036" s="85"/>
      <c r="CZ1036" s="85"/>
      <c r="DA1036" s="85"/>
      <c r="DB1036" s="85"/>
      <c r="DC1036" s="85"/>
      <c r="DD1036" s="85"/>
      <c r="DE1036" s="85"/>
      <c r="DF1036" s="85"/>
      <c r="DG1036" s="85"/>
      <c r="DH1036" s="85"/>
      <c r="DI1036" s="85"/>
      <c r="DJ1036" s="85"/>
      <c r="DK1036" s="85"/>
      <c r="DL1036" s="85"/>
      <c r="DM1036" s="85"/>
      <c r="DN1036" s="85"/>
      <c r="DO1036" s="85"/>
      <c r="DP1036" s="85"/>
    </row>
    <row r="1037">
      <c r="A1037" s="91"/>
      <c r="B1037" s="91"/>
      <c r="C1037" s="91"/>
      <c r="D1037" s="91"/>
      <c r="E1037" s="78"/>
      <c r="F1037" s="15"/>
      <c r="G1037" s="15"/>
      <c r="H1037" s="91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  <c r="AA1037" s="15"/>
      <c r="AB1037" s="15"/>
      <c r="AC1037" s="15"/>
      <c r="AD1037" s="15"/>
      <c r="AE1037" s="15"/>
      <c r="AF1037" s="15"/>
      <c r="AG1037" s="15"/>
      <c r="AH1037" s="15"/>
      <c r="AI1037" s="15"/>
      <c r="AJ1037" s="15"/>
      <c r="AK1037" s="15"/>
      <c r="AL1037" s="15"/>
      <c r="AM1037" s="15"/>
      <c r="AN1037" s="15"/>
      <c r="AO1037" s="15"/>
      <c r="AP1037" s="15"/>
      <c r="AQ1037" s="15"/>
      <c r="AR1037" s="15"/>
      <c r="AS1037" s="15"/>
      <c r="AT1037" s="15"/>
      <c r="AU1037" s="15"/>
      <c r="AV1037" s="15"/>
      <c r="AW1037" s="15"/>
      <c r="AX1037" s="15"/>
      <c r="AY1037" s="15"/>
      <c r="AZ1037" s="15"/>
      <c r="BA1037" s="15"/>
      <c r="BB1037" s="15"/>
      <c r="BC1037" s="15"/>
      <c r="BD1037" s="15"/>
      <c r="BE1037" s="15"/>
      <c r="BF1037" s="15"/>
      <c r="BG1037" s="15"/>
      <c r="BH1037" s="15"/>
      <c r="BI1037" s="15"/>
      <c r="BJ1037" s="15"/>
      <c r="BK1037" s="15"/>
      <c r="BL1037" s="15"/>
      <c r="BM1037" s="15"/>
      <c r="BN1037" s="92"/>
      <c r="BO1037" s="92"/>
      <c r="BP1037" s="92"/>
      <c r="BQ1037" s="92"/>
      <c r="BR1037" s="92"/>
      <c r="BS1037" s="92"/>
      <c r="BT1037" s="92"/>
      <c r="BU1037" s="92"/>
      <c r="BV1037" s="92"/>
      <c r="BW1037" s="92"/>
      <c r="BX1037" s="92"/>
      <c r="BY1037" s="92"/>
      <c r="BZ1037" s="92"/>
      <c r="CA1037" s="92"/>
      <c r="CB1037" s="92"/>
      <c r="CC1037" s="92"/>
      <c r="CD1037" s="92"/>
      <c r="CE1037" s="92"/>
      <c r="CF1037" s="92"/>
      <c r="CG1037" s="92"/>
      <c r="CH1037" s="92"/>
      <c r="CI1037" s="92"/>
      <c r="CJ1037" s="92"/>
      <c r="CK1037" s="92"/>
      <c r="CL1037" s="92"/>
      <c r="CM1037" s="92"/>
      <c r="CN1037" s="92"/>
      <c r="CO1037" s="92"/>
      <c r="CP1037" s="92"/>
      <c r="CQ1037" s="92"/>
      <c r="CR1037" s="92"/>
      <c r="CS1037" s="92"/>
      <c r="CT1037" s="92"/>
      <c r="CU1037" s="92"/>
      <c r="CV1037" s="92"/>
      <c r="CW1037" s="92"/>
      <c r="CX1037" s="85"/>
      <c r="CY1037" s="85"/>
      <c r="CZ1037" s="85"/>
      <c r="DA1037" s="85"/>
      <c r="DB1037" s="85"/>
      <c r="DC1037" s="85"/>
      <c r="DD1037" s="85"/>
      <c r="DE1037" s="85"/>
      <c r="DF1037" s="85"/>
      <c r="DG1037" s="85"/>
      <c r="DH1037" s="85"/>
      <c r="DI1037" s="85"/>
      <c r="DJ1037" s="85"/>
      <c r="DK1037" s="85"/>
      <c r="DL1037" s="85"/>
      <c r="DM1037" s="85"/>
      <c r="DN1037" s="85"/>
      <c r="DO1037" s="85"/>
      <c r="DP1037" s="85"/>
    </row>
    <row r="1038">
      <c r="A1038" s="91"/>
      <c r="B1038" s="91"/>
      <c r="C1038" s="91"/>
      <c r="D1038" s="91"/>
      <c r="E1038" s="78"/>
      <c r="F1038" s="15"/>
      <c r="G1038" s="15"/>
      <c r="H1038" s="91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  <c r="AA1038" s="15"/>
      <c r="AB1038" s="15"/>
      <c r="AC1038" s="15"/>
      <c r="AD1038" s="15"/>
      <c r="AE1038" s="15"/>
      <c r="AF1038" s="15"/>
      <c r="AG1038" s="15"/>
      <c r="AH1038" s="15"/>
      <c r="AI1038" s="15"/>
      <c r="AJ1038" s="15"/>
      <c r="AK1038" s="15"/>
      <c r="AL1038" s="15"/>
      <c r="AM1038" s="15"/>
      <c r="AN1038" s="15"/>
      <c r="AO1038" s="15"/>
      <c r="AP1038" s="15"/>
      <c r="AQ1038" s="15"/>
      <c r="AR1038" s="15"/>
      <c r="AS1038" s="15"/>
      <c r="AT1038" s="15"/>
      <c r="AU1038" s="15"/>
      <c r="AV1038" s="15"/>
      <c r="AW1038" s="15"/>
      <c r="AX1038" s="15"/>
      <c r="AY1038" s="15"/>
      <c r="AZ1038" s="15"/>
      <c r="BA1038" s="15"/>
      <c r="BB1038" s="15"/>
      <c r="BC1038" s="15"/>
      <c r="BD1038" s="15"/>
      <c r="BE1038" s="15"/>
      <c r="BF1038" s="15"/>
      <c r="BG1038" s="15"/>
      <c r="BH1038" s="15"/>
      <c r="BI1038" s="15"/>
      <c r="BJ1038" s="15"/>
      <c r="BK1038" s="15"/>
      <c r="BL1038" s="15"/>
      <c r="BM1038" s="15"/>
      <c r="BN1038" s="92"/>
      <c r="BO1038" s="92"/>
      <c r="BP1038" s="92"/>
      <c r="BQ1038" s="92"/>
      <c r="BR1038" s="92"/>
      <c r="BS1038" s="92"/>
      <c r="BT1038" s="92"/>
      <c r="BU1038" s="92"/>
      <c r="BV1038" s="92"/>
      <c r="BW1038" s="92"/>
      <c r="BX1038" s="92"/>
      <c r="BY1038" s="92"/>
      <c r="BZ1038" s="92"/>
      <c r="CA1038" s="92"/>
      <c r="CB1038" s="92"/>
      <c r="CC1038" s="92"/>
      <c r="CD1038" s="92"/>
      <c r="CE1038" s="92"/>
      <c r="CF1038" s="92"/>
      <c r="CG1038" s="92"/>
      <c r="CH1038" s="92"/>
      <c r="CI1038" s="92"/>
      <c r="CJ1038" s="92"/>
      <c r="CK1038" s="92"/>
      <c r="CL1038" s="92"/>
      <c r="CM1038" s="92"/>
      <c r="CN1038" s="92"/>
      <c r="CO1038" s="92"/>
      <c r="CP1038" s="92"/>
      <c r="CQ1038" s="92"/>
      <c r="CR1038" s="92"/>
      <c r="CS1038" s="92"/>
      <c r="CT1038" s="92"/>
      <c r="CU1038" s="92"/>
      <c r="CV1038" s="92"/>
      <c r="CW1038" s="92"/>
      <c r="CX1038" s="85"/>
      <c r="CY1038" s="85"/>
      <c r="CZ1038" s="85"/>
      <c r="DA1038" s="85"/>
      <c r="DB1038" s="85"/>
      <c r="DC1038" s="85"/>
      <c r="DD1038" s="85"/>
      <c r="DE1038" s="85"/>
      <c r="DF1038" s="85"/>
      <c r="DG1038" s="85"/>
      <c r="DH1038" s="85"/>
      <c r="DI1038" s="85"/>
      <c r="DJ1038" s="85"/>
      <c r="DK1038" s="85"/>
      <c r="DL1038" s="85"/>
      <c r="DM1038" s="85"/>
      <c r="DN1038" s="85"/>
      <c r="DO1038" s="85"/>
      <c r="DP1038" s="85"/>
    </row>
    <row r="1039">
      <c r="A1039" s="91"/>
      <c r="B1039" s="91"/>
      <c r="C1039" s="91"/>
      <c r="D1039" s="91"/>
      <c r="E1039" s="78"/>
      <c r="F1039" s="15"/>
      <c r="G1039" s="15"/>
      <c r="H1039" s="91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  <c r="AA1039" s="15"/>
      <c r="AB1039" s="15"/>
      <c r="AC1039" s="15"/>
      <c r="AD1039" s="15"/>
      <c r="AE1039" s="15"/>
      <c r="AF1039" s="15"/>
      <c r="AG1039" s="15"/>
      <c r="AH1039" s="15"/>
      <c r="AI1039" s="15"/>
      <c r="AJ1039" s="15"/>
      <c r="AK1039" s="15"/>
      <c r="AL1039" s="15"/>
      <c r="AM1039" s="15"/>
      <c r="AN1039" s="15"/>
      <c r="AO1039" s="15"/>
      <c r="AP1039" s="15"/>
      <c r="AQ1039" s="15"/>
      <c r="AR1039" s="15"/>
      <c r="AS1039" s="15"/>
      <c r="AT1039" s="15"/>
      <c r="AU1039" s="15"/>
      <c r="AV1039" s="15"/>
      <c r="AW1039" s="15"/>
      <c r="AX1039" s="15"/>
      <c r="AY1039" s="15"/>
      <c r="AZ1039" s="15"/>
      <c r="BA1039" s="15"/>
      <c r="BB1039" s="15"/>
      <c r="BC1039" s="15"/>
      <c r="BD1039" s="15"/>
      <c r="BE1039" s="15"/>
      <c r="BF1039" s="15"/>
      <c r="BG1039" s="15"/>
      <c r="BH1039" s="15"/>
      <c r="BI1039" s="15"/>
      <c r="BJ1039" s="15"/>
      <c r="BK1039" s="15"/>
      <c r="BL1039" s="15"/>
      <c r="BM1039" s="15"/>
      <c r="BN1039" s="92"/>
      <c r="BO1039" s="92"/>
      <c r="BP1039" s="92"/>
      <c r="BQ1039" s="92"/>
      <c r="BR1039" s="92"/>
      <c r="BS1039" s="92"/>
      <c r="BT1039" s="92"/>
      <c r="BU1039" s="92"/>
      <c r="BV1039" s="92"/>
      <c r="BW1039" s="92"/>
      <c r="BX1039" s="92"/>
      <c r="BY1039" s="92"/>
      <c r="BZ1039" s="92"/>
      <c r="CA1039" s="92"/>
      <c r="CB1039" s="92"/>
      <c r="CC1039" s="92"/>
      <c r="CD1039" s="92"/>
      <c r="CE1039" s="92"/>
      <c r="CF1039" s="92"/>
      <c r="CG1039" s="92"/>
      <c r="CH1039" s="92"/>
      <c r="CI1039" s="92"/>
      <c r="CJ1039" s="92"/>
      <c r="CK1039" s="92"/>
      <c r="CL1039" s="92"/>
      <c r="CM1039" s="92"/>
      <c r="CN1039" s="92"/>
      <c r="CO1039" s="92"/>
      <c r="CP1039" s="92"/>
      <c r="CQ1039" s="92"/>
      <c r="CR1039" s="92"/>
      <c r="CS1039" s="92"/>
      <c r="CT1039" s="92"/>
      <c r="CU1039" s="92"/>
      <c r="CV1039" s="92"/>
      <c r="CW1039" s="92"/>
      <c r="CX1039" s="85"/>
      <c r="CY1039" s="85"/>
      <c r="CZ1039" s="85"/>
      <c r="DA1039" s="85"/>
      <c r="DB1039" s="85"/>
      <c r="DC1039" s="85"/>
      <c r="DD1039" s="85"/>
      <c r="DE1039" s="85"/>
      <c r="DF1039" s="85"/>
      <c r="DG1039" s="85"/>
      <c r="DH1039" s="85"/>
      <c r="DI1039" s="85"/>
      <c r="DJ1039" s="85"/>
      <c r="DK1039" s="85"/>
      <c r="DL1039" s="85"/>
      <c r="DM1039" s="85"/>
      <c r="DN1039" s="85"/>
      <c r="DO1039" s="85"/>
      <c r="DP1039" s="85"/>
    </row>
    <row r="1040">
      <c r="A1040" s="91"/>
      <c r="B1040" s="91"/>
      <c r="C1040" s="91"/>
      <c r="D1040" s="91"/>
      <c r="E1040" s="78"/>
      <c r="F1040" s="15"/>
      <c r="G1040" s="15"/>
      <c r="H1040" s="91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  <c r="AA1040" s="15"/>
      <c r="AB1040" s="15"/>
      <c r="AC1040" s="15"/>
      <c r="AD1040" s="15"/>
      <c r="AE1040" s="15"/>
      <c r="AF1040" s="15"/>
      <c r="AG1040" s="15"/>
      <c r="AH1040" s="15"/>
      <c r="AI1040" s="15"/>
      <c r="AJ1040" s="15"/>
      <c r="AK1040" s="15"/>
      <c r="AL1040" s="15"/>
      <c r="AM1040" s="15"/>
      <c r="AN1040" s="15"/>
      <c r="AO1040" s="15"/>
      <c r="AP1040" s="15"/>
      <c r="AQ1040" s="15"/>
      <c r="AR1040" s="15"/>
      <c r="AS1040" s="15"/>
      <c r="AT1040" s="15"/>
      <c r="AU1040" s="15"/>
      <c r="AV1040" s="15"/>
      <c r="AW1040" s="15"/>
      <c r="AX1040" s="15"/>
      <c r="AY1040" s="15"/>
      <c r="AZ1040" s="15"/>
      <c r="BA1040" s="15"/>
      <c r="BB1040" s="15"/>
      <c r="BC1040" s="15"/>
      <c r="BD1040" s="15"/>
      <c r="BE1040" s="15"/>
      <c r="BF1040" s="15"/>
      <c r="BG1040" s="15"/>
      <c r="BH1040" s="15"/>
      <c r="BI1040" s="15"/>
      <c r="BJ1040" s="15"/>
      <c r="BK1040" s="15"/>
      <c r="BL1040" s="15"/>
      <c r="BM1040" s="15"/>
      <c r="BN1040" s="92"/>
      <c r="BO1040" s="92"/>
      <c r="BP1040" s="92"/>
      <c r="BQ1040" s="92"/>
      <c r="BR1040" s="92"/>
      <c r="BS1040" s="92"/>
      <c r="BT1040" s="92"/>
      <c r="BU1040" s="92"/>
      <c r="BV1040" s="92"/>
      <c r="BW1040" s="92"/>
      <c r="BX1040" s="92"/>
      <c r="BY1040" s="92"/>
      <c r="BZ1040" s="92"/>
      <c r="CA1040" s="92"/>
      <c r="CB1040" s="92"/>
      <c r="CC1040" s="92"/>
      <c r="CD1040" s="92"/>
      <c r="CE1040" s="92"/>
      <c r="CF1040" s="92"/>
      <c r="CG1040" s="92"/>
      <c r="CH1040" s="92"/>
      <c r="CI1040" s="92"/>
      <c r="CJ1040" s="92"/>
      <c r="CK1040" s="92"/>
      <c r="CL1040" s="92"/>
      <c r="CM1040" s="92"/>
      <c r="CN1040" s="92"/>
      <c r="CO1040" s="92"/>
      <c r="CP1040" s="92"/>
      <c r="CQ1040" s="92"/>
      <c r="CR1040" s="92"/>
      <c r="CS1040" s="92"/>
      <c r="CT1040" s="92"/>
      <c r="CU1040" s="92"/>
      <c r="CV1040" s="92"/>
      <c r="CW1040" s="92"/>
      <c r="CX1040" s="85"/>
      <c r="CY1040" s="85"/>
      <c r="CZ1040" s="85"/>
      <c r="DA1040" s="85"/>
      <c r="DB1040" s="85"/>
      <c r="DC1040" s="85"/>
      <c r="DD1040" s="85"/>
      <c r="DE1040" s="85"/>
      <c r="DF1040" s="85"/>
      <c r="DG1040" s="85"/>
      <c r="DH1040" s="85"/>
      <c r="DI1040" s="85"/>
      <c r="DJ1040" s="85"/>
      <c r="DK1040" s="85"/>
      <c r="DL1040" s="85"/>
      <c r="DM1040" s="85"/>
      <c r="DN1040" s="85"/>
      <c r="DO1040" s="85"/>
      <c r="DP1040" s="85"/>
    </row>
    <row r="1041">
      <c r="A1041" s="91"/>
      <c r="B1041" s="91"/>
      <c r="C1041" s="91"/>
      <c r="D1041" s="91"/>
      <c r="E1041" s="78"/>
      <c r="F1041" s="15"/>
      <c r="G1041" s="15"/>
      <c r="H1041" s="91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  <c r="AA1041" s="15"/>
      <c r="AB1041" s="15"/>
      <c r="AC1041" s="15"/>
      <c r="AD1041" s="15"/>
      <c r="AE1041" s="15"/>
      <c r="AF1041" s="15"/>
      <c r="AG1041" s="15"/>
      <c r="AH1041" s="15"/>
      <c r="AI1041" s="15"/>
      <c r="AJ1041" s="15"/>
      <c r="AK1041" s="15"/>
      <c r="AL1041" s="15"/>
      <c r="AM1041" s="15"/>
      <c r="AN1041" s="15"/>
      <c r="AO1041" s="15"/>
      <c r="AP1041" s="15"/>
      <c r="AQ1041" s="15"/>
      <c r="AR1041" s="15"/>
      <c r="AS1041" s="15"/>
      <c r="AT1041" s="15"/>
      <c r="AU1041" s="15"/>
      <c r="AV1041" s="15"/>
      <c r="AW1041" s="15"/>
      <c r="AX1041" s="15"/>
      <c r="AY1041" s="15"/>
      <c r="AZ1041" s="15"/>
      <c r="BA1041" s="15"/>
      <c r="BB1041" s="15"/>
      <c r="BC1041" s="15"/>
      <c r="BD1041" s="15"/>
      <c r="BE1041" s="15"/>
      <c r="BF1041" s="15"/>
      <c r="BG1041" s="15"/>
      <c r="BH1041" s="15"/>
      <c r="BI1041" s="15"/>
      <c r="BJ1041" s="15"/>
      <c r="BK1041" s="15"/>
      <c r="BL1041" s="15"/>
      <c r="BM1041" s="15"/>
      <c r="BN1041" s="92"/>
      <c r="BO1041" s="92"/>
      <c r="BP1041" s="92"/>
      <c r="BQ1041" s="92"/>
      <c r="BR1041" s="92"/>
      <c r="BS1041" s="92"/>
      <c r="BT1041" s="92"/>
      <c r="BU1041" s="92"/>
      <c r="BV1041" s="92"/>
      <c r="BW1041" s="92"/>
      <c r="BX1041" s="92"/>
      <c r="BY1041" s="92"/>
      <c r="BZ1041" s="92"/>
      <c r="CA1041" s="92"/>
      <c r="CB1041" s="92"/>
      <c r="CC1041" s="92"/>
      <c r="CD1041" s="92"/>
      <c r="CE1041" s="92"/>
      <c r="CF1041" s="92"/>
      <c r="CG1041" s="92"/>
      <c r="CH1041" s="92"/>
      <c r="CI1041" s="92"/>
      <c r="CJ1041" s="92"/>
      <c r="CK1041" s="92"/>
      <c r="CL1041" s="92"/>
      <c r="CM1041" s="92"/>
      <c r="CN1041" s="92"/>
      <c r="CO1041" s="92"/>
      <c r="CP1041" s="92"/>
      <c r="CQ1041" s="92"/>
      <c r="CR1041" s="92"/>
      <c r="CS1041" s="92"/>
      <c r="CT1041" s="92"/>
      <c r="CU1041" s="92"/>
      <c r="CV1041" s="92"/>
      <c r="CW1041" s="92"/>
      <c r="CX1041" s="85"/>
      <c r="CY1041" s="85"/>
      <c r="CZ1041" s="85"/>
      <c r="DA1041" s="85"/>
      <c r="DB1041" s="85"/>
      <c r="DC1041" s="85"/>
      <c r="DD1041" s="85"/>
      <c r="DE1041" s="85"/>
      <c r="DF1041" s="85"/>
      <c r="DG1041" s="85"/>
      <c r="DH1041" s="85"/>
      <c r="DI1041" s="85"/>
      <c r="DJ1041" s="85"/>
      <c r="DK1041" s="85"/>
      <c r="DL1041" s="85"/>
      <c r="DM1041" s="85"/>
      <c r="DN1041" s="85"/>
      <c r="DO1041" s="85"/>
      <c r="DP1041" s="85"/>
    </row>
    <row r="1042">
      <c r="A1042" s="91"/>
      <c r="B1042" s="91"/>
      <c r="C1042" s="91"/>
      <c r="D1042" s="91"/>
      <c r="E1042" s="78"/>
      <c r="F1042" s="15"/>
      <c r="G1042" s="15"/>
      <c r="H1042" s="91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  <c r="AA1042" s="15"/>
      <c r="AB1042" s="15"/>
      <c r="AC1042" s="15"/>
      <c r="AD1042" s="15"/>
      <c r="AE1042" s="15"/>
      <c r="AF1042" s="15"/>
      <c r="AG1042" s="15"/>
      <c r="AH1042" s="15"/>
      <c r="AI1042" s="15"/>
      <c r="AJ1042" s="15"/>
      <c r="AK1042" s="15"/>
      <c r="AL1042" s="15"/>
      <c r="AM1042" s="15"/>
      <c r="AN1042" s="15"/>
      <c r="AO1042" s="15"/>
      <c r="AP1042" s="15"/>
      <c r="AQ1042" s="15"/>
      <c r="AR1042" s="15"/>
      <c r="AS1042" s="15"/>
      <c r="AT1042" s="15"/>
      <c r="AU1042" s="15"/>
      <c r="AV1042" s="15"/>
      <c r="AW1042" s="15"/>
      <c r="AX1042" s="15"/>
      <c r="AY1042" s="15"/>
      <c r="AZ1042" s="15"/>
      <c r="BA1042" s="15"/>
      <c r="BB1042" s="15"/>
      <c r="BC1042" s="15"/>
      <c r="BD1042" s="15"/>
      <c r="BE1042" s="15"/>
      <c r="BF1042" s="15"/>
      <c r="BG1042" s="15"/>
      <c r="BH1042" s="15"/>
      <c r="BI1042" s="15"/>
      <c r="BJ1042" s="15"/>
      <c r="BK1042" s="15"/>
      <c r="BL1042" s="15"/>
      <c r="BM1042" s="15"/>
      <c r="BN1042" s="92"/>
      <c r="BO1042" s="92"/>
      <c r="BP1042" s="92"/>
      <c r="BQ1042" s="92"/>
      <c r="BR1042" s="92"/>
      <c r="BS1042" s="92"/>
      <c r="BT1042" s="92"/>
      <c r="BU1042" s="92"/>
      <c r="BV1042" s="92"/>
      <c r="BW1042" s="92"/>
      <c r="BX1042" s="92"/>
      <c r="BY1042" s="92"/>
      <c r="BZ1042" s="92"/>
      <c r="CA1042" s="92"/>
      <c r="CB1042" s="92"/>
      <c r="CC1042" s="92"/>
      <c r="CD1042" s="92"/>
      <c r="CE1042" s="92"/>
      <c r="CF1042" s="92"/>
      <c r="CG1042" s="92"/>
      <c r="CH1042" s="92"/>
      <c r="CI1042" s="92"/>
      <c r="CJ1042" s="92"/>
      <c r="CK1042" s="92"/>
      <c r="CL1042" s="92"/>
      <c r="CM1042" s="92"/>
      <c r="CN1042" s="92"/>
      <c r="CO1042" s="92"/>
      <c r="CP1042" s="92"/>
      <c r="CQ1042" s="92"/>
      <c r="CR1042" s="92"/>
      <c r="CS1042" s="92"/>
      <c r="CT1042" s="92"/>
      <c r="CU1042" s="92"/>
      <c r="CV1042" s="92"/>
      <c r="CW1042" s="92"/>
      <c r="CX1042" s="85"/>
      <c r="CY1042" s="85"/>
      <c r="CZ1042" s="85"/>
      <c r="DA1042" s="85"/>
      <c r="DB1042" s="85"/>
      <c r="DC1042" s="85"/>
      <c r="DD1042" s="85"/>
      <c r="DE1042" s="85"/>
      <c r="DF1042" s="85"/>
      <c r="DG1042" s="85"/>
      <c r="DH1042" s="85"/>
      <c r="DI1042" s="85"/>
      <c r="DJ1042" s="85"/>
      <c r="DK1042" s="85"/>
      <c r="DL1042" s="85"/>
      <c r="DM1042" s="85"/>
      <c r="DN1042" s="85"/>
      <c r="DO1042" s="85"/>
      <c r="DP1042" s="85"/>
    </row>
    <row r="1043">
      <c r="A1043" s="91"/>
      <c r="B1043" s="91"/>
      <c r="C1043" s="91"/>
      <c r="D1043" s="91"/>
      <c r="E1043" s="78"/>
      <c r="F1043" s="15"/>
      <c r="G1043" s="15"/>
      <c r="H1043" s="91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  <c r="AA1043" s="15"/>
      <c r="AB1043" s="15"/>
      <c r="AC1043" s="15"/>
      <c r="AD1043" s="15"/>
      <c r="AE1043" s="15"/>
      <c r="AF1043" s="15"/>
      <c r="AG1043" s="15"/>
      <c r="AH1043" s="15"/>
      <c r="AI1043" s="15"/>
      <c r="AJ1043" s="15"/>
      <c r="AK1043" s="15"/>
      <c r="AL1043" s="15"/>
      <c r="AM1043" s="15"/>
      <c r="AN1043" s="15"/>
      <c r="AO1043" s="15"/>
      <c r="AP1043" s="15"/>
      <c r="AQ1043" s="15"/>
      <c r="AR1043" s="15"/>
      <c r="AS1043" s="15"/>
      <c r="AT1043" s="15"/>
      <c r="AU1043" s="15"/>
      <c r="AV1043" s="15"/>
      <c r="AW1043" s="15"/>
      <c r="AX1043" s="15"/>
      <c r="AY1043" s="15"/>
      <c r="AZ1043" s="15"/>
      <c r="BA1043" s="15"/>
      <c r="BB1043" s="15"/>
      <c r="BC1043" s="15"/>
      <c r="BD1043" s="15"/>
      <c r="BE1043" s="15"/>
      <c r="BF1043" s="15"/>
      <c r="BG1043" s="15"/>
      <c r="BH1043" s="15"/>
      <c r="BI1043" s="15"/>
      <c r="BJ1043" s="15"/>
      <c r="BK1043" s="15"/>
      <c r="BL1043" s="15"/>
      <c r="BM1043" s="15"/>
      <c r="BN1043" s="92"/>
      <c r="BO1043" s="92"/>
      <c r="BP1043" s="92"/>
      <c r="BQ1043" s="92"/>
      <c r="BR1043" s="92"/>
      <c r="BS1043" s="92"/>
      <c r="BT1043" s="92"/>
      <c r="BU1043" s="92"/>
      <c r="BV1043" s="92"/>
      <c r="BW1043" s="92"/>
      <c r="BX1043" s="92"/>
      <c r="BY1043" s="92"/>
      <c r="BZ1043" s="92"/>
      <c r="CA1043" s="92"/>
      <c r="CB1043" s="92"/>
      <c r="CC1043" s="92"/>
      <c r="CD1043" s="92"/>
      <c r="CE1043" s="92"/>
      <c r="CF1043" s="92"/>
      <c r="CG1043" s="92"/>
      <c r="CH1043" s="92"/>
      <c r="CI1043" s="92"/>
      <c r="CJ1043" s="92"/>
      <c r="CK1043" s="92"/>
      <c r="CL1043" s="92"/>
      <c r="CM1043" s="92"/>
      <c r="CN1043" s="92"/>
      <c r="CO1043" s="92"/>
      <c r="CP1043" s="92"/>
      <c r="CQ1043" s="92"/>
      <c r="CR1043" s="92"/>
      <c r="CS1043" s="92"/>
      <c r="CT1043" s="92"/>
      <c r="CU1043" s="92"/>
      <c r="CV1043" s="92"/>
      <c r="CW1043" s="92"/>
      <c r="CX1043" s="85"/>
      <c r="CY1043" s="85"/>
      <c r="CZ1043" s="85"/>
      <c r="DA1043" s="85"/>
      <c r="DB1043" s="85"/>
      <c r="DC1043" s="85"/>
      <c r="DD1043" s="85"/>
      <c r="DE1043" s="85"/>
      <c r="DF1043" s="85"/>
      <c r="DG1043" s="85"/>
      <c r="DH1043" s="85"/>
      <c r="DI1043" s="85"/>
      <c r="DJ1043" s="85"/>
      <c r="DK1043" s="85"/>
      <c r="DL1043" s="85"/>
      <c r="DM1043" s="85"/>
      <c r="DN1043" s="85"/>
      <c r="DO1043" s="85"/>
      <c r="DP1043" s="85"/>
    </row>
    <row r="1044">
      <c r="A1044" s="91"/>
      <c r="B1044" s="91"/>
      <c r="C1044" s="91"/>
      <c r="D1044" s="91"/>
      <c r="E1044" s="78"/>
      <c r="F1044" s="15"/>
      <c r="G1044" s="15"/>
      <c r="H1044" s="91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  <c r="AA1044" s="15"/>
      <c r="AB1044" s="15"/>
      <c r="AC1044" s="15"/>
      <c r="AD1044" s="15"/>
      <c r="AE1044" s="15"/>
      <c r="AF1044" s="15"/>
      <c r="AG1044" s="15"/>
      <c r="AH1044" s="15"/>
      <c r="AI1044" s="15"/>
      <c r="AJ1044" s="15"/>
      <c r="AK1044" s="15"/>
      <c r="AL1044" s="15"/>
      <c r="AM1044" s="15"/>
      <c r="AN1044" s="15"/>
      <c r="AO1044" s="15"/>
      <c r="AP1044" s="15"/>
      <c r="AQ1044" s="15"/>
      <c r="AR1044" s="15"/>
      <c r="AS1044" s="15"/>
      <c r="AT1044" s="15"/>
      <c r="AU1044" s="15"/>
      <c r="AV1044" s="15"/>
      <c r="AW1044" s="15"/>
      <c r="AX1044" s="15"/>
      <c r="AY1044" s="15"/>
      <c r="AZ1044" s="15"/>
      <c r="BA1044" s="15"/>
      <c r="BB1044" s="15"/>
      <c r="BC1044" s="15"/>
      <c r="BD1044" s="15"/>
      <c r="BE1044" s="15"/>
      <c r="BF1044" s="15"/>
      <c r="BG1044" s="15"/>
      <c r="BH1044" s="15"/>
      <c r="BI1044" s="15"/>
      <c r="BJ1044" s="15"/>
      <c r="BK1044" s="15"/>
      <c r="BL1044" s="15"/>
      <c r="BM1044" s="15"/>
      <c r="BN1044" s="92"/>
      <c r="BO1044" s="92"/>
      <c r="BP1044" s="92"/>
      <c r="BQ1044" s="92"/>
      <c r="BR1044" s="92"/>
      <c r="BS1044" s="92"/>
      <c r="BT1044" s="92"/>
      <c r="BU1044" s="92"/>
      <c r="BV1044" s="92"/>
      <c r="BW1044" s="92"/>
      <c r="BX1044" s="92"/>
      <c r="BY1044" s="92"/>
      <c r="BZ1044" s="92"/>
      <c r="CA1044" s="92"/>
      <c r="CB1044" s="92"/>
      <c r="CC1044" s="92"/>
      <c r="CD1044" s="92"/>
      <c r="CE1044" s="92"/>
      <c r="CF1044" s="92"/>
      <c r="CG1044" s="92"/>
      <c r="CH1044" s="92"/>
      <c r="CI1044" s="92"/>
      <c r="CJ1044" s="92"/>
      <c r="CK1044" s="92"/>
      <c r="CL1044" s="92"/>
      <c r="CM1044" s="92"/>
      <c r="CN1044" s="92"/>
      <c r="CO1044" s="92"/>
      <c r="CP1044" s="92"/>
      <c r="CQ1044" s="92"/>
      <c r="CR1044" s="92"/>
      <c r="CS1044" s="92"/>
      <c r="CT1044" s="92"/>
      <c r="CU1044" s="92"/>
      <c r="CV1044" s="92"/>
      <c r="CW1044" s="92"/>
      <c r="CX1044" s="85"/>
      <c r="CY1044" s="85"/>
      <c r="CZ1044" s="85"/>
      <c r="DA1044" s="85"/>
      <c r="DB1044" s="85"/>
      <c r="DC1044" s="85"/>
      <c r="DD1044" s="85"/>
      <c r="DE1044" s="85"/>
      <c r="DF1044" s="85"/>
      <c r="DG1044" s="85"/>
      <c r="DH1044" s="85"/>
      <c r="DI1044" s="85"/>
      <c r="DJ1044" s="85"/>
      <c r="DK1044" s="85"/>
      <c r="DL1044" s="85"/>
      <c r="DM1044" s="85"/>
      <c r="DN1044" s="85"/>
      <c r="DO1044" s="85"/>
      <c r="DP1044" s="85"/>
    </row>
    <row r="1045">
      <c r="A1045" s="91"/>
      <c r="B1045" s="91"/>
      <c r="C1045" s="91"/>
      <c r="D1045" s="91"/>
      <c r="E1045" s="78"/>
      <c r="F1045" s="15"/>
      <c r="G1045" s="15"/>
      <c r="H1045" s="91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  <c r="AA1045" s="15"/>
      <c r="AB1045" s="15"/>
      <c r="AC1045" s="15"/>
      <c r="AD1045" s="15"/>
      <c r="AE1045" s="15"/>
      <c r="AF1045" s="15"/>
      <c r="AG1045" s="15"/>
      <c r="AH1045" s="15"/>
      <c r="AI1045" s="15"/>
      <c r="AJ1045" s="15"/>
      <c r="AK1045" s="15"/>
      <c r="AL1045" s="15"/>
      <c r="AM1045" s="15"/>
      <c r="AN1045" s="15"/>
      <c r="AO1045" s="15"/>
      <c r="AP1045" s="15"/>
      <c r="AQ1045" s="15"/>
      <c r="AR1045" s="15"/>
      <c r="AS1045" s="15"/>
      <c r="AT1045" s="15"/>
      <c r="AU1045" s="15"/>
      <c r="AV1045" s="15"/>
      <c r="AW1045" s="15"/>
      <c r="AX1045" s="15"/>
      <c r="AY1045" s="15"/>
      <c r="AZ1045" s="15"/>
      <c r="BA1045" s="15"/>
      <c r="BB1045" s="15"/>
      <c r="BC1045" s="15"/>
      <c r="BD1045" s="15"/>
      <c r="BE1045" s="15"/>
      <c r="BF1045" s="15"/>
      <c r="BG1045" s="15"/>
      <c r="BH1045" s="15"/>
      <c r="BI1045" s="15"/>
      <c r="BJ1045" s="15"/>
      <c r="BK1045" s="15"/>
      <c r="BL1045" s="15"/>
      <c r="BM1045" s="15"/>
      <c r="BN1045" s="92"/>
      <c r="BO1045" s="92"/>
      <c r="BP1045" s="92"/>
      <c r="BQ1045" s="92"/>
      <c r="BR1045" s="92"/>
      <c r="BS1045" s="92"/>
      <c r="BT1045" s="92"/>
      <c r="BU1045" s="92"/>
      <c r="BV1045" s="92"/>
      <c r="BW1045" s="92"/>
      <c r="BX1045" s="92"/>
      <c r="BY1045" s="92"/>
      <c r="BZ1045" s="92"/>
      <c r="CA1045" s="92"/>
      <c r="CB1045" s="92"/>
      <c r="CC1045" s="92"/>
      <c r="CD1045" s="92"/>
      <c r="CE1045" s="92"/>
      <c r="CF1045" s="92"/>
      <c r="CG1045" s="92"/>
      <c r="CH1045" s="92"/>
      <c r="CI1045" s="92"/>
      <c r="CJ1045" s="92"/>
      <c r="CK1045" s="92"/>
      <c r="CL1045" s="92"/>
      <c r="CM1045" s="92"/>
      <c r="CN1045" s="92"/>
      <c r="CO1045" s="92"/>
      <c r="CP1045" s="92"/>
      <c r="CQ1045" s="92"/>
      <c r="CR1045" s="92"/>
      <c r="CS1045" s="92"/>
      <c r="CT1045" s="92"/>
      <c r="CU1045" s="92"/>
      <c r="CV1045" s="92"/>
      <c r="CW1045" s="92"/>
      <c r="CX1045" s="85"/>
      <c r="CY1045" s="85"/>
      <c r="CZ1045" s="85"/>
      <c r="DA1045" s="85"/>
      <c r="DB1045" s="85"/>
      <c r="DC1045" s="85"/>
      <c r="DD1045" s="85"/>
      <c r="DE1045" s="85"/>
      <c r="DF1045" s="85"/>
      <c r="DG1045" s="85"/>
      <c r="DH1045" s="85"/>
      <c r="DI1045" s="85"/>
      <c r="DJ1045" s="85"/>
      <c r="DK1045" s="85"/>
      <c r="DL1045" s="85"/>
      <c r="DM1045" s="85"/>
      <c r="DN1045" s="85"/>
      <c r="DO1045" s="85"/>
      <c r="DP1045" s="85"/>
    </row>
    <row r="1046">
      <c r="A1046" s="91"/>
      <c r="B1046" s="91"/>
      <c r="C1046" s="91"/>
      <c r="D1046" s="91"/>
      <c r="E1046" s="78"/>
      <c r="F1046" s="15"/>
      <c r="G1046" s="15"/>
      <c r="H1046" s="91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  <c r="AA1046" s="15"/>
      <c r="AB1046" s="15"/>
      <c r="AC1046" s="15"/>
      <c r="AD1046" s="15"/>
      <c r="AE1046" s="15"/>
      <c r="AF1046" s="15"/>
      <c r="AG1046" s="15"/>
      <c r="AH1046" s="15"/>
      <c r="AI1046" s="15"/>
      <c r="AJ1046" s="15"/>
      <c r="AK1046" s="15"/>
      <c r="AL1046" s="15"/>
      <c r="AM1046" s="15"/>
      <c r="AN1046" s="15"/>
      <c r="AO1046" s="15"/>
      <c r="AP1046" s="15"/>
      <c r="AQ1046" s="15"/>
      <c r="AR1046" s="15"/>
      <c r="AS1046" s="15"/>
      <c r="AT1046" s="15"/>
      <c r="AU1046" s="15"/>
      <c r="AV1046" s="15"/>
      <c r="AW1046" s="15"/>
      <c r="AX1046" s="15"/>
      <c r="AY1046" s="15"/>
      <c r="AZ1046" s="15"/>
      <c r="BA1046" s="15"/>
      <c r="BB1046" s="15"/>
      <c r="BC1046" s="15"/>
      <c r="BD1046" s="15"/>
      <c r="BE1046" s="15"/>
      <c r="BF1046" s="15"/>
      <c r="BG1046" s="15"/>
      <c r="BH1046" s="15"/>
      <c r="BI1046" s="15"/>
      <c r="BJ1046" s="15"/>
      <c r="BK1046" s="15"/>
      <c r="BL1046" s="15"/>
      <c r="BM1046" s="15"/>
      <c r="BN1046" s="92"/>
      <c r="BO1046" s="92"/>
      <c r="BP1046" s="92"/>
      <c r="BQ1046" s="92"/>
      <c r="BR1046" s="92"/>
      <c r="BS1046" s="92"/>
      <c r="BT1046" s="92"/>
      <c r="BU1046" s="92"/>
      <c r="BV1046" s="92"/>
      <c r="BW1046" s="92"/>
      <c r="BX1046" s="92"/>
      <c r="BY1046" s="92"/>
      <c r="BZ1046" s="92"/>
      <c r="CA1046" s="92"/>
      <c r="CB1046" s="92"/>
      <c r="CC1046" s="92"/>
      <c r="CD1046" s="92"/>
      <c r="CE1046" s="92"/>
      <c r="CF1046" s="92"/>
      <c r="CG1046" s="92"/>
      <c r="CH1046" s="92"/>
      <c r="CI1046" s="92"/>
      <c r="CJ1046" s="92"/>
      <c r="CK1046" s="92"/>
      <c r="CL1046" s="92"/>
      <c r="CM1046" s="92"/>
      <c r="CN1046" s="92"/>
      <c r="CO1046" s="92"/>
      <c r="CP1046" s="92"/>
      <c r="CQ1046" s="92"/>
      <c r="CR1046" s="92"/>
      <c r="CS1046" s="92"/>
      <c r="CT1046" s="92"/>
      <c r="CU1046" s="92"/>
      <c r="CV1046" s="92"/>
      <c r="CW1046" s="92"/>
      <c r="CX1046" s="85"/>
      <c r="CY1046" s="85"/>
      <c r="CZ1046" s="85"/>
      <c r="DA1046" s="85"/>
      <c r="DB1046" s="85"/>
      <c r="DC1046" s="85"/>
      <c r="DD1046" s="85"/>
      <c r="DE1046" s="85"/>
      <c r="DF1046" s="85"/>
      <c r="DG1046" s="85"/>
      <c r="DH1046" s="85"/>
      <c r="DI1046" s="85"/>
      <c r="DJ1046" s="85"/>
      <c r="DK1046" s="85"/>
      <c r="DL1046" s="85"/>
      <c r="DM1046" s="85"/>
      <c r="DN1046" s="85"/>
      <c r="DO1046" s="85"/>
      <c r="DP1046" s="85"/>
    </row>
    <row r="1047">
      <c r="A1047" s="91"/>
      <c r="B1047" s="91"/>
      <c r="C1047" s="91"/>
      <c r="D1047" s="91"/>
      <c r="E1047" s="78"/>
      <c r="F1047" s="15"/>
      <c r="G1047" s="15"/>
      <c r="H1047" s="91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  <c r="AA1047" s="15"/>
      <c r="AB1047" s="15"/>
      <c r="AC1047" s="15"/>
      <c r="AD1047" s="15"/>
      <c r="AE1047" s="15"/>
      <c r="AF1047" s="15"/>
      <c r="AG1047" s="15"/>
      <c r="AH1047" s="15"/>
      <c r="AI1047" s="15"/>
      <c r="AJ1047" s="15"/>
      <c r="AK1047" s="15"/>
      <c r="AL1047" s="15"/>
      <c r="AM1047" s="15"/>
      <c r="AN1047" s="15"/>
      <c r="AO1047" s="15"/>
      <c r="AP1047" s="15"/>
      <c r="AQ1047" s="15"/>
      <c r="AR1047" s="15"/>
      <c r="AS1047" s="15"/>
      <c r="AT1047" s="15"/>
      <c r="AU1047" s="15"/>
      <c r="AV1047" s="15"/>
      <c r="AW1047" s="15"/>
      <c r="AX1047" s="15"/>
      <c r="AY1047" s="15"/>
      <c r="AZ1047" s="15"/>
      <c r="BA1047" s="15"/>
      <c r="BB1047" s="15"/>
      <c r="BC1047" s="15"/>
      <c r="BD1047" s="15"/>
      <c r="BE1047" s="15"/>
      <c r="BF1047" s="15"/>
      <c r="BG1047" s="15"/>
      <c r="BH1047" s="15"/>
      <c r="BI1047" s="15"/>
      <c r="BJ1047" s="15"/>
      <c r="BK1047" s="15"/>
      <c r="BL1047" s="15"/>
      <c r="BM1047" s="15"/>
      <c r="BN1047" s="92"/>
      <c r="BO1047" s="92"/>
      <c r="BP1047" s="92"/>
      <c r="BQ1047" s="92"/>
      <c r="BR1047" s="92"/>
      <c r="BS1047" s="92"/>
      <c r="BT1047" s="92"/>
      <c r="BU1047" s="92"/>
      <c r="BV1047" s="92"/>
      <c r="BW1047" s="92"/>
      <c r="BX1047" s="92"/>
      <c r="BY1047" s="92"/>
      <c r="BZ1047" s="92"/>
      <c r="CA1047" s="92"/>
      <c r="CB1047" s="92"/>
      <c r="CC1047" s="92"/>
      <c r="CD1047" s="92"/>
      <c r="CE1047" s="92"/>
      <c r="CF1047" s="92"/>
      <c r="CG1047" s="92"/>
      <c r="CH1047" s="92"/>
      <c r="CI1047" s="92"/>
      <c r="CJ1047" s="92"/>
      <c r="CK1047" s="92"/>
      <c r="CL1047" s="92"/>
      <c r="CM1047" s="92"/>
      <c r="CN1047" s="92"/>
      <c r="CO1047" s="92"/>
      <c r="CP1047" s="92"/>
      <c r="CQ1047" s="92"/>
      <c r="CR1047" s="92"/>
      <c r="CS1047" s="92"/>
      <c r="CT1047" s="92"/>
      <c r="CU1047" s="92"/>
      <c r="CV1047" s="92"/>
      <c r="CW1047" s="92"/>
      <c r="CX1047" s="85"/>
      <c r="CY1047" s="85"/>
      <c r="CZ1047" s="85"/>
      <c r="DA1047" s="85"/>
      <c r="DB1047" s="85"/>
      <c r="DC1047" s="85"/>
      <c r="DD1047" s="85"/>
      <c r="DE1047" s="85"/>
      <c r="DF1047" s="85"/>
      <c r="DG1047" s="85"/>
      <c r="DH1047" s="85"/>
      <c r="DI1047" s="85"/>
      <c r="DJ1047" s="85"/>
      <c r="DK1047" s="85"/>
      <c r="DL1047" s="85"/>
      <c r="DM1047" s="85"/>
      <c r="DN1047" s="85"/>
      <c r="DO1047" s="85"/>
      <c r="DP1047" s="85"/>
    </row>
    <row r="1048">
      <c r="A1048" s="91"/>
      <c r="B1048" s="91"/>
      <c r="C1048" s="91"/>
      <c r="D1048" s="91"/>
      <c r="E1048" s="78"/>
      <c r="F1048" s="15"/>
      <c r="G1048" s="15"/>
      <c r="H1048" s="91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  <c r="Z1048" s="15"/>
      <c r="AA1048" s="15"/>
      <c r="AB1048" s="15"/>
      <c r="AC1048" s="15"/>
      <c r="AD1048" s="15"/>
      <c r="AE1048" s="15"/>
      <c r="AF1048" s="15"/>
      <c r="AG1048" s="15"/>
      <c r="AH1048" s="15"/>
      <c r="AI1048" s="15"/>
      <c r="AJ1048" s="15"/>
      <c r="AK1048" s="15"/>
      <c r="AL1048" s="15"/>
      <c r="AM1048" s="15"/>
      <c r="AN1048" s="15"/>
      <c r="AO1048" s="15"/>
      <c r="AP1048" s="15"/>
      <c r="AQ1048" s="15"/>
      <c r="AR1048" s="15"/>
      <c r="AS1048" s="15"/>
      <c r="AT1048" s="15"/>
      <c r="AU1048" s="15"/>
      <c r="AV1048" s="15"/>
      <c r="AW1048" s="15"/>
      <c r="AX1048" s="15"/>
      <c r="AY1048" s="15"/>
      <c r="AZ1048" s="15"/>
      <c r="BA1048" s="15"/>
      <c r="BB1048" s="15"/>
      <c r="BC1048" s="15"/>
      <c r="BD1048" s="15"/>
      <c r="BE1048" s="15"/>
      <c r="BF1048" s="15"/>
      <c r="BG1048" s="15"/>
      <c r="BH1048" s="15"/>
      <c r="BI1048" s="15"/>
      <c r="BJ1048" s="15"/>
      <c r="BK1048" s="15"/>
      <c r="BL1048" s="15"/>
      <c r="BM1048" s="15"/>
      <c r="BN1048" s="92"/>
      <c r="BO1048" s="92"/>
      <c r="BP1048" s="92"/>
      <c r="BQ1048" s="92"/>
      <c r="BR1048" s="92"/>
      <c r="BS1048" s="92"/>
      <c r="BT1048" s="92"/>
      <c r="BU1048" s="92"/>
      <c r="BV1048" s="92"/>
      <c r="BW1048" s="92"/>
      <c r="BX1048" s="92"/>
      <c r="BY1048" s="92"/>
      <c r="BZ1048" s="92"/>
      <c r="CA1048" s="92"/>
      <c r="CB1048" s="92"/>
      <c r="CC1048" s="92"/>
      <c r="CD1048" s="92"/>
      <c r="CE1048" s="92"/>
      <c r="CF1048" s="92"/>
      <c r="CG1048" s="92"/>
      <c r="CH1048" s="92"/>
      <c r="CI1048" s="92"/>
      <c r="CJ1048" s="92"/>
      <c r="CK1048" s="92"/>
      <c r="CL1048" s="92"/>
      <c r="CM1048" s="92"/>
      <c r="CN1048" s="92"/>
      <c r="CO1048" s="92"/>
      <c r="CP1048" s="92"/>
      <c r="CQ1048" s="92"/>
      <c r="CR1048" s="92"/>
      <c r="CS1048" s="92"/>
      <c r="CT1048" s="92"/>
      <c r="CU1048" s="92"/>
      <c r="CV1048" s="92"/>
      <c r="CW1048" s="92"/>
      <c r="CX1048" s="85"/>
      <c r="CY1048" s="85"/>
      <c r="CZ1048" s="85"/>
      <c r="DA1048" s="85"/>
      <c r="DB1048" s="85"/>
      <c r="DC1048" s="85"/>
      <c r="DD1048" s="85"/>
      <c r="DE1048" s="85"/>
      <c r="DF1048" s="85"/>
      <c r="DG1048" s="85"/>
      <c r="DH1048" s="85"/>
      <c r="DI1048" s="85"/>
      <c r="DJ1048" s="85"/>
      <c r="DK1048" s="85"/>
      <c r="DL1048" s="85"/>
      <c r="DM1048" s="85"/>
      <c r="DN1048" s="85"/>
      <c r="DO1048" s="85"/>
      <c r="DP1048" s="85"/>
    </row>
    <row r="1049">
      <c r="A1049" s="91"/>
      <c r="B1049" s="91"/>
      <c r="C1049" s="91"/>
      <c r="D1049" s="91"/>
      <c r="E1049" s="78"/>
      <c r="F1049" s="15"/>
      <c r="G1049" s="15"/>
      <c r="H1049" s="91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  <c r="AA1049" s="15"/>
      <c r="AB1049" s="15"/>
      <c r="AC1049" s="15"/>
      <c r="AD1049" s="15"/>
      <c r="AE1049" s="15"/>
      <c r="AF1049" s="15"/>
      <c r="AG1049" s="15"/>
      <c r="AH1049" s="15"/>
      <c r="AI1049" s="15"/>
      <c r="AJ1049" s="15"/>
      <c r="AK1049" s="15"/>
      <c r="AL1049" s="15"/>
      <c r="AM1049" s="15"/>
      <c r="AN1049" s="15"/>
      <c r="AO1049" s="15"/>
      <c r="AP1049" s="15"/>
      <c r="AQ1049" s="15"/>
      <c r="AR1049" s="15"/>
      <c r="AS1049" s="15"/>
      <c r="AT1049" s="15"/>
      <c r="AU1049" s="15"/>
      <c r="AV1049" s="15"/>
      <c r="AW1049" s="15"/>
      <c r="AX1049" s="15"/>
      <c r="AY1049" s="15"/>
      <c r="AZ1049" s="15"/>
      <c r="BA1049" s="15"/>
      <c r="BB1049" s="15"/>
      <c r="BC1049" s="15"/>
      <c r="BD1049" s="15"/>
      <c r="BE1049" s="15"/>
      <c r="BF1049" s="15"/>
      <c r="BG1049" s="15"/>
      <c r="BH1049" s="15"/>
      <c r="BI1049" s="15"/>
      <c r="BJ1049" s="15"/>
      <c r="BK1049" s="15"/>
      <c r="BL1049" s="15"/>
      <c r="BM1049" s="15"/>
      <c r="BN1049" s="92"/>
      <c r="BO1049" s="92"/>
      <c r="BP1049" s="92"/>
      <c r="BQ1049" s="92"/>
      <c r="BR1049" s="92"/>
      <c r="BS1049" s="92"/>
      <c r="BT1049" s="92"/>
      <c r="BU1049" s="92"/>
      <c r="BV1049" s="92"/>
      <c r="BW1049" s="92"/>
      <c r="BX1049" s="92"/>
      <c r="BY1049" s="92"/>
      <c r="BZ1049" s="92"/>
      <c r="CA1049" s="92"/>
      <c r="CB1049" s="92"/>
      <c r="CC1049" s="92"/>
      <c r="CD1049" s="92"/>
      <c r="CE1049" s="92"/>
      <c r="CF1049" s="92"/>
      <c r="CG1049" s="92"/>
      <c r="CH1049" s="92"/>
      <c r="CI1049" s="92"/>
      <c r="CJ1049" s="92"/>
      <c r="CK1049" s="92"/>
      <c r="CL1049" s="92"/>
      <c r="CM1049" s="92"/>
      <c r="CN1049" s="92"/>
      <c r="CO1049" s="92"/>
      <c r="CP1049" s="92"/>
      <c r="CQ1049" s="92"/>
      <c r="CR1049" s="92"/>
      <c r="CS1049" s="92"/>
      <c r="CT1049" s="92"/>
      <c r="CU1049" s="92"/>
      <c r="CV1049" s="92"/>
      <c r="CW1049" s="92"/>
      <c r="CX1049" s="85"/>
      <c r="CY1049" s="85"/>
      <c r="CZ1049" s="85"/>
      <c r="DA1049" s="85"/>
      <c r="DB1049" s="85"/>
      <c r="DC1049" s="85"/>
      <c r="DD1049" s="85"/>
      <c r="DE1049" s="85"/>
      <c r="DF1049" s="85"/>
      <c r="DG1049" s="85"/>
      <c r="DH1049" s="85"/>
      <c r="DI1049" s="85"/>
      <c r="DJ1049" s="85"/>
      <c r="DK1049" s="85"/>
      <c r="DL1049" s="85"/>
      <c r="DM1049" s="85"/>
      <c r="DN1049" s="85"/>
      <c r="DO1049" s="85"/>
      <c r="DP1049" s="85"/>
    </row>
    <row r="1050">
      <c r="A1050" s="91"/>
      <c r="B1050" s="91"/>
      <c r="C1050" s="91"/>
      <c r="D1050" s="91"/>
      <c r="E1050" s="78"/>
      <c r="F1050" s="15"/>
      <c r="G1050" s="15"/>
      <c r="H1050" s="91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  <c r="AA1050" s="15"/>
      <c r="AB1050" s="15"/>
      <c r="AC1050" s="15"/>
      <c r="AD1050" s="15"/>
      <c r="AE1050" s="15"/>
      <c r="AF1050" s="15"/>
      <c r="AG1050" s="15"/>
      <c r="AH1050" s="15"/>
      <c r="AI1050" s="15"/>
      <c r="AJ1050" s="15"/>
      <c r="AK1050" s="15"/>
      <c r="AL1050" s="15"/>
      <c r="AM1050" s="15"/>
      <c r="AN1050" s="15"/>
      <c r="AO1050" s="15"/>
      <c r="AP1050" s="15"/>
      <c r="AQ1050" s="15"/>
      <c r="AR1050" s="15"/>
      <c r="AS1050" s="15"/>
      <c r="AT1050" s="15"/>
      <c r="AU1050" s="15"/>
      <c r="AV1050" s="15"/>
      <c r="AW1050" s="15"/>
      <c r="AX1050" s="15"/>
      <c r="AY1050" s="15"/>
      <c r="AZ1050" s="15"/>
      <c r="BA1050" s="15"/>
      <c r="BB1050" s="15"/>
      <c r="BC1050" s="15"/>
      <c r="BD1050" s="15"/>
      <c r="BE1050" s="15"/>
      <c r="BF1050" s="15"/>
      <c r="BG1050" s="15"/>
      <c r="BH1050" s="15"/>
      <c r="BI1050" s="15"/>
      <c r="BJ1050" s="15"/>
      <c r="BK1050" s="15"/>
      <c r="BL1050" s="15"/>
      <c r="BM1050" s="15"/>
      <c r="BN1050" s="92"/>
      <c r="BO1050" s="92"/>
      <c r="BP1050" s="92"/>
      <c r="BQ1050" s="92"/>
      <c r="BR1050" s="92"/>
      <c r="BS1050" s="92"/>
      <c r="BT1050" s="92"/>
      <c r="BU1050" s="92"/>
      <c r="BV1050" s="92"/>
      <c r="BW1050" s="92"/>
      <c r="BX1050" s="92"/>
      <c r="BY1050" s="92"/>
      <c r="BZ1050" s="92"/>
      <c r="CA1050" s="92"/>
      <c r="CB1050" s="92"/>
      <c r="CC1050" s="92"/>
      <c r="CD1050" s="92"/>
      <c r="CE1050" s="92"/>
      <c r="CF1050" s="92"/>
      <c r="CG1050" s="92"/>
      <c r="CH1050" s="92"/>
      <c r="CI1050" s="92"/>
      <c r="CJ1050" s="92"/>
      <c r="CK1050" s="92"/>
      <c r="CL1050" s="92"/>
      <c r="CM1050" s="92"/>
      <c r="CN1050" s="92"/>
      <c r="CO1050" s="92"/>
      <c r="CP1050" s="92"/>
      <c r="CQ1050" s="92"/>
      <c r="CR1050" s="92"/>
      <c r="CS1050" s="92"/>
      <c r="CT1050" s="92"/>
      <c r="CU1050" s="92"/>
      <c r="CV1050" s="92"/>
      <c r="CW1050" s="92"/>
      <c r="CX1050" s="85"/>
      <c r="CY1050" s="85"/>
      <c r="CZ1050" s="85"/>
      <c r="DA1050" s="85"/>
      <c r="DB1050" s="85"/>
      <c r="DC1050" s="85"/>
      <c r="DD1050" s="85"/>
      <c r="DE1050" s="85"/>
      <c r="DF1050" s="85"/>
      <c r="DG1050" s="85"/>
      <c r="DH1050" s="85"/>
      <c r="DI1050" s="85"/>
      <c r="DJ1050" s="85"/>
      <c r="DK1050" s="85"/>
      <c r="DL1050" s="85"/>
      <c r="DM1050" s="85"/>
      <c r="DN1050" s="85"/>
      <c r="DO1050" s="85"/>
      <c r="DP1050" s="85"/>
    </row>
    <row r="1051">
      <c r="A1051" s="91"/>
      <c r="B1051" s="91"/>
      <c r="C1051" s="91"/>
      <c r="D1051" s="91"/>
      <c r="E1051" s="78"/>
      <c r="F1051" s="15"/>
      <c r="G1051" s="15"/>
      <c r="H1051" s="91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  <c r="AA1051" s="15"/>
      <c r="AB1051" s="15"/>
      <c r="AC1051" s="15"/>
      <c r="AD1051" s="15"/>
      <c r="AE1051" s="15"/>
      <c r="AF1051" s="15"/>
      <c r="AG1051" s="15"/>
      <c r="AH1051" s="15"/>
      <c r="AI1051" s="15"/>
      <c r="AJ1051" s="15"/>
      <c r="AK1051" s="15"/>
      <c r="AL1051" s="15"/>
      <c r="AM1051" s="15"/>
      <c r="AN1051" s="15"/>
      <c r="AO1051" s="15"/>
      <c r="AP1051" s="15"/>
      <c r="AQ1051" s="15"/>
      <c r="AR1051" s="15"/>
      <c r="AS1051" s="15"/>
      <c r="AT1051" s="15"/>
      <c r="AU1051" s="15"/>
      <c r="AV1051" s="15"/>
      <c r="AW1051" s="15"/>
      <c r="AX1051" s="15"/>
      <c r="AY1051" s="15"/>
      <c r="AZ1051" s="15"/>
      <c r="BA1051" s="15"/>
      <c r="BB1051" s="15"/>
      <c r="BC1051" s="15"/>
      <c r="BD1051" s="15"/>
      <c r="BE1051" s="15"/>
      <c r="BF1051" s="15"/>
      <c r="BG1051" s="15"/>
      <c r="BH1051" s="15"/>
      <c r="BI1051" s="15"/>
      <c r="BJ1051" s="15"/>
      <c r="BK1051" s="15"/>
      <c r="BL1051" s="15"/>
      <c r="BM1051" s="15"/>
      <c r="BN1051" s="92"/>
      <c r="BO1051" s="92"/>
      <c r="BP1051" s="92"/>
      <c r="BQ1051" s="92"/>
      <c r="BR1051" s="92"/>
      <c r="BS1051" s="92"/>
      <c r="BT1051" s="92"/>
      <c r="BU1051" s="92"/>
      <c r="BV1051" s="92"/>
      <c r="BW1051" s="92"/>
      <c r="BX1051" s="92"/>
      <c r="BY1051" s="92"/>
      <c r="BZ1051" s="92"/>
      <c r="CA1051" s="92"/>
      <c r="CB1051" s="92"/>
      <c r="CC1051" s="92"/>
      <c r="CD1051" s="92"/>
      <c r="CE1051" s="92"/>
      <c r="CF1051" s="92"/>
      <c r="CG1051" s="92"/>
      <c r="CH1051" s="92"/>
      <c r="CI1051" s="92"/>
      <c r="CJ1051" s="92"/>
      <c r="CK1051" s="92"/>
      <c r="CL1051" s="92"/>
      <c r="CM1051" s="92"/>
      <c r="CN1051" s="92"/>
      <c r="CO1051" s="92"/>
      <c r="CP1051" s="92"/>
      <c r="CQ1051" s="92"/>
      <c r="CR1051" s="92"/>
      <c r="CS1051" s="92"/>
      <c r="CT1051" s="92"/>
      <c r="CU1051" s="92"/>
      <c r="CV1051" s="92"/>
      <c r="CW1051" s="92"/>
      <c r="CX1051" s="85"/>
      <c r="CY1051" s="85"/>
      <c r="CZ1051" s="85"/>
      <c r="DA1051" s="85"/>
      <c r="DB1051" s="85"/>
      <c r="DC1051" s="85"/>
      <c r="DD1051" s="85"/>
      <c r="DE1051" s="85"/>
      <c r="DF1051" s="85"/>
      <c r="DG1051" s="85"/>
      <c r="DH1051" s="85"/>
      <c r="DI1051" s="85"/>
      <c r="DJ1051" s="85"/>
      <c r="DK1051" s="85"/>
      <c r="DL1051" s="85"/>
      <c r="DM1051" s="85"/>
      <c r="DN1051" s="85"/>
      <c r="DO1051" s="85"/>
      <c r="DP1051" s="85"/>
    </row>
    <row r="1052">
      <c r="A1052" s="91"/>
      <c r="B1052" s="91"/>
      <c r="C1052" s="91"/>
      <c r="D1052" s="91"/>
      <c r="E1052" s="78"/>
      <c r="F1052" s="15"/>
      <c r="G1052" s="15"/>
      <c r="H1052" s="91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  <c r="Z1052" s="15"/>
      <c r="AA1052" s="15"/>
      <c r="AB1052" s="15"/>
      <c r="AC1052" s="15"/>
      <c r="AD1052" s="15"/>
      <c r="AE1052" s="15"/>
      <c r="AF1052" s="15"/>
      <c r="AG1052" s="15"/>
      <c r="AH1052" s="15"/>
      <c r="AI1052" s="15"/>
      <c r="AJ1052" s="15"/>
      <c r="AK1052" s="15"/>
      <c r="AL1052" s="15"/>
      <c r="AM1052" s="15"/>
      <c r="AN1052" s="15"/>
      <c r="AO1052" s="15"/>
      <c r="AP1052" s="15"/>
      <c r="AQ1052" s="15"/>
      <c r="AR1052" s="15"/>
      <c r="AS1052" s="15"/>
      <c r="AT1052" s="15"/>
      <c r="AU1052" s="15"/>
      <c r="AV1052" s="15"/>
      <c r="AW1052" s="15"/>
      <c r="AX1052" s="15"/>
      <c r="AY1052" s="15"/>
      <c r="AZ1052" s="15"/>
      <c r="BA1052" s="15"/>
      <c r="BB1052" s="15"/>
      <c r="BC1052" s="15"/>
      <c r="BD1052" s="15"/>
      <c r="BE1052" s="15"/>
      <c r="BF1052" s="15"/>
      <c r="BG1052" s="15"/>
      <c r="BH1052" s="15"/>
      <c r="BI1052" s="15"/>
      <c r="BJ1052" s="15"/>
      <c r="BK1052" s="15"/>
      <c r="BL1052" s="15"/>
      <c r="BM1052" s="15"/>
      <c r="BN1052" s="92"/>
      <c r="BO1052" s="92"/>
      <c r="BP1052" s="92"/>
      <c r="BQ1052" s="92"/>
      <c r="BR1052" s="92"/>
      <c r="BS1052" s="92"/>
      <c r="BT1052" s="92"/>
      <c r="BU1052" s="92"/>
      <c r="BV1052" s="92"/>
      <c r="BW1052" s="92"/>
      <c r="BX1052" s="92"/>
      <c r="BY1052" s="92"/>
      <c r="BZ1052" s="92"/>
      <c r="CA1052" s="92"/>
      <c r="CB1052" s="92"/>
      <c r="CC1052" s="92"/>
      <c r="CD1052" s="92"/>
      <c r="CE1052" s="92"/>
      <c r="CF1052" s="92"/>
      <c r="CG1052" s="92"/>
      <c r="CH1052" s="92"/>
      <c r="CI1052" s="92"/>
      <c r="CJ1052" s="92"/>
      <c r="CK1052" s="92"/>
      <c r="CL1052" s="92"/>
      <c r="CM1052" s="92"/>
      <c r="CN1052" s="92"/>
      <c r="CO1052" s="92"/>
      <c r="CP1052" s="92"/>
      <c r="CQ1052" s="92"/>
      <c r="CR1052" s="92"/>
      <c r="CS1052" s="92"/>
      <c r="CT1052" s="92"/>
      <c r="CU1052" s="92"/>
      <c r="CV1052" s="92"/>
      <c r="CW1052" s="92"/>
      <c r="CX1052" s="85"/>
      <c r="CY1052" s="85"/>
      <c r="CZ1052" s="85"/>
      <c r="DA1052" s="85"/>
      <c r="DB1052" s="85"/>
      <c r="DC1052" s="85"/>
      <c r="DD1052" s="85"/>
      <c r="DE1052" s="85"/>
      <c r="DF1052" s="85"/>
      <c r="DG1052" s="85"/>
      <c r="DH1052" s="85"/>
      <c r="DI1052" s="85"/>
      <c r="DJ1052" s="85"/>
      <c r="DK1052" s="85"/>
      <c r="DL1052" s="85"/>
      <c r="DM1052" s="85"/>
      <c r="DN1052" s="85"/>
      <c r="DO1052" s="85"/>
      <c r="DP1052" s="85"/>
    </row>
    <row r="1053">
      <c r="A1053" s="91"/>
      <c r="B1053" s="91"/>
      <c r="C1053" s="91"/>
      <c r="D1053" s="91"/>
      <c r="E1053" s="78"/>
      <c r="F1053" s="15"/>
      <c r="G1053" s="15"/>
      <c r="H1053" s="91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  <c r="AA1053" s="15"/>
      <c r="AB1053" s="15"/>
      <c r="AC1053" s="15"/>
      <c r="AD1053" s="15"/>
      <c r="AE1053" s="15"/>
      <c r="AF1053" s="15"/>
      <c r="AG1053" s="15"/>
      <c r="AH1053" s="15"/>
      <c r="AI1053" s="15"/>
      <c r="AJ1053" s="15"/>
      <c r="AK1053" s="15"/>
      <c r="AL1053" s="15"/>
      <c r="AM1053" s="15"/>
      <c r="AN1053" s="15"/>
      <c r="AO1053" s="15"/>
      <c r="AP1053" s="15"/>
      <c r="AQ1053" s="15"/>
      <c r="AR1053" s="15"/>
      <c r="AS1053" s="15"/>
      <c r="AT1053" s="15"/>
      <c r="AU1053" s="15"/>
      <c r="AV1053" s="15"/>
      <c r="AW1053" s="15"/>
      <c r="AX1053" s="15"/>
      <c r="AY1053" s="15"/>
      <c r="AZ1053" s="15"/>
      <c r="BA1053" s="15"/>
      <c r="BB1053" s="15"/>
      <c r="BC1053" s="15"/>
      <c r="BD1053" s="15"/>
      <c r="BE1053" s="15"/>
      <c r="BF1053" s="15"/>
      <c r="BG1053" s="15"/>
      <c r="BH1053" s="15"/>
      <c r="BI1053" s="15"/>
      <c r="BJ1053" s="15"/>
      <c r="BK1053" s="15"/>
      <c r="BL1053" s="15"/>
      <c r="BM1053" s="15"/>
      <c r="BN1053" s="92"/>
      <c r="BO1053" s="92"/>
      <c r="BP1053" s="92"/>
      <c r="BQ1053" s="92"/>
      <c r="BR1053" s="92"/>
      <c r="BS1053" s="92"/>
      <c r="BT1053" s="92"/>
      <c r="BU1053" s="92"/>
      <c r="BV1053" s="92"/>
      <c r="BW1053" s="92"/>
      <c r="BX1053" s="92"/>
      <c r="BY1053" s="92"/>
      <c r="BZ1053" s="92"/>
      <c r="CA1053" s="92"/>
      <c r="CB1053" s="92"/>
      <c r="CC1053" s="92"/>
      <c r="CD1053" s="92"/>
      <c r="CE1053" s="92"/>
      <c r="CF1053" s="92"/>
      <c r="CG1053" s="92"/>
      <c r="CH1053" s="92"/>
      <c r="CI1053" s="92"/>
      <c r="CJ1053" s="92"/>
      <c r="CK1053" s="92"/>
      <c r="CL1053" s="92"/>
      <c r="CM1053" s="92"/>
      <c r="CN1053" s="92"/>
      <c r="CO1053" s="92"/>
      <c r="CP1053" s="92"/>
      <c r="CQ1053" s="92"/>
      <c r="CR1053" s="92"/>
      <c r="CS1053" s="92"/>
      <c r="CT1053" s="92"/>
      <c r="CU1053" s="92"/>
      <c r="CV1053" s="92"/>
      <c r="CW1053" s="92"/>
      <c r="CX1053" s="85"/>
      <c r="CY1053" s="85"/>
      <c r="CZ1053" s="85"/>
      <c r="DA1053" s="85"/>
      <c r="DB1053" s="85"/>
      <c r="DC1053" s="85"/>
      <c r="DD1053" s="85"/>
      <c r="DE1053" s="85"/>
      <c r="DF1053" s="85"/>
      <c r="DG1053" s="85"/>
      <c r="DH1053" s="85"/>
      <c r="DI1053" s="85"/>
      <c r="DJ1053" s="85"/>
      <c r="DK1053" s="85"/>
      <c r="DL1053" s="85"/>
      <c r="DM1053" s="85"/>
      <c r="DN1053" s="85"/>
      <c r="DO1053" s="85"/>
      <c r="DP1053" s="85"/>
    </row>
    <row r="1054">
      <c r="A1054" s="91"/>
      <c r="B1054" s="91"/>
      <c r="C1054" s="91"/>
      <c r="D1054" s="91"/>
      <c r="E1054" s="78"/>
      <c r="F1054" s="15"/>
      <c r="G1054" s="15"/>
      <c r="H1054" s="91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15"/>
      <c r="Z1054" s="15"/>
      <c r="AA1054" s="15"/>
      <c r="AB1054" s="15"/>
      <c r="AC1054" s="15"/>
      <c r="AD1054" s="15"/>
      <c r="AE1054" s="15"/>
      <c r="AF1054" s="15"/>
      <c r="AG1054" s="15"/>
      <c r="AH1054" s="15"/>
      <c r="AI1054" s="15"/>
      <c r="AJ1054" s="15"/>
      <c r="AK1054" s="15"/>
      <c r="AL1054" s="15"/>
      <c r="AM1054" s="15"/>
      <c r="AN1054" s="15"/>
      <c r="AO1054" s="15"/>
      <c r="AP1054" s="15"/>
      <c r="AQ1054" s="15"/>
      <c r="AR1054" s="15"/>
      <c r="AS1054" s="15"/>
      <c r="AT1054" s="15"/>
      <c r="AU1054" s="15"/>
      <c r="AV1054" s="15"/>
      <c r="AW1054" s="15"/>
      <c r="AX1054" s="15"/>
      <c r="AY1054" s="15"/>
      <c r="AZ1054" s="15"/>
      <c r="BA1054" s="15"/>
      <c r="BB1054" s="15"/>
      <c r="BC1054" s="15"/>
      <c r="BD1054" s="15"/>
      <c r="BE1054" s="15"/>
      <c r="BF1054" s="15"/>
      <c r="BG1054" s="15"/>
      <c r="BH1054" s="15"/>
      <c r="BI1054" s="15"/>
      <c r="BJ1054" s="15"/>
      <c r="BK1054" s="15"/>
      <c r="BL1054" s="15"/>
      <c r="BM1054" s="15"/>
      <c r="BN1054" s="92"/>
      <c r="BO1054" s="92"/>
      <c r="BP1054" s="92"/>
      <c r="BQ1054" s="92"/>
      <c r="BR1054" s="92"/>
      <c r="BS1054" s="92"/>
      <c r="BT1054" s="92"/>
      <c r="BU1054" s="92"/>
      <c r="BV1054" s="92"/>
      <c r="BW1054" s="92"/>
      <c r="BX1054" s="92"/>
      <c r="BY1054" s="92"/>
      <c r="BZ1054" s="92"/>
      <c r="CA1054" s="92"/>
      <c r="CB1054" s="92"/>
      <c r="CC1054" s="92"/>
      <c r="CD1054" s="92"/>
      <c r="CE1054" s="92"/>
      <c r="CF1054" s="92"/>
      <c r="CG1054" s="92"/>
      <c r="CH1054" s="92"/>
      <c r="CI1054" s="92"/>
      <c r="CJ1054" s="92"/>
      <c r="CK1054" s="92"/>
      <c r="CL1054" s="92"/>
      <c r="CM1054" s="92"/>
      <c r="CN1054" s="92"/>
      <c r="CO1054" s="92"/>
      <c r="CP1054" s="92"/>
      <c r="CQ1054" s="92"/>
      <c r="CR1054" s="92"/>
      <c r="CS1054" s="92"/>
      <c r="CT1054" s="92"/>
      <c r="CU1054" s="92"/>
      <c r="CV1054" s="92"/>
      <c r="CW1054" s="92"/>
      <c r="CX1054" s="85"/>
      <c r="CY1054" s="85"/>
      <c r="CZ1054" s="85"/>
      <c r="DA1054" s="85"/>
      <c r="DB1054" s="85"/>
      <c r="DC1054" s="85"/>
      <c r="DD1054" s="85"/>
      <c r="DE1054" s="85"/>
      <c r="DF1054" s="85"/>
      <c r="DG1054" s="85"/>
      <c r="DH1054" s="85"/>
      <c r="DI1054" s="85"/>
      <c r="DJ1054" s="85"/>
      <c r="DK1054" s="85"/>
      <c r="DL1054" s="85"/>
      <c r="DM1054" s="85"/>
      <c r="DN1054" s="85"/>
      <c r="DO1054" s="85"/>
      <c r="DP1054" s="85"/>
    </row>
    <row r="1055">
      <c r="A1055" s="91"/>
      <c r="B1055" s="91"/>
      <c r="C1055" s="91"/>
      <c r="D1055" s="91"/>
      <c r="E1055" s="78"/>
      <c r="F1055" s="15"/>
      <c r="G1055" s="15"/>
      <c r="H1055" s="91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  <c r="Z1055" s="15"/>
      <c r="AA1055" s="15"/>
      <c r="AB1055" s="15"/>
      <c r="AC1055" s="15"/>
      <c r="AD1055" s="15"/>
      <c r="AE1055" s="15"/>
      <c r="AF1055" s="15"/>
      <c r="AG1055" s="15"/>
      <c r="AH1055" s="15"/>
      <c r="AI1055" s="15"/>
      <c r="AJ1055" s="15"/>
      <c r="AK1055" s="15"/>
      <c r="AL1055" s="15"/>
      <c r="AM1055" s="15"/>
      <c r="AN1055" s="15"/>
      <c r="AO1055" s="15"/>
      <c r="AP1055" s="15"/>
      <c r="AQ1055" s="15"/>
      <c r="AR1055" s="15"/>
      <c r="AS1055" s="15"/>
      <c r="AT1055" s="15"/>
      <c r="AU1055" s="15"/>
      <c r="AV1055" s="15"/>
      <c r="AW1055" s="15"/>
      <c r="AX1055" s="15"/>
      <c r="AY1055" s="15"/>
      <c r="AZ1055" s="15"/>
      <c r="BA1055" s="15"/>
      <c r="BB1055" s="15"/>
      <c r="BC1055" s="15"/>
      <c r="BD1055" s="15"/>
      <c r="BE1055" s="15"/>
      <c r="BF1055" s="15"/>
      <c r="BG1055" s="15"/>
      <c r="BH1055" s="15"/>
      <c r="BI1055" s="15"/>
      <c r="BJ1055" s="15"/>
      <c r="BK1055" s="15"/>
      <c r="BL1055" s="15"/>
      <c r="BM1055" s="15"/>
      <c r="BN1055" s="92"/>
      <c r="BO1055" s="92"/>
      <c r="BP1055" s="92"/>
      <c r="BQ1055" s="92"/>
      <c r="BR1055" s="92"/>
      <c r="BS1055" s="92"/>
      <c r="BT1055" s="92"/>
      <c r="BU1055" s="92"/>
      <c r="BV1055" s="92"/>
      <c r="BW1055" s="92"/>
      <c r="BX1055" s="92"/>
      <c r="BY1055" s="92"/>
      <c r="BZ1055" s="92"/>
      <c r="CA1055" s="92"/>
      <c r="CB1055" s="92"/>
      <c r="CC1055" s="92"/>
      <c r="CD1055" s="92"/>
      <c r="CE1055" s="92"/>
      <c r="CF1055" s="92"/>
      <c r="CG1055" s="92"/>
      <c r="CH1055" s="92"/>
      <c r="CI1055" s="92"/>
      <c r="CJ1055" s="92"/>
      <c r="CK1055" s="92"/>
      <c r="CL1055" s="92"/>
      <c r="CM1055" s="92"/>
      <c r="CN1055" s="92"/>
      <c r="CO1055" s="92"/>
      <c r="CP1055" s="92"/>
      <c r="CQ1055" s="92"/>
      <c r="CR1055" s="92"/>
      <c r="CS1055" s="92"/>
      <c r="CT1055" s="92"/>
      <c r="CU1055" s="92"/>
      <c r="CV1055" s="92"/>
      <c r="CW1055" s="92"/>
      <c r="CX1055" s="85"/>
      <c r="CY1055" s="85"/>
      <c r="CZ1055" s="85"/>
      <c r="DA1055" s="85"/>
      <c r="DB1055" s="85"/>
      <c r="DC1055" s="85"/>
      <c r="DD1055" s="85"/>
      <c r="DE1055" s="85"/>
      <c r="DF1055" s="85"/>
      <c r="DG1055" s="85"/>
      <c r="DH1055" s="85"/>
      <c r="DI1055" s="85"/>
      <c r="DJ1055" s="85"/>
      <c r="DK1055" s="85"/>
      <c r="DL1055" s="85"/>
      <c r="DM1055" s="85"/>
      <c r="DN1055" s="85"/>
      <c r="DO1055" s="85"/>
      <c r="DP1055" s="85"/>
    </row>
    <row r="1056">
      <c r="A1056" s="91"/>
      <c r="B1056" s="91"/>
      <c r="C1056" s="91"/>
      <c r="D1056" s="91"/>
      <c r="E1056" s="78"/>
      <c r="F1056" s="15"/>
      <c r="G1056" s="15"/>
      <c r="H1056" s="91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  <c r="Y1056" s="15"/>
      <c r="Z1056" s="15"/>
      <c r="AA1056" s="15"/>
      <c r="AB1056" s="15"/>
      <c r="AC1056" s="15"/>
      <c r="AD1056" s="15"/>
      <c r="AE1056" s="15"/>
      <c r="AF1056" s="15"/>
      <c r="AG1056" s="15"/>
      <c r="AH1056" s="15"/>
      <c r="AI1056" s="15"/>
      <c r="AJ1056" s="15"/>
      <c r="AK1056" s="15"/>
      <c r="AL1056" s="15"/>
      <c r="AM1056" s="15"/>
      <c r="AN1056" s="15"/>
      <c r="AO1056" s="15"/>
      <c r="AP1056" s="15"/>
      <c r="AQ1056" s="15"/>
      <c r="AR1056" s="15"/>
      <c r="AS1056" s="15"/>
      <c r="AT1056" s="15"/>
      <c r="AU1056" s="15"/>
      <c r="AV1056" s="15"/>
      <c r="AW1056" s="15"/>
      <c r="AX1056" s="15"/>
      <c r="AY1056" s="15"/>
      <c r="AZ1056" s="15"/>
      <c r="BA1056" s="15"/>
      <c r="BB1056" s="15"/>
      <c r="BC1056" s="15"/>
      <c r="BD1056" s="15"/>
      <c r="BE1056" s="15"/>
      <c r="BF1056" s="15"/>
      <c r="BG1056" s="15"/>
      <c r="BH1056" s="15"/>
      <c r="BI1056" s="15"/>
      <c r="BJ1056" s="15"/>
      <c r="BK1056" s="15"/>
      <c r="BL1056" s="15"/>
      <c r="BM1056" s="15"/>
      <c r="BN1056" s="92"/>
      <c r="BO1056" s="92"/>
      <c r="BP1056" s="92"/>
      <c r="BQ1056" s="92"/>
      <c r="BR1056" s="92"/>
      <c r="BS1056" s="92"/>
      <c r="BT1056" s="92"/>
      <c r="BU1056" s="92"/>
      <c r="BV1056" s="92"/>
      <c r="BW1056" s="92"/>
      <c r="BX1056" s="92"/>
      <c r="BY1056" s="92"/>
      <c r="BZ1056" s="92"/>
      <c r="CA1056" s="92"/>
      <c r="CB1056" s="92"/>
      <c r="CC1056" s="92"/>
      <c r="CD1056" s="92"/>
      <c r="CE1056" s="92"/>
      <c r="CF1056" s="92"/>
      <c r="CG1056" s="92"/>
      <c r="CH1056" s="92"/>
      <c r="CI1056" s="92"/>
      <c r="CJ1056" s="92"/>
      <c r="CK1056" s="92"/>
      <c r="CL1056" s="92"/>
      <c r="CM1056" s="92"/>
      <c r="CN1056" s="92"/>
      <c r="CO1056" s="92"/>
      <c r="CP1056" s="92"/>
      <c r="CQ1056" s="92"/>
      <c r="CR1056" s="92"/>
      <c r="CS1056" s="92"/>
      <c r="CT1056" s="92"/>
      <c r="CU1056" s="92"/>
      <c r="CV1056" s="92"/>
      <c r="CW1056" s="92"/>
      <c r="CX1056" s="85"/>
      <c r="CY1056" s="85"/>
      <c r="CZ1056" s="85"/>
      <c r="DA1056" s="85"/>
      <c r="DB1056" s="85"/>
      <c r="DC1056" s="85"/>
      <c r="DD1056" s="85"/>
      <c r="DE1056" s="85"/>
      <c r="DF1056" s="85"/>
      <c r="DG1056" s="85"/>
      <c r="DH1056" s="85"/>
      <c r="DI1056" s="85"/>
      <c r="DJ1056" s="85"/>
      <c r="DK1056" s="85"/>
      <c r="DL1056" s="85"/>
      <c r="DM1056" s="85"/>
      <c r="DN1056" s="85"/>
      <c r="DO1056" s="85"/>
      <c r="DP1056" s="85"/>
    </row>
    <row r="1057">
      <c r="A1057" s="91"/>
      <c r="B1057" s="91"/>
      <c r="C1057" s="91"/>
      <c r="D1057" s="91"/>
      <c r="E1057" s="78"/>
      <c r="F1057" s="15"/>
      <c r="G1057" s="15"/>
      <c r="H1057" s="91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  <c r="AA1057" s="15"/>
      <c r="AB1057" s="15"/>
      <c r="AC1057" s="15"/>
      <c r="AD1057" s="15"/>
      <c r="AE1057" s="15"/>
      <c r="AF1057" s="15"/>
      <c r="AG1057" s="15"/>
      <c r="AH1057" s="15"/>
      <c r="AI1057" s="15"/>
      <c r="AJ1057" s="15"/>
      <c r="AK1057" s="15"/>
      <c r="AL1057" s="15"/>
      <c r="AM1057" s="15"/>
      <c r="AN1057" s="15"/>
      <c r="AO1057" s="15"/>
      <c r="AP1057" s="15"/>
      <c r="AQ1057" s="15"/>
      <c r="AR1057" s="15"/>
      <c r="AS1057" s="15"/>
      <c r="AT1057" s="15"/>
      <c r="AU1057" s="15"/>
      <c r="AV1057" s="15"/>
      <c r="AW1057" s="15"/>
      <c r="AX1057" s="15"/>
      <c r="AY1057" s="15"/>
      <c r="AZ1057" s="15"/>
      <c r="BA1057" s="15"/>
      <c r="BB1057" s="15"/>
      <c r="BC1057" s="15"/>
      <c r="BD1057" s="15"/>
      <c r="BE1057" s="15"/>
      <c r="BF1057" s="15"/>
      <c r="BG1057" s="15"/>
      <c r="BH1057" s="15"/>
      <c r="BI1057" s="15"/>
      <c r="BJ1057" s="15"/>
      <c r="BK1057" s="15"/>
      <c r="BL1057" s="15"/>
      <c r="BM1057" s="15"/>
      <c r="BN1057" s="92"/>
      <c r="BO1057" s="92"/>
      <c r="BP1057" s="92"/>
      <c r="BQ1057" s="92"/>
      <c r="BR1057" s="92"/>
      <c r="BS1057" s="92"/>
      <c r="BT1057" s="92"/>
      <c r="BU1057" s="92"/>
      <c r="BV1057" s="92"/>
      <c r="BW1057" s="92"/>
      <c r="BX1057" s="92"/>
      <c r="BY1057" s="92"/>
      <c r="BZ1057" s="92"/>
      <c r="CA1057" s="92"/>
      <c r="CB1057" s="92"/>
      <c r="CC1057" s="92"/>
      <c r="CD1057" s="92"/>
      <c r="CE1057" s="92"/>
      <c r="CF1057" s="92"/>
      <c r="CG1057" s="92"/>
      <c r="CH1057" s="92"/>
      <c r="CI1057" s="92"/>
      <c r="CJ1057" s="92"/>
      <c r="CK1057" s="92"/>
      <c r="CL1057" s="92"/>
      <c r="CM1057" s="92"/>
      <c r="CN1057" s="92"/>
      <c r="CO1057" s="92"/>
      <c r="CP1057" s="92"/>
      <c r="CQ1057" s="92"/>
      <c r="CR1057" s="92"/>
      <c r="CS1057" s="92"/>
      <c r="CT1057" s="92"/>
      <c r="CU1057" s="92"/>
      <c r="CV1057" s="92"/>
      <c r="CW1057" s="92"/>
      <c r="CX1057" s="85"/>
      <c r="CY1057" s="85"/>
      <c r="CZ1057" s="85"/>
      <c r="DA1057" s="85"/>
      <c r="DB1057" s="85"/>
      <c r="DC1057" s="85"/>
      <c r="DD1057" s="85"/>
      <c r="DE1057" s="85"/>
      <c r="DF1057" s="85"/>
      <c r="DG1057" s="85"/>
      <c r="DH1057" s="85"/>
      <c r="DI1057" s="85"/>
      <c r="DJ1057" s="85"/>
      <c r="DK1057" s="85"/>
      <c r="DL1057" s="85"/>
      <c r="DM1057" s="85"/>
      <c r="DN1057" s="85"/>
      <c r="DO1057" s="85"/>
      <c r="DP1057" s="85"/>
    </row>
    <row r="1058">
      <c r="A1058" s="91"/>
      <c r="B1058" s="91"/>
      <c r="C1058" s="91"/>
      <c r="D1058" s="91"/>
      <c r="E1058" s="78"/>
      <c r="F1058" s="15"/>
      <c r="G1058" s="15"/>
      <c r="H1058" s="91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 s="15"/>
      <c r="Z1058" s="15"/>
      <c r="AA1058" s="15"/>
      <c r="AB1058" s="15"/>
      <c r="AC1058" s="15"/>
      <c r="AD1058" s="15"/>
      <c r="AE1058" s="15"/>
      <c r="AF1058" s="15"/>
      <c r="AG1058" s="15"/>
      <c r="AH1058" s="15"/>
      <c r="AI1058" s="15"/>
      <c r="AJ1058" s="15"/>
      <c r="AK1058" s="15"/>
      <c r="AL1058" s="15"/>
      <c r="AM1058" s="15"/>
      <c r="AN1058" s="15"/>
      <c r="AO1058" s="15"/>
      <c r="AP1058" s="15"/>
      <c r="AQ1058" s="15"/>
      <c r="AR1058" s="15"/>
      <c r="AS1058" s="15"/>
      <c r="AT1058" s="15"/>
      <c r="AU1058" s="15"/>
      <c r="AV1058" s="15"/>
      <c r="AW1058" s="15"/>
      <c r="AX1058" s="15"/>
      <c r="AY1058" s="15"/>
      <c r="AZ1058" s="15"/>
      <c r="BA1058" s="15"/>
      <c r="BB1058" s="15"/>
      <c r="BC1058" s="15"/>
      <c r="BD1058" s="15"/>
      <c r="BE1058" s="15"/>
      <c r="BF1058" s="15"/>
      <c r="BG1058" s="15"/>
      <c r="BH1058" s="15"/>
      <c r="BI1058" s="15"/>
      <c r="BJ1058" s="15"/>
      <c r="BK1058" s="15"/>
      <c r="BL1058" s="15"/>
      <c r="BM1058" s="15"/>
      <c r="BN1058" s="92"/>
      <c r="BO1058" s="92"/>
      <c r="BP1058" s="92"/>
      <c r="BQ1058" s="92"/>
      <c r="BR1058" s="92"/>
      <c r="BS1058" s="92"/>
      <c r="BT1058" s="92"/>
      <c r="BU1058" s="92"/>
      <c r="BV1058" s="92"/>
      <c r="BW1058" s="92"/>
      <c r="BX1058" s="92"/>
      <c r="BY1058" s="92"/>
      <c r="BZ1058" s="92"/>
      <c r="CA1058" s="92"/>
      <c r="CB1058" s="92"/>
      <c r="CC1058" s="92"/>
      <c r="CD1058" s="92"/>
      <c r="CE1058" s="92"/>
      <c r="CF1058" s="92"/>
      <c r="CG1058" s="92"/>
      <c r="CH1058" s="92"/>
      <c r="CI1058" s="92"/>
      <c r="CJ1058" s="92"/>
      <c r="CK1058" s="92"/>
      <c r="CL1058" s="92"/>
      <c r="CM1058" s="92"/>
      <c r="CN1058" s="92"/>
      <c r="CO1058" s="92"/>
      <c r="CP1058" s="92"/>
      <c r="CQ1058" s="92"/>
      <c r="CR1058" s="92"/>
      <c r="CS1058" s="92"/>
      <c r="CT1058" s="92"/>
      <c r="CU1058" s="92"/>
      <c r="CV1058" s="92"/>
      <c r="CW1058" s="92"/>
      <c r="CX1058" s="85"/>
      <c r="CY1058" s="85"/>
      <c r="CZ1058" s="85"/>
      <c r="DA1058" s="85"/>
      <c r="DB1058" s="85"/>
      <c r="DC1058" s="85"/>
      <c r="DD1058" s="85"/>
      <c r="DE1058" s="85"/>
      <c r="DF1058" s="85"/>
      <c r="DG1058" s="85"/>
      <c r="DH1058" s="85"/>
      <c r="DI1058" s="85"/>
      <c r="DJ1058" s="85"/>
      <c r="DK1058" s="85"/>
      <c r="DL1058" s="85"/>
      <c r="DM1058" s="85"/>
      <c r="DN1058" s="85"/>
      <c r="DO1058" s="85"/>
      <c r="DP1058" s="85"/>
    </row>
    <row r="1059">
      <c r="A1059" s="91"/>
      <c r="B1059" s="91"/>
      <c r="C1059" s="91"/>
      <c r="D1059" s="91"/>
      <c r="E1059" s="78"/>
      <c r="F1059" s="15"/>
      <c r="G1059" s="15"/>
      <c r="H1059" s="91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  <c r="AA1059" s="15"/>
      <c r="AB1059" s="15"/>
      <c r="AC1059" s="15"/>
      <c r="AD1059" s="15"/>
      <c r="AE1059" s="15"/>
      <c r="AF1059" s="15"/>
      <c r="AG1059" s="15"/>
      <c r="AH1059" s="15"/>
      <c r="AI1059" s="15"/>
      <c r="AJ1059" s="15"/>
      <c r="AK1059" s="15"/>
      <c r="AL1059" s="15"/>
      <c r="AM1059" s="15"/>
      <c r="AN1059" s="15"/>
      <c r="AO1059" s="15"/>
      <c r="AP1059" s="15"/>
      <c r="AQ1059" s="15"/>
      <c r="AR1059" s="15"/>
      <c r="AS1059" s="15"/>
      <c r="AT1059" s="15"/>
      <c r="AU1059" s="15"/>
      <c r="AV1059" s="15"/>
      <c r="AW1059" s="15"/>
      <c r="AX1059" s="15"/>
      <c r="AY1059" s="15"/>
      <c r="AZ1059" s="15"/>
      <c r="BA1059" s="15"/>
      <c r="BB1059" s="15"/>
      <c r="BC1059" s="15"/>
      <c r="BD1059" s="15"/>
      <c r="BE1059" s="15"/>
      <c r="BF1059" s="15"/>
      <c r="BG1059" s="15"/>
      <c r="BH1059" s="15"/>
      <c r="BI1059" s="15"/>
      <c r="BJ1059" s="15"/>
      <c r="BK1059" s="15"/>
      <c r="BL1059" s="15"/>
      <c r="BM1059" s="15"/>
      <c r="BN1059" s="92"/>
      <c r="BO1059" s="92"/>
      <c r="BP1059" s="92"/>
      <c r="BQ1059" s="92"/>
      <c r="BR1059" s="92"/>
      <c r="BS1059" s="92"/>
      <c r="BT1059" s="92"/>
      <c r="BU1059" s="92"/>
      <c r="BV1059" s="92"/>
      <c r="BW1059" s="92"/>
      <c r="BX1059" s="92"/>
      <c r="BY1059" s="92"/>
      <c r="BZ1059" s="92"/>
      <c r="CA1059" s="92"/>
      <c r="CB1059" s="92"/>
      <c r="CC1059" s="92"/>
      <c r="CD1059" s="92"/>
      <c r="CE1059" s="92"/>
      <c r="CF1059" s="92"/>
      <c r="CG1059" s="92"/>
      <c r="CH1059" s="92"/>
      <c r="CI1059" s="92"/>
      <c r="CJ1059" s="92"/>
      <c r="CK1059" s="92"/>
      <c r="CL1059" s="92"/>
      <c r="CM1059" s="92"/>
      <c r="CN1059" s="92"/>
      <c r="CO1059" s="92"/>
      <c r="CP1059" s="92"/>
      <c r="CQ1059" s="92"/>
      <c r="CR1059" s="92"/>
      <c r="CS1059" s="92"/>
      <c r="CT1059" s="92"/>
      <c r="CU1059" s="92"/>
      <c r="CV1059" s="92"/>
      <c r="CW1059" s="92"/>
      <c r="CX1059" s="85"/>
      <c r="CY1059" s="85"/>
      <c r="CZ1059" s="85"/>
      <c r="DA1059" s="85"/>
      <c r="DB1059" s="85"/>
      <c r="DC1059" s="85"/>
      <c r="DD1059" s="85"/>
      <c r="DE1059" s="85"/>
      <c r="DF1059" s="85"/>
      <c r="DG1059" s="85"/>
      <c r="DH1059" s="85"/>
      <c r="DI1059" s="85"/>
      <c r="DJ1059" s="85"/>
      <c r="DK1059" s="85"/>
      <c r="DL1059" s="85"/>
      <c r="DM1059" s="85"/>
      <c r="DN1059" s="85"/>
      <c r="DO1059" s="85"/>
      <c r="DP1059" s="85"/>
    </row>
    <row r="1060">
      <c r="A1060" s="91"/>
      <c r="B1060" s="91"/>
      <c r="C1060" s="91"/>
      <c r="D1060" s="91"/>
      <c r="E1060" s="78"/>
      <c r="F1060" s="15"/>
      <c r="G1060" s="15"/>
      <c r="H1060" s="91"/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 s="15"/>
      <c r="Z1060" s="15"/>
      <c r="AA1060" s="15"/>
      <c r="AB1060" s="15"/>
      <c r="AC1060" s="15"/>
      <c r="AD1060" s="15"/>
      <c r="AE1060" s="15"/>
      <c r="AF1060" s="15"/>
      <c r="AG1060" s="15"/>
      <c r="AH1060" s="15"/>
      <c r="AI1060" s="15"/>
      <c r="AJ1060" s="15"/>
      <c r="AK1060" s="15"/>
      <c r="AL1060" s="15"/>
      <c r="AM1060" s="15"/>
      <c r="AN1060" s="15"/>
      <c r="AO1060" s="15"/>
      <c r="AP1060" s="15"/>
      <c r="AQ1060" s="15"/>
      <c r="AR1060" s="15"/>
      <c r="AS1060" s="15"/>
      <c r="AT1060" s="15"/>
      <c r="AU1060" s="15"/>
      <c r="AV1060" s="15"/>
      <c r="AW1060" s="15"/>
      <c r="AX1060" s="15"/>
      <c r="AY1060" s="15"/>
      <c r="AZ1060" s="15"/>
      <c r="BA1060" s="15"/>
      <c r="BB1060" s="15"/>
      <c r="BC1060" s="15"/>
      <c r="BD1060" s="15"/>
      <c r="BE1060" s="15"/>
      <c r="BF1060" s="15"/>
      <c r="BG1060" s="15"/>
      <c r="BH1060" s="15"/>
      <c r="BI1060" s="15"/>
      <c r="BJ1060" s="15"/>
      <c r="BK1060" s="15"/>
      <c r="BL1060" s="15"/>
      <c r="BM1060" s="15"/>
      <c r="BN1060" s="92"/>
      <c r="BO1060" s="92"/>
      <c r="BP1060" s="92"/>
      <c r="BQ1060" s="92"/>
      <c r="BR1060" s="92"/>
      <c r="BS1060" s="92"/>
      <c r="BT1060" s="92"/>
      <c r="BU1060" s="92"/>
      <c r="BV1060" s="92"/>
      <c r="BW1060" s="92"/>
      <c r="BX1060" s="92"/>
      <c r="BY1060" s="92"/>
      <c r="BZ1060" s="92"/>
      <c r="CA1060" s="92"/>
      <c r="CB1060" s="92"/>
      <c r="CC1060" s="92"/>
      <c r="CD1060" s="92"/>
      <c r="CE1060" s="92"/>
      <c r="CF1060" s="92"/>
      <c r="CG1060" s="92"/>
      <c r="CH1060" s="92"/>
      <c r="CI1060" s="92"/>
      <c r="CJ1060" s="92"/>
      <c r="CK1060" s="92"/>
      <c r="CL1060" s="92"/>
      <c r="CM1060" s="92"/>
      <c r="CN1060" s="92"/>
      <c r="CO1060" s="92"/>
      <c r="CP1060" s="92"/>
      <c r="CQ1060" s="92"/>
      <c r="CR1060" s="92"/>
      <c r="CS1060" s="92"/>
      <c r="CT1060" s="92"/>
      <c r="CU1060" s="92"/>
      <c r="CV1060" s="92"/>
      <c r="CW1060" s="92"/>
      <c r="CX1060" s="85"/>
      <c r="CY1060" s="85"/>
      <c r="CZ1060" s="85"/>
      <c r="DA1060" s="85"/>
      <c r="DB1060" s="85"/>
      <c r="DC1060" s="85"/>
      <c r="DD1060" s="85"/>
      <c r="DE1060" s="85"/>
      <c r="DF1060" s="85"/>
      <c r="DG1060" s="85"/>
      <c r="DH1060" s="85"/>
      <c r="DI1060" s="85"/>
      <c r="DJ1060" s="85"/>
      <c r="DK1060" s="85"/>
      <c r="DL1060" s="85"/>
      <c r="DM1060" s="85"/>
      <c r="DN1060" s="85"/>
      <c r="DO1060" s="85"/>
      <c r="DP1060" s="85"/>
    </row>
    <row r="1061">
      <c r="A1061" s="91"/>
      <c r="B1061" s="91"/>
      <c r="C1061" s="91"/>
      <c r="D1061" s="91"/>
      <c r="E1061" s="78"/>
      <c r="F1061" s="15"/>
      <c r="G1061" s="15"/>
      <c r="H1061" s="91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  <c r="AA1061" s="15"/>
      <c r="AB1061" s="15"/>
      <c r="AC1061" s="15"/>
      <c r="AD1061" s="15"/>
      <c r="AE1061" s="15"/>
      <c r="AF1061" s="15"/>
      <c r="AG1061" s="15"/>
      <c r="AH1061" s="15"/>
      <c r="AI1061" s="15"/>
      <c r="AJ1061" s="15"/>
      <c r="AK1061" s="15"/>
      <c r="AL1061" s="15"/>
      <c r="AM1061" s="15"/>
      <c r="AN1061" s="15"/>
      <c r="AO1061" s="15"/>
      <c r="AP1061" s="15"/>
      <c r="AQ1061" s="15"/>
      <c r="AR1061" s="15"/>
      <c r="AS1061" s="15"/>
      <c r="AT1061" s="15"/>
      <c r="AU1061" s="15"/>
      <c r="AV1061" s="15"/>
      <c r="AW1061" s="15"/>
      <c r="AX1061" s="15"/>
      <c r="AY1061" s="15"/>
      <c r="AZ1061" s="15"/>
      <c r="BA1061" s="15"/>
      <c r="BB1061" s="15"/>
      <c r="BC1061" s="15"/>
      <c r="BD1061" s="15"/>
      <c r="BE1061" s="15"/>
      <c r="BF1061" s="15"/>
      <c r="BG1061" s="15"/>
      <c r="BH1061" s="15"/>
      <c r="BI1061" s="15"/>
      <c r="BJ1061" s="15"/>
      <c r="BK1061" s="15"/>
      <c r="BL1061" s="15"/>
      <c r="BM1061" s="15"/>
      <c r="BN1061" s="92"/>
      <c r="BO1061" s="92"/>
      <c r="BP1061" s="92"/>
      <c r="BQ1061" s="92"/>
      <c r="BR1061" s="92"/>
      <c r="BS1061" s="92"/>
      <c r="BT1061" s="92"/>
      <c r="BU1061" s="92"/>
      <c r="BV1061" s="92"/>
      <c r="BW1061" s="92"/>
      <c r="BX1061" s="92"/>
      <c r="BY1061" s="92"/>
      <c r="BZ1061" s="92"/>
      <c r="CA1061" s="92"/>
      <c r="CB1061" s="92"/>
      <c r="CC1061" s="92"/>
      <c r="CD1061" s="92"/>
      <c r="CE1061" s="92"/>
      <c r="CF1061" s="92"/>
      <c r="CG1061" s="92"/>
      <c r="CH1061" s="92"/>
      <c r="CI1061" s="92"/>
      <c r="CJ1061" s="92"/>
      <c r="CK1061" s="92"/>
      <c r="CL1061" s="92"/>
      <c r="CM1061" s="92"/>
      <c r="CN1061" s="92"/>
      <c r="CO1061" s="92"/>
      <c r="CP1061" s="92"/>
      <c r="CQ1061" s="92"/>
      <c r="CR1061" s="92"/>
      <c r="CS1061" s="92"/>
      <c r="CT1061" s="92"/>
      <c r="CU1061" s="92"/>
      <c r="CV1061" s="92"/>
      <c r="CW1061" s="92"/>
      <c r="CX1061" s="85"/>
      <c r="CY1061" s="85"/>
      <c r="CZ1061" s="85"/>
      <c r="DA1061" s="85"/>
      <c r="DB1061" s="85"/>
      <c r="DC1061" s="85"/>
      <c r="DD1061" s="85"/>
      <c r="DE1061" s="85"/>
      <c r="DF1061" s="85"/>
      <c r="DG1061" s="85"/>
      <c r="DH1061" s="85"/>
      <c r="DI1061" s="85"/>
      <c r="DJ1061" s="85"/>
      <c r="DK1061" s="85"/>
      <c r="DL1061" s="85"/>
      <c r="DM1061" s="85"/>
      <c r="DN1061" s="85"/>
      <c r="DO1061" s="85"/>
      <c r="DP1061" s="85"/>
    </row>
    <row r="1062">
      <c r="A1062" s="91"/>
      <c r="B1062" s="91"/>
      <c r="C1062" s="91"/>
      <c r="D1062" s="91"/>
      <c r="E1062" s="78"/>
      <c r="F1062" s="15"/>
      <c r="G1062" s="15"/>
      <c r="H1062" s="91"/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15"/>
      <c r="Z1062" s="15"/>
      <c r="AA1062" s="15"/>
      <c r="AB1062" s="15"/>
      <c r="AC1062" s="15"/>
      <c r="AD1062" s="15"/>
      <c r="AE1062" s="15"/>
      <c r="AF1062" s="15"/>
      <c r="AG1062" s="15"/>
      <c r="AH1062" s="15"/>
      <c r="AI1062" s="15"/>
      <c r="AJ1062" s="15"/>
      <c r="AK1062" s="15"/>
      <c r="AL1062" s="15"/>
      <c r="AM1062" s="15"/>
      <c r="AN1062" s="15"/>
      <c r="AO1062" s="15"/>
      <c r="AP1062" s="15"/>
      <c r="AQ1062" s="15"/>
      <c r="AR1062" s="15"/>
      <c r="AS1062" s="15"/>
      <c r="AT1062" s="15"/>
      <c r="AU1062" s="15"/>
      <c r="AV1062" s="15"/>
      <c r="AW1062" s="15"/>
      <c r="AX1062" s="15"/>
      <c r="AY1062" s="15"/>
      <c r="AZ1062" s="15"/>
      <c r="BA1062" s="15"/>
      <c r="BB1062" s="15"/>
      <c r="BC1062" s="15"/>
      <c r="BD1062" s="15"/>
      <c r="BE1062" s="15"/>
      <c r="BF1062" s="15"/>
      <c r="BG1062" s="15"/>
      <c r="BH1062" s="15"/>
      <c r="BI1062" s="15"/>
      <c r="BJ1062" s="15"/>
      <c r="BK1062" s="15"/>
      <c r="BL1062" s="15"/>
      <c r="BM1062" s="15"/>
      <c r="BN1062" s="92"/>
      <c r="BO1062" s="92"/>
      <c r="BP1062" s="92"/>
      <c r="BQ1062" s="92"/>
      <c r="BR1062" s="92"/>
      <c r="BS1062" s="92"/>
      <c r="BT1062" s="92"/>
      <c r="BU1062" s="92"/>
      <c r="BV1062" s="92"/>
      <c r="BW1062" s="92"/>
      <c r="BX1062" s="92"/>
      <c r="BY1062" s="92"/>
      <c r="BZ1062" s="92"/>
      <c r="CA1062" s="92"/>
      <c r="CB1062" s="92"/>
      <c r="CC1062" s="92"/>
      <c r="CD1062" s="92"/>
      <c r="CE1062" s="92"/>
      <c r="CF1062" s="92"/>
      <c r="CG1062" s="92"/>
      <c r="CH1062" s="92"/>
      <c r="CI1062" s="92"/>
      <c r="CJ1062" s="92"/>
      <c r="CK1062" s="92"/>
      <c r="CL1062" s="92"/>
      <c r="CM1062" s="92"/>
      <c r="CN1062" s="92"/>
      <c r="CO1062" s="92"/>
      <c r="CP1062" s="92"/>
      <c r="CQ1062" s="92"/>
      <c r="CR1062" s="92"/>
      <c r="CS1062" s="92"/>
      <c r="CT1062" s="92"/>
      <c r="CU1062" s="92"/>
      <c r="CV1062" s="92"/>
      <c r="CW1062" s="92"/>
      <c r="CX1062" s="85"/>
      <c r="CY1062" s="85"/>
      <c r="CZ1062" s="85"/>
      <c r="DA1062" s="85"/>
      <c r="DB1062" s="85"/>
      <c r="DC1062" s="85"/>
      <c r="DD1062" s="85"/>
      <c r="DE1062" s="85"/>
      <c r="DF1062" s="85"/>
      <c r="DG1062" s="85"/>
      <c r="DH1062" s="85"/>
      <c r="DI1062" s="85"/>
      <c r="DJ1062" s="85"/>
      <c r="DK1062" s="85"/>
      <c r="DL1062" s="85"/>
      <c r="DM1062" s="85"/>
      <c r="DN1062" s="85"/>
      <c r="DO1062" s="85"/>
      <c r="DP1062" s="85"/>
    </row>
    <row r="1063">
      <c r="A1063" s="91"/>
      <c r="B1063" s="91"/>
      <c r="C1063" s="91"/>
      <c r="D1063" s="91"/>
      <c r="E1063" s="78"/>
      <c r="F1063" s="15"/>
      <c r="G1063" s="15"/>
      <c r="H1063" s="91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  <c r="Z1063" s="15"/>
      <c r="AA1063" s="15"/>
      <c r="AB1063" s="15"/>
      <c r="AC1063" s="15"/>
      <c r="AD1063" s="15"/>
      <c r="AE1063" s="15"/>
      <c r="AF1063" s="15"/>
      <c r="AG1063" s="15"/>
      <c r="AH1063" s="15"/>
      <c r="AI1063" s="15"/>
      <c r="AJ1063" s="15"/>
      <c r="AK1063" s="15"/>
      <c r="AL1063" s="15"/>
      <c r="AM1063" s="15"/>
      <c r="AN1063" s="15"/>
      <c r="AO1063" s="15"/>
      <c r="AP1063" s="15"/>
      <c r="AQ1063" s="15"/>
      <c r="AR1063" s="15"/>
      <c r="AS1063" s="15"/>
      <c r="AT1063" s="15"/>
      <c r="AU1063" s="15"/>
      <c r="AV1063" s="15"/>
      <c r="AW1063" s="15"/>
      <c r="AX1063" s="15"/>
      <c r="AY1063" s="15"/>
      <c r="AZ1063" s="15"/>
      <c r="BA1063" s="15"/>
      <c r="BB1063" s="15"/>
      <c r="BC1063" s="15"/>
      <c r="BD1063" s="15"/>
      <c r="BE1063" s="15"/>
      <c r="BF1063" s="15"/>
      <c r="BG1063" s="15"/>
      <c r="BH1063" s="15"/>
      <c r="BI1063" s="15"/>
      <c r="BJ1063" s="15"/>
      <c r="BK1063" s="15"/>
      <c r="BL1063" s="15"/>
      <c r="BM1063" s="15"/>
      <c r="BN1063" s="92"/>
      <c r="BO1063" s="92"/>
      <c r="BP1063" s="92"/>
      <c r="BQ1063" s="92"/>
      <c r="BR1063" s="92"/>
      <c r="BS1063" s="92"/>
      <c r="BT1063" s="92"/>
      <c r="BU1063" s="92"/>
      <c r="BV1063" s="92"/>
      <c r="BW1063" s="92"/>
      <c r="BX1063" s="92"/>
      <c r="BY1063" s="92"/>
      <c r="BZ1063" s="92"/>
      <c r="CA1063" s="92"/>
      <c r="CB1063" s="92"/>
      <c r="CC1063" s="92"/>
      <c r="CD1063" s="92"/>
      <c r="CE1063" s="92"/>
      <c r="CF1063" s="92"/>
      <c r="CG1063" s="92"/>
      <c r="CH1063" s="92"/>
      <c r="CI1063" s="92"/>
      <c r="CJ1063" s="92"/>
      <c r="CK1063" s="92"/>
      <c r="CL1063" s="92"/>
      <c r="CM1063" s="92"/>
      <c r="CN1063" s="92"/>
      <c r="CO1063" s="92"/>
      <c r="CP1063" s="92"/>
      <c r="CQ1063" s="92"/>
      <c r="CR1063" s="92"/>
      <c r="CS1063" s="92"/>
      <c r="CT1063" s="92"/>
      <c r="CU1063" s="92"/>
      <c r="CV1063" s="92"/>
      <c r="CW1063" s="92"/>
      <c r="CX1063" s="85"/>
      <c r="CY1063" s="85"/>
      <c r="CZ1063" s="85"/>
      <c r="DA1063" s="85"/>
      <c r="DB1063" s="85"/>
      <c r="DC1063" s="85"/>
      <c r="DD1063" s="85"/>
      <c r="DE1063" s="85"/>
      <c r="DF1063" s="85"/>
      <c r="DG1063" s="85"/>
      <c r="DH1063" s="85"/>
      <c r="DI1063" s="85"/>
      <c r="DJ1063" s="85"/>
      <c r="DK1063" s="85"/>
      <c r="DL1063" s="85"/>
      <c r="DM1063" s="85"/>
      <c r="DN1063" s="85"/>
      <c r="DO1063" s="85"/>
      <c r="DP1063" s="85"/>
    </row>
    <row r="1064">
      <c r="A1064" s="91"/>
      <c r="B1064" s="91"/>
      <c r="C1064" s="91"/>
      <c r="D1064" s="91"/>
      <c r="E1064" s="78"/>
      <c r="F1064" s="15"/>
      <c r="G1064" s="15"/>
      <c r="H1064" s="91"/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  <c r="Z1064" s="15"/>
      <c r="AA1064" s="15"/>
      <c r="AB1064" s="15"/>
      <c r="AC1064" s="15"/>
      <c r="AD1064" s="15"/>
      <c r="AE1064" s="15"/>
      <c r="AF1064" s="15"/>
      <c r="AG1064" s="15"/>
      <c r="AH1064" s="15"/>
      <c r="AI1064" s="15"/>
      <c r="AJ1064" s="15"/>
      <c r="AK1064" s="15"/>
      <c r="AL1064" s="15"/>
      <c r="AM1064" s="15"/>
      <c r="AN1064" s="15"/>
      <c r="AO1064" s="15"/>
      <c r="AP1064" s="15"/>
      <c r="AQ1064" s="15"/>
      <c r="AR1064" s="15"/>
      <c r="AS1064" s="15"/>
      <c r="AT1064" s="15"/>
      <c r="AU1064" s="15"/>
      <c r="AV1064" s="15"/>
      <c r="AW1064" s="15"/>
      <c r="AX1064" s="15"/>
      <c r="AY1064" s="15"/>
      <c r="AZ1064" s="15"/>
      <c r="BA1064" s="15"/>
      <c r="BB1064" s="15"/>
      <c r="BC1064" s="15"/>
      <c r="BD1064" s="15"/>
      <c r="BE1064" s="15"/>
      <c r="BF1064" s="15"/>
      <c r="BG1064" s="15"/>
      <c r="BH1064" s="15"/>
      <c r="BI1064" s="15"/>
      <c r="BJ1064" s="15"/>
      <c r="BK1064" s="15"/>
      <c r="BL1064" s="15"/>
      <c r="BM1064" s="15"/>
      <c r="BN1064" s="92"/>
      <c r="BO1064" s="92"/>
      <c r="BP1064" s="92"/>
      <c r="BQ1064" s="92"/>
      <c r="BR1064" s="92"/>
      <c r="BS1064" s="92"/>
      <c r="BT1064" s="92"/>
      <c r="BU1064" s="92"/>
      <c r="BV1064" s="92"/>
      <c r="BW1064" s="92"/>
      <c r="BX1064" s="92"/>
      <c r="BY1064" s="92"/>
      <c r="BZ1064" s="92"/>
      <c r="CA1064" s="92"/>
      <c r="CB1064" s="92"/>
      <c r="CC1064" s="92"/>
      <c r="CD1064" s="92"/>
      <c r="CE1064" s="92"/>
      <c r="CF1064" s="92"/>
      <c r="CG1064" s="92"/>
      <c r="CH1064" s="92"/>
      <c r="CI1064" s="92"/>
      <c r="CJ1064" s="92"/>
      <c r="CK1064" s="92"/>
      <c r="CL1064" s="92"/>
      <c r="CM1064" s="92"/>
      <c r="CN1064" s="92"/>
      <c r="CO1064" s="92"/>
      <c r="CP1064" s="92"/>
      <c r="CQ1064" s="92"/>
      <c r="CR1064" s="92"/>
      <c r="CS1064" s="92"/>
      <c r="CT1064" s="92"/>
      <c r="CU1064" s="92"/>
      <c r="CV1064" s="92"/>
      <c r="CW1064" s="92"/>
      <c r="CX1064" s="85"/>
      <c r="CY1064" s="85"/>
      <c r="CZ1064" s="85"/>
      <c r="DA1064" s="85"/>
      <c r="DB1064" s="85"/>
      <c r="DC1064" s="85"/>
      <c r="DD1064" s="85"/>
      <c r="DE1064" s="85"/>
      <c r="DF1064" s="85"/>
      <c r="DG1064" s="85"/>
      <c r="DH1064" s="85"/>
      <c r="DI1064" s="85"/>
      <c r="DJ1064" s="85"/>
      <c r="DK1064" s="85"/>
      <c r="DL1064" s="85"/>
      <c r="DM1064" s="85"/>
      <c r="DN1064" s="85"/>
      <c r="DO1064" s="85"/>
      <c r="DP1064" s="85"/>
    </row>
    <row r="1065">
      <c r="A1065" s="91"/>
      <c r="B1065" s="91"/>
      <c r="C1065" s="91"/>
      <c r="D1065" s="91"/>
      <c r="E1065" s="78"/>
      <c r="F1065" s="15"/>
      <c r="G1065" s="15"/>
      <c r="H1065" s="91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  <c r="Z1065" s="15"/>
      <c r="AA1065" s="15"/>
      <c r="AB1065" s="15"/>
      <c r="AC1065" s="15"/>
      <c r="AD1065" s="15"/>
      <c r="AE1065" s="15"/>
      <c r="AF1065" s="15"/>
      <c r="AG1065" s="15"/>
      <c r="AH1065" s="15"/>
      <c r="AI1065" s="15"/>
      <c r="AJ1065" s="15"/>
      <c r="AK1065" s="15"/>
      <c r="AL1065" s="15"/>
      <c r="AM1065" s="15"/>
      <c r="AN1065" s="15"/>
      <c r="AO1065" s="15"/>
      <c r="AP1065" s="15"/>
      <c r="AQ1065" s="15"/>
      <c r="AR1065" s="15"/>
      <c r="AS1065" s="15"/>
      <c r="AT1065" s="15"/>
      <c r="AU1065" s="15"/>
      <c r="AV1065" s="15"/>
      <c r="AW1065" s="15"/>
      <c r="AX1065" s="15"/>
      <c r="AY1065" s="15"/>
      <c r="AZ1065" s="15"/>
      <c r="BA1065" s="15"/>
      <c r="BB1065" s="15"/>
      <c r="BC1065" s="15"/>
      <c r="BD1065" s="15"/>
      <c r="BE1065" s="15"/>
      <c r="BF1065" s="15"/>
      <c r="BG1065" s="15"/>
      <c r="BH1065" s="15"/>
      <c r="BI1065" s="15"/>
      <c r="BJ1065" s="15"/>
      <c r="BK1065" s="15"/>
      <c r="BL1065" s="15"/>
      <c r="BM1065" s="15"/>
      <c r="BN1065" s="92"/>
      <c r="BO1065" s="92"/>
      <c r="BP1065" s="92"/>
      <c r="BQ1065" s="92"/>
      <c r="BR1065" s="92"/>
      <c r="BS1065" s="92"/>
      <c r="BT1065" s="92"/>
      <c r="BU1065" s="92"/>
      <c r="BV1065" s="92"/>
      <c r="BW1065" s="92"/>
      <c r="BX1065" s="92"/>
      <c r="BY1065" s="92"/>
      <c r="BZ1065" s="92"/>
      <c r="CA1065" s="92"/>
      <c r="CB1065" s="92"/>
      <c r="CC1065" s="92"/>
      <c r="CD1065" s="92"/>
      <c r="CE1065" s="92"/>
      <c r="CF1065" s="92"/>
      <c r="CG1065" s="92"/>
      <c r="CH1065" s="92"/>
      <c r="CI1065" s="92"/>
      <c r="CJ1065" s="92"/>
      <c r="CK1065" s="92"/>
      <c r="CL1065" s="92"/>
      <c r="CM1065" s="92"/>
      <c r="CN1065" s="92"/>
      <c r="CO1065" s="92"/>
      <c r="CP1065" s="92"/>
      <c r="CQ1065" s="92"/>
      <c r="CR1065" s="92"/>
      <c r="CS1065" s="92"/>
      <c r="CT1065" s="92"/>
      <c r="CU1065" s="92"/>
      <c r="CV1065" s="92"/>
      <c r="CW1065" s="92"/>
      <c r="CX1065" s="85"/>
      <c r="CY1065" s="85"/>
      <c r="CZ1065" s="85"/>
      <c r="DA1065" s="85"/>
      <c r="DB1065" s="85"/>
      <c r="DC1065" s="85"/>
      <c r="DD1065" s="85"/>
      <c r="DE1065" s="85"/>
      <c r="DF1065" s="85"/>
      <c r="DG1065" s="85"/>
      <c r="DH1065" s="85"/>
      <c r="DI1065" s="85"/>
      <c r="DJ1065" s="85"/>
      <c r="DK1065" s="85"/>
      <c r="DL1065" s="85"/>
      <c r="DM1065" s="85"/>
      <c r="DN1065" s="85"/>
      <c r="DO1065" s="85"/>
      <c r="DP1065" s="85"/>
    </row>
    <row r="1066">
      <c r="A1066" s="91"/>
      <c r="B1066" s="91"/>
      <c r="C1066" s="91"/>
      <c r="D1066" s="91"/>
      <c r="E1066" s="78"/>
      <c r="F1066" s="15"/>
      <c r="G1066" s="15"/>
      <c r="H1066" s="91"/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15"/>
      <c r="Z1066" s="15"/>
      <c r="AA1066" s="15"/>
      <c r="AB1066" s="15"/>
      <c r="AC1066" s="15"/>
      <c r="AD1066" s="15"/>
      <c r="AE1066" s="15"/>
      <c r="AF1066" s="15"/>
      <c r="AG1066" s="15"/>
      <c r="AH1066" s="15"/>
      <c r="AI1066" s="15"/>
      <c r="AJ1066" s="15"/>
      <c r="AK1066" s="15"/>
      <c r="AL1066" s="15"/>
      <c r="AM1066" s="15"/>
      <c r="AN1066" s="15"/>
      <c r="AO1066" s="15"/>
      <c r="AP1066" s="15"/>
      <c r="AQ1066" s="15"/>
      <c r="AR1066" s="15"/>
      <c r="AS1066" s="15"/>
      <c r="AT1066" s="15"/>
      <c r="AU1066" s="15"/>
      <c r="AV1066" s="15"/>
      <c r="AW1066" s="15"/>
      <c r="AX1066" s="15"/>
      <c r="AY1066" s="15"/>
      <c r="AZ1066" s="15"/>
      <c r="BA1066" s="15"/>
      <c r="BB1066" s="15"/>
      <c r="BC1066" s="15"/>
      <c r="BD1066" s="15"/>
      <c r="BE1066" s="15"/>
      <c r="BF1066" s="15"/>
      <c r="BG1066" s="15"/>
      <c r="BH1066" s="15"/>
      <c r="BI1066" s="15"/>
      <c r="BJ1066" s="15"/>
      <c r="BK1066" s="15"/>
      <c r="BL1066" s="15"/>
      <c r="BM1066" s="15"/>
      <c r="BN1066" s="92"/>
      <c r="BO1066" s="92"/>
      <c r="BP1066" s="92"/>
      <c r="BQ1066" s="92"/>
      <c r="BR1066" s="92"/>
      <c r="BS1066" s="92"/>
      <c r="BT1066" s="92"/>
      <c r="BU1066" s="92"/>
      <c r="BV1066" s="92"/>
      <c r="BW1066" s="92"/>
      <c r="BX1066" s="92"/>
      <c r="BY1066" s="92"/>
      <c r="BZ1066" s="92"/>
      <c r="CA1066" s="92"/>
      <c r="CB1066" s="92"/>
      <c r="CC1066" s="92"/>
      <c r="CD1066" s="92"/>
      <c r="CE1066" s="92"/>
      <c r="CF1066" s="92"/>
      <c r="CG1066" s="92"/>
      <c r="CH1066" s="92"/>
      <c r="CI1066" s="92"/>
      <c r="CJ1066" s="92"/>
      <c r="CK1066" s="92"/>
      <c r="CL1066" s="92"/>
      <c r="CM1066" s="92"/>
      <c r="CN1066" s="92"/>
      <c r="CO1066" s="92"/>
      <c r="CP1066" s="92"/>
      <c r="CQ1066" s="92"/>
      <c r="CR1066" s="92"/>
      <c r="CS1066" s="92"/>
      <c r="CT1066" s="92"/>
      <c r="CU1066" s="92"/>
      <c r="CV1066" s="92"/>
      <c r="CW1066" s="92"/>
      <c r="CX1066" s="85"/>
      <c r="CY1066" s="85"/>
      <c r="CZ1066" s="85"/>
      <c r="DA1066" s="85"/>
      <c r="DB1066" s="85"/>
      <c r="DC1066" s="85"/>
      <c r="DD1066" s="85"/>
      <c r="DE1066" s="85"/>
      <c r="DF1066" s="85"/>
      <c r="DG1066" s="85"/>
      <c r="DH1066" s="85"/>
      <c r="DI1066" s="85"/>
      <c r="DJ1066" s="85"/>
      <c r="DK1066" s="85"/>
      <c r="DL1066" s="85"/>
      <c r="DM1066" s="85"/>
      <c r="DN1066" s="85"/>
      <c r="DO1066" s="85"/>
      <c r="DP1066" s="85"/>
    </row>
    <row r="1067">
      <c r="A1067" s="91"/>
      <c r="B1067" s="91"/>
      <c r="C1067" s="91"/>
      <c r="D1067" s="91"/>
      <c r="E1067" s="78"/>
      <c r="F1067" s="15"/>
      <c r="G1067" s="15"/>
      <c r="H1067" s="91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  <c r="AA1067" s="15"/>
      <c r="AB1067" s="15"/>
      <c r="AC1067" s="15"/>
      <c r="AD1067" s="15"/>
      <c r="AE1067" s="15"/>
      <c r="AF1067" s="15"/>
      <c r="AG1067" s="15"/>
      <c r="AH1067" s="15"/>
      <c r="AI1067" s="15"/>
      <c r="AJ1067" s="15"/>
      <c r="AK1067" s="15"/>
      <c r="AL1067" s="15"/>
      <c r="AM1067" s="15"/>
      <c r="AN1067" s="15"/>
      <c r="AO1067" s="15"/>
      <c r="AP1067" s="15"/>
      <c r="AQ1067" s="15"/>
      <c r="AR1067" s="15"/>
      <c r="AS1067" s="15"/>
      <c r="AT1067" s="15"/>
      <c r="AU1067" s="15"/>
      <c r="AV1067" s="15"/>
      <c r="AW1067" s="15"/>
      <c r="AX1067" s="15"/>
      <c r="AY1067" s="15"/>
      <c r="AZ1067" s="15"/>
      <c r="BA1067" s="15"/>
      <c r="BB1067" s="15"/>
      <c r="BC1067" s="15"/>
      <c r="BD1067" s="15"/>
      <c r="BE1067" s="15"/>
      <c r="BF1067" s="15"/>
      <c r="BG1067" s="15"/>
      <c r="BH1067" s="15"/>
      <c r="BI1067" s="15"/>
      <c r="BJ1067" s="15"/>
      <c r="BK1067" s="15"/>
      <c r="BL1067" s="15"/>
      <c r="BM1067" s="15"/>
      <c r="BN1067" s="92"/>
      <c r="BO1067" s="92"/>
      <c r="BP1067" s="92"/>
      <c r="BQ1067" s="92"/>
      <c r="BR1067" s="92"/>
      <c r="BS1067" s="92"/>
      <c r="BT1067" s="92"/>
      <c r="BU1067" s="92"/>
      <c r="BV1067" s="92"/>
      <c r="BW1067" s="92"/>
      <c r="BX1067" s="92"/>
      <c r="BY1067" s="92"/>
      <c r="BZ1067" s="92"/>
      <c r="CA1067" s="92"/>
      <c r="CB1067" s="92"/>
      <c r="CC1067" s="92"/>
      <c r="CD1067" s="92"/>
      <c r="CE1067" s="92"/>
      <c r="CF1067" s="92"/>
      <c r="CG1067" s="92"/>
      <c r="CH1067" s="92"/>
      <c r="CI1067" s="92"/>
      <c r="CJ1067" s="92"/>
      <c r="CK1067" s="92"/>
      <c r="CL1067" s="92"/>
      <c r="CM1067" s="92"/>
      <c r="CN1067" s="92"/>
      <c r="CO1067" s="92"/>
      <c r="CP1067" s="92"/>
      <c r="CQ1067" s="92"/>
      <c r="CR1067" s="92"/>
      <c r="CS1067" s="92"/>
      <c r="CT1067" s="92"/>
      <c r="CU1067" s="92"/>
      <c r="CV1067" s="92"/>
      <c r="CW1067" s="92"/>
      <c r="CX1067" s="85"/>
      <c r="CY1067" s="85"/>
      <c r="CZ1067" s="85"/>
      <c r="DA1067" s="85"/>
      <c r="DB1067" s="85"/>
      <c r="DC1067" s="85"/>
      <c r="DD1067" s="85"/>
      <c r="DE1067" s="85"/>
      <c r="DF1067" s="85"/>
      <c r="DG1067" s="85"/>
      <c r="DH1067" s="85"/>
      <c r="DI1067" s="85"/>
      <c r="DJ1067" s="85"/>
      <c r="DK1067" s="85"/>
      <c r="DL1067" s="85"/>
      <c r="DM1067" s="85"/>
      <c r="DN1067" s="85"/>
      <c r="DO1067" s="85"/>
      <c r="DP1067" s="85"/>
    </row>
    <row r="1068">
      <c r="A1068" s="91"/>
      <c r="B1068" s="91"/>
      <c r="C1068" s="91"/>
      <c r="D1068" s="91"/>
      <c r="E1068" s="78"/>
      <c r="F1068" s="15"/>
      <c r="G1068" s="15"/>
      <c r="H1068" s="91"/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15"/>
      <c r="Z1068" s="15"/>
      <c r="AA1068" s="15"/>
      <c r="AB1068" s="15"/>
      <c r="AC1068" s="15"/>
      <c r="AD1068" s="15"/>
      <c r="AE1068" s="15"/>
      <c r="AF1068" s="15"/>
      <c r="AG1068" s="15"/>
      <c r="AH1068" s="15"/>
      <c r="AI1068" s="15"/>
      <c r="AJ1068" s="15"/>
      <c r="AK1068" s="15"/>
      <c r="AL1068" s="15"/>
      <c r="AM1068" s="15"/>
      <c r="AN1068" s="15"/>
      <c r="AO1068" s="15"/>
      <c r="AP1068" s="15"/>
      <c r="AQ1068" s="15"/>
      <c r="AR1068" s="15"/>
      <c r="AS1068" s="15"/>
      <c r="AT1068" s="15"/>
      <c r="AU1068" s="15"/>
      <c r="AV1068" s="15"/>
      <c r="AW1068" s="15"/>
      <c r="AX1068" s="15"/>
      <c r="AY1068" s="15"/>
      <c r="AZ1068" s="15"/>
      <c r="BA1068" s="15"/>
      <c r="BB1068" s="15"/>
      <c r="BC1068" s="15"/>
      <c r="BD1068" s="15"/>
      <c r="BE1068" s="15"/>
      <c r="BF1068" s="15"/>
      <c r="BG1068" s="15"/>
      <c r="BH1068" s="15"/>
      <c r="BI1068" s="15"/>
      <c r="BJ1068" s="15"/>
      <c r="BK1068" s="15"/>
      <c r="BL1068" s="15"/>
      <c r="BM1068" s="15"/>
      <c r="BN1068" s="92"/>
      <c r="BO1068" s="92"/>
      <c r="BP1068" s="92"/>
      <c r="BQ1068" s="92"/>
      <c r="BR1068" s="92"/>
      <c r="BS1068" s="92"/>
      <c r="BT1068" s="92"/>
      <c r="BU1068" s="92"/>
      <c r="BV1068" s="92"/>
      <c r="BW1068" s="92"/>
      <c r="BX1068" s="92"/>
      <c r="BY1068" s="92"/>
      <c r="BZ1068" s="92"/>
      <c r="CA1068" s="92"/>
      <c r="CB1068" s="92"/>
      <c r="CC1068" s="92"/>
      <c r="CD1068" s="92"/>
      <c r="CE1068" s="92"/>
      <c r="CF1068" s="92"/>
      <c r="CG1068" s="92"/>
      <c r="CH1068" s="92"/>
      <c r="CI1068" s="92"/>
      <c r="CJ1068" s="92"/>
      <c r="CK1068" s="92"/>
      <c r="CL1068" s="92"/>
      <c r="CM1068" s="92"/>
      <c r="CN1068" s="92"/>
      <c r="CO1068" s="92"/>
      <c r="CP1068" s="92"/>
      <c r="CQ1068" s="92"/>
      <c r="CR1068" s="92"/>
      <c r="CS1068" s="92"/>
      <c r="CT1068" s="92"/>
      <c r="CU1068" s="92"/>
      <c r="CV1068" s="92"/>
      <c r="CW1068" s="92"/>
      <c r="CX1068" s="85"/>
      <c r="CY1068" s="85"/>
      <c r="CZ1068" s="85"/>
      <c r="DA1068" s="85"/>
      <c r="DB1068" s="85"/>
      <c r="DC1068" s="85"/>
      <c r="DD1068" s="85"/>
      <c r="DE1068" s="85"/>
      <c r="DF1068" s="85"/>
      <c r="DG1068" s="85"/>
      <c r="DH1068" s="85"/>
      <c r="DI1068" s="85"/>
      <c r="DJ1068" s="85"/>
      <c r="DK1068" s="85"/>
      <c r="DL1068" s="85"/>
      <c r="DM1068" s="85"/>
      <c r="DN1068" s="85"/>
      <c r="DO1068" s="85"/>
      <c r="DP1068" s="85"/>
    </row>
    <row r="1069">
      <c r="A1069" s="91"/>
      <c r="B1069" s="91"/>
      <c r="C1069" s="91"/>
      <c r="D1069" s="91"/>
      <c r="E1069" s="78"/>
      <c r="F1069" s="15"/>
      <c r="G1069" s="15"/>
      <c r="H1069" s="91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  <c r="AA1069" s="15"/>
      <c r="AB1069" s="15"/>
      <c r="AC1069" s="15"/>
      <c r="AD1069" s="15"/>
      <c r="AE1069" s="15"/>
      <c r="AF1069" s="15"/>
      <c r="AG1069" s="15"/>
      <c r="AH1069" s="15"/>
      <c r="AI1069" s="15"/>
      <c r="AJ1069" s="15"/>
      <c r="AK1069" s="15"/>
      <c r="AL1069" s="15"/>
      <c r="AM1069" s="15"/>
      <c r="AN1069" s="15"/>
      <c r="AO1069" s="15"/>
      <c r="AP1069" s="15"/>
      <c r="AQ1069" s="15"/>
      <c r="AR1069" s="15"/>
      <c r="AS1069" s="15"/>
      <c r="AT1069" s="15"/>
      <c r="AU1069" s="15"/>
      <c r="AV1069" s="15"/>
      <c r="AW1069" s="15"/>
      <c r="AX1069" s="15"/>
      <c r="AY1069" s="15"/>
      <c r="AZ1069" s="15"/>
      <c r="BA1069" s="15"/>
      <c r="BB1069" s="15"/>
      <c r="BC1069" s="15"/>
      <c r="BD1069" s="15"/>
      <c r="BE1069" s="15"/>
      <c r="BF1069" s="15"/>
      <c r="BG1069" s="15"/>
      <c r="BH1069" s="15"/>
      <c r="BI1069" s="15"/>
      <c r="BJ1069" s="15"/>
      <c r="BK1069" s="15"/>
      <c r="BL1069" s="15"/>
      <c r="BM1069" s="15"/>
      <c r="BN1069" s="92"/>
      <c r="BO1069" s="92"/>
      <c r="BP1069" s="92"/>
      <c r="BQ1069" s="92"/>
      <c r="BR1069" s="92"/>
      <c r="BS1069" s="92"/>
      <c r="BT1069" s="92"/>
      <c r="BU1069" s="92"/>
      <c r="BV1069" s="92"/>
      <c r="BW1069" s="92"/>
      <c r="BX1069" s="92"/>
      <c r="BY1069" s="92"/>
      <c r="BZ1069" s="92"/>
      <c r="CA1069" s="92"/>
      <c r="CB1069" s="92"/>
      <c r="CC1069" s="92"/>
      <c r="CD1069" s="92"/>
      <c r="CE1069" s="92"/>
      <c r="CF1069" s="92"/>
      <c r="CG1069" s="92"/>
      <c r="CH1069" s="92"/>
      <c r="CI1069" s="92"/>
      <c r="CJ1069" s="92"/>
      <c r="CK1069" s="92"/>
      <c r="CL1069" s="92"/>
      <c r="CM1069" s="92"/>
      <c r="CN1069" s="92"/>
      <c r="CO1069" s="92"/>
      <c r="CP1069" s="92"/>
      <c r="CQ1069" s="92"/>
      <c r="CR1069" s="92"/>
      <c r="CS1069" s="92"/>
      <c r="CT1069" s="92"/>
      <c r="CU1069" s="92"/>
      <c r="CV1069" s="92"/>
      <c r="CW1069" s="92"/>
      <c r="CX1069" s="85"/>
      <c r="CY1069" s="85"/>
      <c r="CZ1069" s="85"/>
      <c r="DA1069" s="85"/>
      <c r="DB1069" s="85"/>
      <c r="DC1069" s="85"/>
      <c r="DD1069" s="85"/>
      <c r="DE1069" s="85"/>
      <c r="DF1069" s="85"/>
      <c r="DG1069" s="85"/>
      <c r="DH1069" s="85"/>
      <c r="DI1069" s="85"/>
      <c r="DJ1069" s="85"/>
      <c r="DK1069" s="85"/>
      <c r="DL1069" s="85"/>
      <c r="DM1069" s="85"/>
      <c r="DN1069" s="85"/>
      <c r="DO1069" s="85"/>
      <c r="DP1069" s="85"/>
    </row>
    <row r="1070">
      <c r="A1070" s="91"/>
      <c r="B1070" s="91"/>
      <c r="C1070" s="91"/>
      <c r="D1070" s="91"/>
      <c r="E1070" s="78"/>
      <c r="F1070" s="15"/>
      <c r="G1070" s="15"/>
      <c r="H1070" s="91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  <c r="Z1070" s="15"/>
      <c r="AA1070" s="15"/>
      <c r="AB1070" s="15"/>
      <c r="AC1070" s="15"/>
      <c r="AD1070" s="15"/>
      <c r="AE1070" s="15"/>
      <c r="AF1070" s="15"/>
      <c r="AG1070" s="15"/>
      <c r="AH1070" s="15"/>
      <c r="AI1070" s="15"/>
      <c r="AJ1070" s="15"/>
      <c r="AK1070" s="15"/>
      <c r="AL1070" s="15"/>
      <c r="AM1070" s="15"/>
      <c r="AN1070" s="15"/>
      <c r="AO1070" s="15"/>
      <c r="AP1070" s="15"/>
      <c r="AQ1070" s="15"/>
      <c r="AR1070" s="15"/>
      <c r="AS1070" s="15"/>
      <c r="AT1070" s="15"/>
      <c r="AU1070" s="15"/>
      <c r="AV1070" s="15"/>
      <c r="AW1070" s="15"/>
      <c r="AX1070" s="15"/>
      <c r="AY1070" s="15"/>
      <c r="AZ1070" s="15"/>
      <c r="BA1070" s="15"/>
      <c r="BB1070" s="15"/>
      <c r="BC1070" s="15"/>
      <c r="BD1070" s="15"/>
      <c r="BE1070" s="15"/>
      <c r="BF1070" s="15"/>
      <c r="BG1070" s="15"/>
      <c r="BH1070" s="15"/>
      <c r="BI1070" s="15"/>
      <c r="BJ1070" s="15"/>
      <c r="BK1070" s="15"/>
      <c r="BL1070" s="15"/>
      <c r="BM1070" s="15"/>
      <c r="BN1070" s="92"/>
      <c r="BO1070" s="92"/>
      <c r="BP1070" s="92"/>
      <c r="BQ1070" s="92"/>
      <c r="BR1070" s="92"/>
      <c r="BS1070" s="92"/>
      <c r="BT1070" s="92"/>
      <c r="BU1070" s="92"/>
      <c r="BV1070" s="92"/>
      <c r="BW1070" s="92"/>
      <c r="BX1070" s="92"/>
      <c r="BY1070" s="92"/>
      <c r="BZ1070" s="92"/>
      <c r="CA1070" s="92"/>
      <c r="CB1070" s="92"/>
      <c r="CC1070" s="92"/>
      <c r="CD1070" s="92"/>
      <c r="CE1070" s="92"/>
      <c r="CF1070" s="92"/>
      <c r="CG1070" s="92"/>
      <c r="CH1070" s="92"/>
      <c r="CI1070" s="92"/>
      <c r="CJ1070" s="92"/>
      <c r="CK1070" s="92"/>
      <c r="CL1070" s="92"/>
      <c r="CM1070" s="92"/>
      <c r="CN1070" s="92"/>
      <c r="CO1070" s="92"/>
      <c r="CP1070" s="92"/>
      <c r="CQ1070" s="92"/>
      <c r="CR1070" s="92"/>
      <c r="CS1070" s="92"/>
      <c r="CT1070" s="92"/>
      <c r="CU1070" s="92"/>
      <c r="CV1070" s="92"/>
      <c r="CW1070" s="92"/>
      <c r="CX1070" s="85"/>
      <c r="CY1070" s="85"/>
      <c r="CZ1070" s="85"/>
      <c r="DA1070" s="85"/>
      <c r="DB1070" s="85"/>
      <c r="DC1070" s="85"/>
      <c r="DD1070" s="85"/>
      <c r="DE1070" s="85"/>
      <c r="DF1070" s="85"/>
      <c r="DG1070" s="85"/>
      <c r="DH1070" s="85"/>
      <c r="DI1070" s="85"/>
      <c r="DJ1070" s="85"/>
      <c r="DK1070" s="85"/>
      <c r="DL1070" s="85"/>
      <c r="DM1070" s="85"/>
      <c r="DN1070" s="85"/>
      <c r="DO1070" s="85"/>
      <c r="DP1070" s="85"/>
    </row>
    <row r="1071">
      <c r="A1071" s="91"/>
      <c r="B1071" s="91"/>
      <c r="C1071" s="91"/>
      <c r="D1071" s="91"/>
      <c r="E1071" s="78"/>
      <c r="F1071" s="15"/>
      <c r="G1071" s="15"/>
      <c r="H1071" s="91"/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  <c r="Z1071" s="15"/>
      <c r="AA1071" s="15"/>
      <c r="AB1071" s="15"/>
      <c r="AC1071" s="15"/>
      <c r="AD1071" s="15"/>
      <c r="AE1071" s="15"/>
      <c r="AF1071" s="15"/>
      <c r="AG1071" s="15"/>
      <c r="AH1071" s="15"/>
      <c r="AI1071" s="15"/>
      <c r="AJ1071" s="15"/>
      <c r="AK1071" s="15"/>
      <c r="AL1071" s="15"/>
      <c r="AM1071" s="15"/>
      <c r="AN1071" s="15"/>
      <c r="AO1071" s="15"/>
      <c r="AP1071" s="15"/>
      <c r="AQ1071" s="15"/>
      <c r="AR1071" s="15"/>
      <c r="AS1071" s="15"/>
      <c r="AT1071" s="15"/>
      <c r="AU1071" s="15"/>
      <c r="AV1071" s="15"/>
      <c r="AW1071" s="15"/>
      <c r="AX1071" s="15"/>
      <c r="AY1071" s="15"/>
      <c r="AZ1071" s="15"/>
      <c r="BA1071" s="15"/>
      <c r="BB1071" s="15"/>
      <c r="BC1071" s="15"/>
      <c r="BD1071" s="15"/>
      <c r="BE1071" s="15"/>
      <c r="BF1071" s="15"/>
      <c r="BG1071" s="15"/>
      <c r="BH1071" s="15"/>
      <c r="BI1071" s="15"/>
      <c r="BJ1071" s="15"/>
      <c r="BK1071" s="15"/>
      <c r="BL1071" s="15"/>
      <c r="BM1071" s="15"/>
      <c r="BN1071" s="92"/>
      <c r="BO1071" s="92"/>
      <c r="BP1071" s="92"/>
      <c r="BQ1071" s="92"/>
      <c r="BR1071" s="92"/>
      <c r="BS1071" s="92"/>
      <c r="BT1071" s="92"/>
      <c r="BU1071" s="92"/>
      <c r="BV1071" s="92"/>
      <c r="BW1071" s="92"/>
      <c r="BX1071" s="92"/>
      <c r="BY1071" s="92"/>
      <c r="BZ1071" s="92"/>
      <c r="CA1071" s="92"/>
      <c r="CB1071" s="92"/>
      <c r="CC1071" s="92"/>
      <c r="CD1071" s="92"/>
      <c r="CE1071" s="92"/>
      <c r="CF1071" s="92"/>
      <c r="CG1071" s="92"/>
      <c r="CH1071" s="92"/>
      <c r="CI1071" s="92"/>
      <c r="CJ1071" s="92"/>
      <c r="CK1071" s="92"/>
      <c r="CL1071" s="92"/>
      <c r="CM1071" s="92"/>
      <c r="CN1071" s="92"/>
      <c r="CO1071" s="92"/>
      <c r="CP1071" s="92"/>
      <c r="CQ1071" s="92"/>
      <c r="CR1071" s="92"/>
      <c r="CS1071" s="92"/>
      <c r="CT1071" s="92"/>
      <c r="CU1071" s="92"/>
      <c r="CV1071" s="92"/>
      <c r="CW1071" s="92"/>
      <c r="CX1071" s="85"/>
      <c r="CY1071" s="85"/>
      <c r="CZ1071" s="85"/>
      <c r="DA1071" s="85"/>
      <c r="DB1071" s="85"/>
      <c r="DC1071" s="85"/>
      <c r="DD1071" s="85"/>
      <c r="DE1071" s="85"/>
      <c r="DF1071" s="85"/>
      <c r="DG1071" s="85"/>
      <c r="DH1071" s="85"/>
      <c r="DI1071" s="85"/>
      <c r="DJ1071" s="85"/>
      <c r="DK1071" s="85"/>
      <c r="DL1071" s="85"/>
      <c r="DM1071" s="85"/>
      <c r="DN1071" s="85"/>
      <c r="DO1071" s="85"/>
      <c r="DP1071" s="85"/>
    </row>
    <row r="1072">
      <c r="A1072" s="91"/>
      <c r="B1072" s="91"/>
      <c r="C1072" s="91"/>
      <c r="D1072" s="91"/>
      <c r="E1072" s="78"/>
      <c r="F1072" s="15"/>
      <c r="G1072" s="15"/>
      <c r="H1072" s="91"/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  <c r="Y1072" s="15"/>
      <c r="Z1072" s="15"/>
      <c r="AA1072" s="15"/>
      <c r="AB1072" s="15"/>
      <c r="AC1072" s="15"/>
      <c r="AD1072" s="15"/>
      <c r="AE1072" s="15"/>
      <c r="AF1072" s="15"/>
      <c r="AG1072" s="15"/>
      <c r="AH1072" s="15"/>
      <c r="AI1072" s="15"/>
      <c r="AJ1072" s="15"/>
      <c r="AK1072" s="15"/>
      <c r="AL1072" s="15"/>
      <c r="AM1072" s="15"/>
      <c r="AN1072" s="15"/>
      <c r="AO1072" s="15"/>
      <c r="AP1072" s="15"/>
      <c r="AQ1072" s="15"/>
      <c r="AR1072" s="15"/>
      <c r="AS1072" s="15"/>
      <c r="AT1072" s="15"/>
      <c r="AU1072" s="15"/>
      <c r="AV1072" s="15"/>
      <c r="AW1072" s="15"/>
      <c r="AX1072" s="15"/>
      <c r="AY1072" s="15"/>
      <c r="AZ1072" s="15"/>
      <c r="BA1072" s="15"/>
      <c r="BB1072" s="15"/>
      <c r="BC1072" s="15"/>
      <c r="BD1072" s="15"/>
      <c r="BE1072" s="15"/>
      <c r="BF1072" s="15"/>
      <c r="BG1072" s="15"/>
      <c r="BH1072" s="15"/>
      <c r="BI1072" s="15"/>
      <c r="BJ1072" s="15"/>
      <c r="BK1072" s="15"/>
      <c r="BL1072" s="15"/>
      <c r="BM1072" s="15"/>
      <c r="BN1072" s="92"/>
      <c r="BO1072" s="92"/>
      <c r="BP1072" s="92"/>
      <c r="BQ1072" s="92"/>
      <c r="BR1072" s="92"/>
      <c r="BS1072" s="92"/>
      <c r="BT1072" s="92"/>
      <c r="BU1072" s="92"/>
      <c r="BV1072" s="92"/>
      <c r="BW1072" s="92"/>
      <c r="BX1072" s="92"/>
      <c r="BY1072" s="92"/>
      <c r="BZ1072" s="92"/>
      <c r="CA1072" s="92"/>
      <c r="CB1072" s="92"/>
      <c r="CC1072" s="92"/>
      <c r="CD1072" s="92"/>
      <c r="CE1072" s="92"/>
      <c r="CF1072" s="92"/>
      <c r="CG1072" s="92"/>
      <c r="CH1072" s="92"/>
      <c r="CI1072" s="92"/>
      <c r="CJ1072" s="92"/>
      <c r="CK1072" s="92"/>
      <c r="CL1072" s="92"/>
      <c r="CM1072" s="92"/>
      <c r="CN1072" s="92"/>
      <c r="CO1072" s="92"/>
      <c r="CP1072" s="92"/>
      <c r="CQ1072" s="92"/>
      <c r="CR1072" s="92"/>
      <c r="CS1072" s="92"/>
      <c r="CT1072" s="92"/>
      <c r="CU1072" s="92"/>
      <c r="CV1072" s="92"/>
      <c r="CW1072" s="92"/>
      <c r="CX1072" s="85"/>
      <c r="CY1072" s="85"/>
      <c r="CZ1072" s="85"/>
      <c r="DA1072" s="85"/>
      <c r="DB1072" s="85"/>
      <c r="DC1072" s="85"/>
      <c r="DD1072" s="85"/>
      <c r="DE1072" s="85"/>
      <c r="DF1072" s="85"/>
      <c r="DG1072" s="85"/>
      <c r="DH1072" s="85"/>
      <c r="DI1072" s="85"/>
      <c r="DJ1072" s="85"/>
      <c r="DK1072" s="85"/>
      <c r="DL1072" s="85"/>
      <c r="DM1072" s="85"/>
      <c r="DN1072" s="85"/>
      <c r="DO1072" s="85"/>
      <c r="DP1072" s="85"/>
    </row>
    <row r="1073">
      <c r="A1073" s="91"/>
      <c r="B1073" s="91"/>
      <c r="C1073" s="91"/>
      <c r="D1073" s="91"/>
      <c r="E1073" s="78"/>
      <c r="F1073" s="15"/>
      <c r="G1073" s="15"/>
      <c r="H1073" s="91"/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  <c r="Y1073" s="15"/>
      <c r="Z1073" s="15"/>
      <c r="AA1073" s="15"/>
      <c r="AB1073" s="15"/>
      <c r="AC1073" s="15"/>
      <c r="AD1073" s="15"/>
      <c r="AE1073" s="15"/>
      <c r="AF1073" s="15"/>
      <c r="AG1073" s="15"/>
      <c r="AH1073" s="15"/>
      <c r="AI1073" s="15"/>
      <c r="AJ1073" s="15"/>
      <c r="AK1073" s="15"/>
      <c r="AL1073" s="15"/>
      <c r="AM1073" s="15"/>
      <c r="AN1073" s="15"/>
      <c r="AO1073" s="15"/>
      <c r="AP1073" s="15"/>
      <c r="AQ1073" s="15"/>
      <c r="AR1073" s="15"/>
      <c r="AS1073" s="15"/>
      <c r="AT1073" s="15"/>
      <c r="AU1073" s="15"/>
      <c r="AV1073" s="15"/>
      <c r="AW1073" s="15"/>
      <c r="AX1073" s="15"/>
      <c r="AY1073" s="15"/>
      <c r="AZ1073" s="15"/>
      <c r="BA1073" s="15"/>
      <c r="BB1073" s="15"/>
      <c r="BC1073" s="15"/>
      <c r="BD1073" s="15"/>
      <c r="BE1073" s="15"/>
      <c r="BF1073" s="15"/>
      <c r="BG1073" s="15"/>
      <c r="BH1073" s="15"/>
      <c r="BI1073" s="15"/>
      <c r="BJ1073" s="15"/>
      <c r="BK1073" s="15"/>
      <c r="BL1073" s="15"/>
      <c r="BM1073" s="15"/>
      <c r="BN1073" s="92"/>
      <c r="BO1073" s="92"/>
      <c r="BP1073" s="92"/>
      <c r="BQ1073" s="92"/>
      <c r="BR1073" s="92"/>
      <c r="BS1073" s="92"/>
      <c r="BT1073" s="92"/>
      <c r="BU1073" s="92"/>
      <c r="BV1073" s="92"/>
      <c r="BW1073" s="92"/>
      <c r="BX1073" s="92"/>
      <c r="BY1073" s="92"/>
      <c r="BZ1073" s="92"/>
      <c r="CA1073" s="92"/>
      <c r="CB1073" s="92"/>
      <c r="CC1073" s="92"/>
      <c r="CD1073" s="92"/>
      <c r="CE1073" s="92"/>
      <c r="CF1073" s="92"/>
      <c r="CG1073" s="92"/>
      <c r="CH1073" s="92"/>
      <c r="CI1073" s="92"/>
      <c r="CJ1073" s="92"/>
      <c r="CK1073" s="92"/>
      <c r="CL1073" s="92"/>
      <c r="CM1073" s="92"/>
      <c r="CN1073" s="92"/>
      <c r="CO1073" s="92"/>
      <c r="CP1073" s="92"/>
      <c r="CQ1073" s="92"/>
      <c r="CR1073" s="92"/>
      <c r="CS1073" s="92"/>
      <c r="CT1073" s="92"/>
      <c r="CU1073" s="92"/>
      <c r="CV1073" s="92"/>
      <c r="CW1073" s="92"/>
      <c r="CX1073" s="85"/>
      <c r="CY1073" s="85"/>
      <c r="CZ1073" s="85"/>
      <c r="DA1073" s="85"/>
      <c r="DB1073" s="85"/>
      <c r="DC1073" s="85"/>
      <c r="DD1073" s="85"/>
      <c r="DE1073" s="85"/>
      <c r="DF1073" s="85"/>
      <c r="DG1073" s="85"/>
      <c r="DH1073" s="85"/>
      <c r="DI1073" s="85"/>
      <c r="DJ1073" s="85"/>
      <c r="DK1073" s="85"/>
      <c r="DL1073" s="85"/>
      <c r="DM1073" s="85"/>
      <c r="DN1073" s="85"/>
      <c r="DO1073" s="85"/>
      <c r="DP1073" s="85"/>
    </row>
    <row r="1074">
      <c r="A1074" s="91"/>
      <c r="B1074" s="91"/>
      <c r="C1074" s="91"/>
      <c r="D1074" s="91"/>
      <c r="E1074" s="78"/>
      <c r="F1074" s="15"/>
      <c r="G1074" s="15"/>
      <c r="H1074" s="91"/>
      <c r="I1074" s="15"/>
      <c r="J1074" s="15"/>
      <c r="K1074" s="15"/>
      <c r="L1074" s="15"/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  <c r="W1074" s="15"/>
      <c r="X1074" s="15"/>
      <c r="Y1074" s="15"/>
      <c r="Z1074" s="15"/>
      <c r="AA1074" s="15"/>
      <c r="AB1074" s="15"/>
      <c r="AC1074" s="15"/>
      <c r="AD1074" s="15"/>
      <c r="AE1074" s="15"/>
      <c r="AF1074" s="15"/>
      <c r="AG1074" s="15"/>
      <c r="AH1074" s="15"/>
      <c r="AI1074" s="15"/>
      <c r="AJ1074" s="15"/>
      <c r="AK1074" s="15"/>
      <c r="AL1074" s="15"/>
      <c r="AM1074" s="15"/>
      <c r="AN1074" s="15"/>
      <c r="AO1074" s="15"/>
      <c r="AP1074" s="15"/>
      <c r="AQ1074" s="15"/>
      <c r="AR1074" s="15"/>
      <c r="AS1074" s="15"/>
      <c r="AT1074" s="15"/>
      <c r="AU1074" s="15"/>
      <c r="AV1074" s="15"/>
      <c r="AW1074" s="15"/>
      <c r="AX1074" s="15"/>
      <c r="AY1074" s="15"/>
      <c r="AZ1074" s="15"/>
      <c r="BA1074" s="15"/>
      <c r="BB1074" s="15"/>
      <c r="BC1074" s="15"/>
      <c r="BD1074" s="15"/>
      <c r="BE1074" s="15"/>
      <c r="BF1074" s="15"/>
      <c r="BG1074" s="15"/>
      <c r="BH1074" s="15"/>
      <c r="BI1074" s="15"/>
      <c r="BJ1074" s="15"/>
      <c r="BK1074" s="15"/>
      <c r="BL1074" s="15"/>
      <c r="BM1074" s="15"/>
      <c r="BN1074" s="92"/>
      <c r="BO1074" s="92"/>
      <c r="BP1074" s="92"/>
      <c r="BQ1074" s="92"/>
      <c r="BR1074" s="92"/>
      <c r="BS1074" s="92"/>
      <c r="BT1074" s="92"/>
      <c r="BU1074" s="92"/>
      <c r="BV1074" s="92"/>
      <c r="BW1074" s="92"/>
      <c r="BX1074" s="92"/>
      <c r="BY1074" s="92"/>
      <c r="BZ1074" s="92"/>
      <c r="CA1074" s="92"/>
      <c r="CB1074" s="92"/>
      <c r="CC1074" s="92"/>
      <c r="CD1074" s="92"/>
      <c r="CE1074" s="92"/>
      <c r="CF1074" s="92"/>
      <c r="CG1074" s="92"/>
      <c r="CH1074" s="92"/>
      <c r="CI1074" s="92"/>
      <c r="CJ1074" s="92"/>
      <c r="CK1074" s="92"/>
      <c r="CL1074" s="92"/>
      <c r="CM1074" s="92"/>
      <c r="CN1074" s="92"/>
      <c r="CO1074" s="92"/>
      <c r="CP1074" s="92"/>
      <c r="CQ1074" s="92"/>
      <c r="CR1074" s="92"/>
      <c r="CS1074" s="92"/>
      <c r="CT1074" s="92"/>
      <c r="CU1074" s="92"/>
      <c r="CV1074" s="92"/>
      <c r="CW1074" s="92"/>
      <c r="CX1074" s="85"/>
      <c r="CY1074" s="85"/>
      <c r="CZ1074" s="85"/>
      <c r="DA1074" s="85"/>
      <c r="DB1074" s="85"/>
      <c r="DC1074" s="85"/>
      <c r="DD1074" s="85"/>
      <c r="DE1074" s="85"/>
      <c r="DF1074" s="85"/>
      <c r="DG1074" s="85"/>
      <c r="DH1074" s="85"/>
      <c r="DI1074" s="85"/>
      <c r="DJ1074" s="85"/>
      <c r="DK1074" s="85"/>
      <c r="DL1074" s="85"/>
      <c r="DM1074" s="85"/>
      <c r="DN1074" s="85"/>
      <c r="DO1074" s="85"/>
      <c r="DP1074" s="85"/>
    </row>
    <row r="1075">
      <c r="A1075" s="91"/>
      <c r="B1075" s="91"/>
      <c r="C1075" s="91"/>
      <c r="D1075" s="91"/>
      <c r="E1075" s="78"/>
      <c r="F1075" s="15"/>
      <c r="G1075" s="15"/>
      <c r="H1075" s="91"/>
      <c r="I1075" s="15"/>
      <c r="J1075" s="15"/>
      <c r="K1075" s="15"/>
      <c r="L1075" s="15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  <c r="Y1075" s="15"/>
      <c r="Z1075" s="15"/>
      <c r="AA1075" s="15"/>
      <c r="AB1075" s="15"/>
      <c r="AC1075" s="15"/>
      <c r="AD1075" s="15"/>
      <c r="AE1075" s="15"/>
      <c r="AF1075" s="15"/>
      <c r="AG1075" s="15"/>
      <c r="AH1075" s="15"/>
      <c r="AI1075" s="15"/>
      <c r="AJ1075" s="15"/>
      <c r="AK1075" s="15"/>
      <c r="AL1075" s="15"/>
      <c r="AM1075" s="15"/>
      <c r="AN1075" s="15"/>
      <c r="AO1075" s="15"/>
      <c r="AP1075" s="15"/>
      <c r="AQ1075" s="15"/>
      <c r="AR1075" s="15"/>
      <c r="AS1075" s="15"/>
      <c r="AT1075" s="15"/>
      <c r="AU1075" s="15"/>
      <c r="AV1075" s="15"/>
      <c r="AW1075" s="15"/>
      <c r="AX1075" s="15"/>
      <c r="AY1075" s="15"/>
      <c r="AZ1075" s="15"/>
      <c r="BA1075" s="15"/>
      <c r="BB1075" s="15"/>
      <c r="BC1075" s="15"/>
      <c r="BD1075" s="15"/>
      <c r="BE1075" s="15"/>
      <c r="BF1075" s="15"/>
      <c r="BG1075" s="15"/>
      <c r="BH1075" s="15"/>
      <c r="BI1075" s="15"/>
      <c r="BJ1075" s="15"/>
      <c r="BK1075" s="15"/>
      <c r="BL1075" s="15"/>
      <c r="BM1075" s="15"/>
      <c r="BN1075" s="92"/>
      <c r="BO1075" s="92"/>
      <c r="BP1075" s="92"/>
      <c r="BQ1075" s="92"/>
      <c r="BR1075" s="92"/>
      <c r="BS1075" s="92"/>
      <c r="BT1075" s="92"/>
      <c r="BU1075" s="92"/>
      <c r="BV1075" s="92"/>
      <c r="BW1075" s="92"/>
      <c r="BX1075" s="92"/>
      <c r="BY1075" s="92"/>
      <c r="BZ1075" s="92"/>
      <c r="CA1075" s="92"/>
      <c r="CB1075" s="92"/>
      <c r="CC1075" s="92"/>
      <c r="CD1075" s="92"/>
      <c r="CE1075" s="92"/>
      <c r="CF1075" s="92"/>
      <c r="CG1075" s="92"/>
      <c r="CH1075" s="92"/>
      <c r="CI1075" s="92"/>
      <c r="CJ1075" s="92"/>
      <c r="CK1075" s="92"/>
      <c r="CL1075" s="92"/>
      <c r="CM1075" s="92"/>
      <c r="CN1075" s="92"/>
      <c r="CO1075" s="92"/>
      <c r="CP1075" s="92"/>
      <c r="CQ1075" s="92"/>
      <c r="CR1075" s="92"/>
      <c r="CS1075" s="92"/>
      <c r="CT1075" s="92"/>
      <c r="CU1075" s="92"/>
      <c r="CV1075" s="92"/>
      <c r="CW1075" s="92"/>
      <c r="CX1075" s="85"/>
      <c r="CY1075" s="85"/>
      <c r="CZ1075" s="85"/>
      <c r="DA1075" s="85"/>
      <c r="DB1075" s="85"/>
      <c r="DC1075" s="85"/>
      <c r="DD1075" s="85"/>
      <c r="DE1075" s="85"/>
      <c r="DF1075" s="85"/>
      <c r="DG1075" s="85"/>
      <c r="DH1075" s="85"/>
      <c r="DI1075" s="85"/>
      <c r="DJ1075" s="85"/>
      <c r="DK1075" s="85"/>
      <c r="DL1075" s="85"/>
      <c r="DM1075" s="85"/>
      <c r="DN1075" s="85"/>
      <c r="DO1075" s="85"/>
      <c r="DP1075" s="85"/>
    </row>
    <row r="1076">
      <c r="A1076" s="91"/>
      <c r="B1076" s="91"/>
      <c r="C1076" s="91"/>
      <c r="D1076" s="91"/>
      <c r="E1076" s="78"/>
      <c r="F1076" s="15"/>
      <c r="G1076" s="15"/>
      <c r="H1076" s="91"/>
      <c r="I1076" s="15"/>
      <c r="J1076" s="15"/>
      <c r="K1076" s="15"/>
      <c r="L1076" s="15"/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  <c r="Y1076" s="15"/>
      <c r="Z1076" s="15"/>
      <c r="AA1076" s="15"/>
      <c r="AB1076" s="15"/>
      <c r="AC1076" s="15"/>
      <c r="AD1076" s="15"/>
      <c r="AE1076" s="15"/>
      <c r="AF1076" s="15"/>
      <c r="AG1076" s="15"/>
      <c r="AH1076" s="15"/>
      <c r="AI1076" s="15"/>
      <c r="AJ1076" s="15"/>
      <c r="AK1076" s="15"/>
      <c r="AL1076" s="15"/>
      <c r="AM1076" s="15"/>
      <c r="AN1076" s="15"/>
      <c r="AO1076" s="15"/>
      <c r="AP1076" s="15"/>
      <c r="AQ1076" s="15"/>
      <c r="AR1076" s="15"/>
      <c r="AS1076" s="15"/>
      <c r="AT1076" s="15"/>
      <c r="AU1076" s="15"/>
      <c r="AV1076" s="15"/>
      <c r="AW1076" s="15"/>
      <c r="AX1076" s="15"/>
      <c r="AY1076" s="15"/>
      <c r="AZ1076" s="15"/>
      <c r="BA1076" s="15"/>
      <c r="BB1076" s="15"/>
      <c r="BC1076" s="15"/>
      <c r="BD1076" s="15"/>
      <c r="BE1076" s="15"/>
      <c r="BF1076" s="15"/>
      <c r="BG1076" s="15"/>
      <c r="BH1076" s="15"/>
      <c r="BI1076" s="15"/>
      <c r="BJ1076" s="15"/>
      <c r="BK1076" s="15"/>
      <c r="BL1076" s="15"/>
      <c r="BM1076" s="15"/>
      <c r="BN1076" s="92"/>
      <c r="BO1076" s="92"/>
      <c r="BP1076" s="92"/>
      <c r="BQ1076" s="92"/>
      <c r="BR1076" s="92"/>
      <c r="BS1076" s="92"/>
      <c r="BT1076" s="92"/>
      <c r="BU1076" s="92"/>
      <c r="BV1076" s="92"/>
      <c r="BW1076" s="92"/>
      <c r="BX1076" s="92"/>
      <c r="BY1076" s="92"/>
      <c r="BZ1076" s="92"/>
      <c r="CA1076" s="92"/>
      <c r="CB1076" s="92"/>
      <c r="CC1076" s="92"/>
      <c r="CD1076" s="92"/>
      <c r="CE1076" s="92"/>
      <c r="CF1076" s="92"/>
      <c r="CG1076" s="92"/>
      <c r="CH1076" s="92"/>
      <c r="CI1076" s="92"/>
      <c r="CJ1076" s="92"/>
      <c r="CK1076" s="92"/>
      <c r="CL1076" s="92"/>
      <c r="CM1076" s="92"/>
      <c r="CN1076" s="92"/>
      <c r="CO1076" s="92"/>
      <c r="CP1076" s="92"/>
      <c r="CQ1076" s="92"/>
      <c r="CR1076" s="92"/>
      <c r="CS1076" s="92"/>
      <c r="CT1076" s="92"/>
      <c r="CU1076" s="92"/>
      <c r="CV1076" s="92"/>
      <c r="CW1076" s="92"/>
      <c r="CX1076" s="85"/>
      <c r="CY1076" s="85"/>
      <c r="CZ1076" s="85"/>
      <c r="DA1076" s="85"/>
      <c r="DB1076" s="85"/>
      <c r="DC1076" s="85"/>
      <c r="DD1076" s="85"/>
      <c r="DE1076" s="85"/>
      <c r="DF1076" s="85"/>
      <c r="DG1076" s="85"/>
      <c r="DH1076" s="85"/>
      <c r="DI1076" s="85"/>
      <c r="DJ1076" s="85"/>
      <c r="DK1076" s="85"/>
      <c r="DL1076" s="85"/>
      <c r="DM1076" s="85"/>
      <c r="DN1076" s="85"/>
      <c r="DO1076" s="85"/>
      <c r="DP1076" s="85"/>
    </row>
    <row r="1077">
      <c r="A1077" s="91"/>
      <c r="B1077" s="91"/>
      <c r="C1077" s="91"/>
      <c r="D1077" s="91"/>
      <c r="E1077" s="78"/>
      <c r="F1077" s="15"/>
      <c r="G1077" s="15"/>
      <c r="H1077" s="91"/>
      <c r="I1077" s="15"/>
      <c r="J1077" s="15"/>
      <c r="K1077" s="15"/>
      <c r="L1077" s="15"/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15"/>
      <c r="X1077" s="15"/>
      <c r="Y1077" s="15"/>
      <c r="Z1077" s="15"/>
      <c r="AA1077" s="15"/>
      <c r="AB1077" s="15"/>
      <c r="AC1077" s="15"/>
      <c r="AD1077" s="15"/>
      <c r="AE1077" s="15"/>
      <c r="AF1077" s="15"/>
      <c r="AG1077" s="15"/>
      <c r="AH1077" s="15"/>
      <c r="AI1077" s="15"/>
      <c r="AJ1077" s="15"/>
      <c r="AK1077" s="15"/>
      <c r="AL1077" s="15"/>
      <c r="AM1077" s="15"/>
      <c r="AN1077" s="15"/>
      <c r="AO1077" s="15"/>
      <c r="AP1077" s="15"/>
      <c r="AQ1077" s="15"/>
      <c r="AR1077" s="15"/>
      <c r="AS1077" s="15"/>
      <c r="AT1077" s="15"/>
      <c r="AU1077" s="15"/>
      <c r="AV1077" s="15"/>
      <c r="AW1077" s="15"/>
      <c r="AX1077" s="15"/>
      <c r="AY1077" s="15"/>
      <c r="AZ1077" s="15"/>
      <c r="BA1077" s="15"/>
      <c r="BB1077" s="15"/>
      <c r="BC1077" s="15"/>
      <c r="BD1077" s="15"/>
      <c r="BE1077" s="15"/>
      <c r="BF1077" s="15"/>
      <c r="BG1077" s="15"/>
      <c r="BH1077" s="15"/>
      <c r="BI1077" s="15"/>
      <c r="BJ1077" s="15"/>
      <c r="BK1077" s="15"/>
      <c r="BL1077" s="15"/>
      <c r="BM1077" s="15"/>
      <c r="BN1077" s="92"/>
      <c r="BO1077" s="92"/>
      <c r="BP1077" s="92"/>
      <c r="BQ1077" s="92"/>
      <c r="BR1077" s="92"/>
      <c r="BS1077" s="92"/>
      <c r="BT1077" s="92"/>
      <c r="BU1077" s="92"/>
      <c r="BV1077" s="92"/>
      <c r="BW1077" s="92"/>
      <c r="BX1077" s="92"/>
      <c r="BY1077" s="92"/>
      <c r="BZ1077" s="92"/>
      <c r="CA1077" s="92"/>
      <c r="CB1077" s="92"/>
      <c r="CC1077" s="92"/>
      <c r="CD1077" s="92"/>
      <c r="CE1077" s="92"/>
      <c r="CF1077" s="92"/>
      <c r="CG1077" s="92"/>
      <c r="CH1077" s="92"/>
      <c r="CI1077" s="92"/>
      <c r="CJ1077" s="92"/>
      <c r="CK1077" s="92"/>
      <c r="CL1077" s="92"/>
      <c r="CM1077" s="92"/>
      <c r="CN1077" s="92"/>
      <c r="CO1077" s="92"/>
      <c r="CP1077" s="92"/>
      <c r="CQ1077" s="92"/>
      <c r="CR1077" s="92"/>
      <c r="CS1077" s="92"/>
      <c r="CT1077" s="92"/>
      <c r="CU1077" s="92"/>
      <c r="CV1077" s="92"/>
      <c r="CW1077" s="92"/>
      <c r="CX1077" s="85"/>
      <c r="CY1077" s="85"/>
      <c r="CZ1077" s="85"/>
      <c r="DA1077" s="85"/>
      <c r="DB1077" s="85"/>
      <c r="DC1077" s="85"/>
      <c r="DD1077" s="85"/>
      <c r="DE1077" s="85"/>
      <c r="DF1077" s="85"/>
      <c r="DG1077" s="85"/>
      <c r="DH1077" s="85"/>
      <c r="DI1077" s="85"/>
      <c r="DJ1077" s="85"/>
      <c r="DK1077" s="85"/>
      <c r="DL1077" s="85"/>
      <c r="DM1077" s="85"/>
      <c r="DN1077" s="85"/>
      <c r="DO1077" s="85"/>
      <c r="DP1077" s="85"/>
    </row>
    <row r="1078">
      <c r="A1078" s="91"/>
      <c r="B1078" s="91"/>
      <c r="C1078" s="91"/>
      <c r="D1078" s="91"/>
      <c r="E1078" s="78"/>
      <c r="F1078" s="15"/>
      <c r="G1078" s="15"/>
      <c r="H1078" s="91"/>
      <c r="I1078" s="15"/>
      <c r="J1078" s="15"/>
      <c r="K1078" s="15"/>
      <c r="L1078" s="15"/>
      <c r="M1078" s="15"/>
      <c r="N1078" s="15"/>
      <c r="O1078" s="15"/>
      <c r="P1078" s="15"/>
      <c r="Q1078" s="15"/>
      <c r="R1078" s="15"/>
      <c r="S1078" s="15"/>
      <c r="T1078" s="15"/>
      <c r="U1078" s="15"/>
      <c r="V1078" s="15"/>
      <c r="W1078" s="15"/>
      <c r="X1078" s="15"/>
      <c r="Y1078" s="15"/>
      <c r="Z1078" s="15"/>
      <c r="AA1078" s="15"/>
      <c r="AB1078" s="15"/>
      <c r="AC1078" s="15"/>
      <c r="AD1078" s="15"/>
      <c r="AE1078" s="15"/>
      <c r="AF1078" s="15"/>
      <c r="AG1078" s="15"/>
      <c r="AH1078" s="15"/>
      <c r="AI1078" s="15"/>
      <c r="AJ1078" s="15"/>
      <c r="AK1078" s="15"/>
      <c r="AL1078" s="15"/>
      <c r="AM1078" s="15"/>
      <c r="AN1078" s="15"/>
      <c r="AO1078" s="15"/>
      <c r="AP1078" s="15"/>
      <c r="AQ1078" s="15"/>
      <c r="AR1078" s="15"/>
      <c r="AS1078" s="15"/>
      <c r="AT1078" s="15"/>
      <c r="AU1078" s="15"/>
      <c r="AV1078" s="15"/>
      <c r="AW1078" s="15"/>
      <c r="AX1078" s="15"/>
      <c r="AY1078" s="15"/>
      <c r="AZ1078" s="15"/>
      <c r="BA1078" s="15"/>
      <c r="BB1078" s="15"/>
      <c r="BC1078" s="15"/>
      <c r="BD1078" s="15"/>
      <c r="BE1078" s="15"/>
      <c r="BF1078" s="15"/>
      <c r="BG1078" s="15"/>
      <c r="BH1078" s="15"/>
      <c r="BI1078" s="15"/>
      <c r="BJ1078" s="15"/>
      <c r="BK1078" s="15"/>
      <c r="BL1078" s="15"/>
      <c r="BM1078" s="15"/>
      <c r="BN1078" s="92"/>
      <c r="BO1078" s="92"/>
      <c r="BP1078" s="92"/>
      <c r="BQ1078" s="92"/>
      <c r="BR1078" s="92"/>
      <c r="BS1078" s="92"/>
      <c r="BT1078" s="92"/>
      <c r="BU1078" s="92"/>
      <c r="BV1078" s="92"/>
      <c r="BW1078" s="92"/>
      <c r="BX1078" s="92"/>
      <c r="BY1078" s="92"/>
      <c r="BZ1078" s="92"/>
      <c r="CA1078" s="92"/>
      <c r="CB1078" s="92"/>
      <c r="CC1078" s="92"/>
      <c r="CD1078" s="92"/>
      <c r="CE1078" s="92"/>
      <c r="CF1078" s="92"/>
      <c r="CG1078" s="92"/>
      <c r="CH1078" s="92"/>
      <c r="CI1078" s="92"/>
      <c r="CJ1078" s="92"/>
      <c r="CK1078" s="92"/>
      <c r="CL1078" s="92"/>
      <c r="CM1078" s="92"/>
      <c r="CN1078" s="92"/>
      <c r="CO1078" s="92"/>
      <c r="CP1078" s="92"/>
      <c r="CQ1078" s="92"/>
      <c r="CR1078" s="92"/>
      <c r="CS1078" s="92"/>
      <c r="CT1078" s="92"/>
      <c r="CU1078" s="92"/>
      <c r="CV1078" s="92"/>
      <c r="CW1078" s="92"/>
      <c r="CX1078" s="85"/>
      <c r="CY1078" s="85"/>
      <c r="CZ1078" s="85"/>
      <c r="DA1078" s="85"/>
      <c r="DB1078" s="85"/>
      <c r="DC1078" s="85"/>
      <c r="DD1078" s="85"/>
      <c r="DE1078" s="85"/>
      <c r="DF1078" s="85"/>
      <c r="DG1078" s="85"/>
      <c r="DH1078" s="85"/>
      <c r="DI1078" s="85"/>
      <c r="DJ1078" s="85"/>
      <c r="DK1078" s="85"/>
      <c r="DL1078" s="85"/>
      <c r="DM1078" s="85"/>
      <c r="DN1078" s="85"/>
      <c r="DO1078" s="85"/>
      <c r="DP1078" s="85"/>
    </row>
  </sheetData>
  <mergeCells count="141">
    <mergeCell ref="AW2:AX2"/>
    <mergeCell ref="AY2:AZ2"/>
    <mergeCell ref="AI2:AJ2"/>
    <mergeCell ref="AK2:AL2"/>
    <mergeCell ref="AM2:AN2"/>
    <mergeCell ref="AO2:AP2"/>
    <mergeCell ref="AQ2:AR2"/>
    <mergeCell ref="AS2:AT2"/>
    <mergeCell ref="AU2:AV2"/>
    <mergeCell ref="BA2:BB2"/>
    <mergeCell ref="BC2:BD2"/>
    <mergeCell ref="BE2:BF2"/>
    <mergeCell ref="BG2:BH2"/>
    <mergeCell ref="BI2:BJ2"/>
    <mergeCell ref="BK2:BL2"/>
    <mergeCell ref="BN2:BO2"/>
    <mergeCell ref="BP2:BQ2"/>
    <mergeCell ref="BR2:BS2"/>
    <mergeCell ref="BT2:BU2"/>
    <mergeCell ref="BV2:BW2"/>
    <mergeCell ref="BX2:BY2"/>
    <mergeCell ref="BZ2:CA2"/>
    <mergeCell ref="CB2:CC2"/>
    <mergeCell ref="CD2:CE2"/>
    <mergeCell ref="CF2:CG2"/>
    <mergeCell ref="CH2:CI2"/>
    <mergeCell ref="CJ2:CK2"/>
    <mergeCell ref="CL2:CM2"/>
    <mergeCell ref="CN2:CO2"/>
    <mergeCell ref="CP2:CQ2"/>
    <mergeCell ref="DF2:DG2"/>
    <mergeCell ref="DH2:DI2"/>
    <mergeCell ref="DJ2:DK2"/>
    <mergeCell ref="DL2:DM2"/>
    <mergeCell ref="DN2:DO2"/>
    <mergeCell ref="CR2:CS2"/>
    <mergeCell ref="CT2:CU2"/>
    <mergeCell ref="CV2:CW2"/>
    <mergeCell ref="CX2:CY2"/>
    <mergeCell ref="CZ2:DA2"/>
    <mergeCell ref="DB2:DC2"/>
    <mergeCell ref="DD2:DE2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BI1:BJ1"/>
    <mergeCell ref="BK1:BL1"/>
    <mergeCell ref="B1:E1"/>
    <mergeCell ref="F1:H1"/>
    <mergeCell ref="I1:J1"/>
    <mergeCell ref="K1:L1"/>
    <mergeCell ref="M1:N1"/>
    <mergeCell ref="O1:P1"/>
    <mergeCell ref="Q1:R1"/>
    <mergeCell ref="U2:V2"/>
    <mergeCell ref="W2:X2"/>
    <mergeCell ref="Y2:Z2"/>
    <mergeCell ref="AA2:AB2"/>
    <mergeCell ref="AC2:AD2"/>
    <mergeCell ref="AE2:AF2"/>
    <mergeCell ref="AG2:AH2"/>
    <mergeCell ref="AU1:AV1"/>
    <mergeCell ref="AW1:AX1"/>
    <mergeCell ref="AY1:AZ1"/>
    <mergeCell ref="BA1:BB1"/>
    <mergeCell ref="BC1:BD1"/>
    <mergeCell ref="BE1:BF1"/>
    <mergeCell ref="BG1:BH1"/>
    <mergeCell ref="B2:H2"/>
    <mergeCell ref="I2:J2"/>
    <mergeCell ref="K2:L2"/>
    <mergeCell ref="M2:N2"/>
    <mergeCell ref="O2:P2"/>
    <mergeCell ref="Q2:R2"/>
    <mergeCell ref="S2:T2"/>
    <mergeCell ref="E5:H5"/>
    <mergeCell ref="E6:H6"/>
    <mergeCell ref="A7:A18"/>
    <mergeCell ref="A19:A30"/>
    <mergeCell ref="A31:A42"/>
    <mergeCell ref="A45:A52"/>
    <mergeCell ref="A53:A56"/>
    <mergeCell ref="I126:K126"/>
    <mergeCell ref="I127:K127"/>
    <mergeCell ref="A57:A58"/>
    <mergeCell ref="B125:E125"/>
    <mergeCell ref="F125:G125"/>
    <mergeCell ref="I125:K125"/>
    <mergeCell ref="B126:D127"/>
    <mergeCell ref="F126:G126"/>
    <mergeCell ref="F127:G127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M3:AN3"/>
    <mergeCell ref="AO3:AP3"/>
    <mergeCell ref="AQ3:AR3"/>
    <mergeCell ref="AS3:AT3"/>
    <mergeCell ref="BI3:BJ3"/>
    <mergeCell ref="BK3:BL3"/>
    <mergeCell ref="AU3:AV3"/>
    <mergeCell ref="AW3:AX3"/>
    <mergeCell ref="AY3:AZ3"/>
    <mergeCell ref="BA3:BB3"/>
    <mergeCell ref="BC3:BD3"/>
    <mergeCell ref="BE3:BF3"/>
    <mergeCell ref="BG3:BH3"/>
    <mergeCell ref="AK4:AL4"/>
    <mergeCell ref="AO4:AP4"/>
    <mergeCell ref="M4:N4"/>
    <mergeCell ref="O4:P4"/>
    <mergeCell ref="Q4:R4"/>
    <mergeCell ref="W4:X4"/>
    <mergeCell ref="AA4:AB4"/>
    <mergeCell ref="AC4:AD4"/>
    <mergeCell ref="AE4:AF4"/>
    <mergeCell ref="B3:D3"/>
    <mergeCell ref="E3:H3"/>
    <mergeCell ref="I3:J3"/>
    <mergeCell ref="K3:L3"/>
    <mergeCell ref="M3:N3"/>
    <mergeCell ref="O3:P3"/>
    <mergeCell ref="Q3:R3"/>
  </mergeCells>
  <conditionalFormatting sqref="I7:I116 K7 M7">
    <cfRule type="expression" dxfId="3" priority="1">
      <formula>and(((I7-J7)-(F7-G7)=0),(I7-F7=0))</formula>
    </cfRule>
  </conditionalFormatting>
  <conditionalFormatting sqref="AJ8">
    <cfRule type="notContainsBlanks" dxfId="4" priority="2">
      <formula>LEN(TRIM(AJ8))&gt;0</formula>
    </cfRule>
  </conditionalFormatting>
  <conditionalFormatting sqref="K7:K116">
    <cfRule type="expression" dxfId="3" priority="3">
      <formula>and(((K7-L7)-(F7-G7)=0),(K7-F7=0))</formula>
    </cfRule>
  </conditionalFormatting>
  <conditionalFormatting sqref="M7:M116">
    <cfRule type="expression" dxfId="3" priority="4">
      <formula>and(((M7-N7)-(F7-G7)=0),(M7-F7=0))</formula>
    </cfRule>
  </conditionalFormatting>
  <conditionalFormatting sqref="Q7:Q116 R7:R78 AQ7:AR25">
    <cfRule type="expression" dxfId="3" priority="5">
      <formula>and(((Q7-R7)-(F7-G7)=0),(Q7-F7=0))</formula>
    </cfRule>
  </conditionalFormatting>
  <conditionalFormatting sqref="S7:S116">
    <cfRule type="expression" dxfId="3" priority="6">
      <formula>and(((S7-T7)-(F7-G7)=0),(S7-F7=0))</formula>
    </cfRule>
  </conditionalFormatting>
  <conditionalFormatting sqref="U7:U116">
    <cfRule type="expression" dxfId="3" priority="7">
      <formula>and(((U7-V7)-(F7-G7)=0),(U7-F7=0))</formula>
    </cfRule>
  </conditionalFormatting>
  <conditionalFormatting sqref="U7:U25 W7:W116">
    <cfRule type="expression" dxfId="3" priority="8">
      <formula>and(((U7-V7)-(D7-E7)=0),(U7-D7=0))</formula>
    </cfRule>
  </conditionalFormatting>
  <conditionalFormatting sqref="Y7:Y116">
    <cfRule type="expression" dxfId="3" priority="9">
      <formula>and(((Y7-Z7)-(F7-G7)=0),(Y7-F7=0))</formula>
    </cfRule>
  </conditionalFormatting>
  <conditionalFormatting sqref="AA7:AA116">
    <cfRule type="expression" dxfId="3" priority="10">
      <formula>and(((AA7-AB7)-(F7-G7)=0),(AA7-F7=0))</formula>
    </cfRule>
  </conditionalFormatting>
  <conditionalFormatting sqref="AC7:AC116">
    <cfRule type="expression" dxfId="3" priority="11">
      <formula>and(((AC7-AD7)-(F7-G7)=0),(AC7-F7=0))</formula>
    </cfRule>
  </conditionalFormatting>
  <conditionalFormatting sqref="AE7:AE116 U16:U25 W16:W25">
    <cfRule type="expression" dxfId="3" priority="12">
      <formula>and(((AE7-AF7)-(F7-G7)=0),(AE7-F7=0))</formula>
    </cfRule>
  </conditionalFormatting>
  <conditionalFormatting sqref="AG7:AG116">
    <cfRule type="expression" dxfId="3" priority="13">
      <formula>and(((AG7-AH7)-(F7-G7)=0),(AG7-F7=0))</formula>
    </cfRule>
  </conditionalFormatting>
  <conditionalFormatting sqref="AI7:AI116">
    <cfRule type="expression" dxfId="3" priority="14">
      <formula>and(((AI7-AJ7)-(F7-G7)=0),(AI7-F7=0))</formula>
    </cfRule>
  </conditionalFormatting>
  <conditionalFormatting sqref="AK7:AK116">
    <cfRule type="expression" dxfId="3" priority="15">
      <formula>and(((AK7-AL7)-(F7-G7)=0),(AK7-F7=0))</formula>
    </cfRule>
  </conditionalFormatting>
  <conditionalFormatting sqref="AM7:AM116">
    <cfRule type="expression" dxfId="3" priority="16">
      <formula>and(((AM7-AN7)-(F7-G7)=0),(AM7-F7=0))</formula>
    </cfRule>
  </conditionalFormatting>
  <conditionalFormatting sqref="AO7:AO116">
    <cfRule type="expression" dxfId="3" priority="17">
      <formula>and(((AO7-AP7)-(F7-G7)=0),(AO7-F7=0))</formula>
    </cfRule>
  </conditionalFormatting>
  <conditionalFormatting sqref="AQ7:AQ116">
    <cfRule type="expression" dxfId="3" priority="18">
      <formula>and(((AQ7-AR7)-(F7-G7)=0),(AQ7-F7=0))</formula>
    </cfRule>
  </conditionalFormatting>
  <conditionalFormatting sqref="AS7:AS116">
    <cfRule type="expression" dxfId="3" priority="19">
      <formula>and(((AS7-AT7)-(F7-G7)=0),(AS7-F7=0))</formula>
    </cfRule>
  </conditionalFormatting>
  <conditionalFormatting sqref="AU7:AU116">
    <cfRule type="expression" dxfId="3" priority="20">
      <formula>and(((AU7-AV7)-(F7-G7)=0),(AU7-F7=0))</formula>
    </cfRule>
  </conditionalFormatting>
  <conditionalFormatting sqref="AW7:AW116">
    <cfRule type="expression" dxfId="3" priority="21">
      <formula>and(((AW7-AX7)-(F7-G7)=0),(AW7-F7=0))</formula>
    </cfRule>
  </conditionalFormatting>
  <conditionalFormatting sqref="O7:O116">
    <cfRule type="expression" dxfId="3" priority="22">
      <formula>and(((O7-P7)-(F7-G7)=0),(O7-F7=0))</formula>
    </cfRule>
  </conditionalFormatting>
  <dataValidations>
    <dataValidation type="list" allowBlank="1" showErrorMessage="1" sqref="F7:G113 F114:F116">
      <formula1>"0,1,2,3,4,5,6,7,8,9"</formula1>
    </dataValidation>
  </dataValidations>
  <printOptions/>
  <pageMargins bottom="0.22" footer="0.0" header="0.0" left="0.5" right="0.16" top="0.38"/>
  <pageSetup fitToHeight="0" paperSize="8"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3.43"/>
    <col customWidth="1" min="3" max="3" width="17.86"/>
    <col customWidth="1" min="4" max="4" width="20.71"/>
    <col customWidth="1" min="5" max="6" width="17.86"/>
  </cols>
  <sheetData>
    <row r="1" ht="52.5" customHeight="1">
      <c r="A1" s="97" t="s">
        <v>87</v>
      </c>
      <c r="B1" s="13"/>
      <c r="C1" s="98" t="s">
        <v>88</v>
      </c>
      <c r="D1" s="13"/>
      <c r="E1" s="99" t="s">
        <v>89</v>
      </c>
      <c r="F1" s="13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</row>
    <row r="2" ht="52.5" customHeight="1">
      <c r="A2" s="101" t="s">
        <v>90</v>
      </c>
      <c r="B2" s="102" t="s">
        <v>91</v>
      </c>
      <c r="C2" s="103">
        <v>50000.0</v>
      </c>
      <c r="D2" s="13"/>
      <c r="E2" s="103">
        <v>100000.0</v>
      </c>
      <c r="F2" s="13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</row>
    <row r="3" ht="52.5" customHeight="1">
      <c r="A3" s="104"/>
      <c r="B3" s="105" t="s">
        <v>92</v>
      </c>
      <c r="C3" s="105" t="s">
        <v>93</v>
      </c>
      <c r="D3" s="106">
        <v>200000.0</v>
      </c>
      <c r="E3" s="105" t="s">
        <v>94</v>
      </c>
      <c r="F3" s="106">
        <v>200000.0</v>
      </c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</row>
    <row r="4" ht="52.5" customHeight="1">
      <c r="A4" s="101" t="s">
        <v>95</v>
      </c>
      <c r="B4" s="102" t="s">
        <v>91</v>
      </c>
      <c r="C4" s="103">
        <v>50000.0</v>
      </c>
      <c r="D4" s="13"/>
      <c r="E4" s="103">
        <v>100000.0</v>
      </c>
      <c r="F4" s="13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</row>
    <row r="5" ht="52.5" customHeight="1">
      <c r="A5" s="104"/>
      <c r="B5" s="105" t="s">
        <v>92</v>
      </c>
      <c r="C5" s="105" t="s">
        <v>96</v>
      </c>
      <c r="D5" s="106">
        <v>300000.0</v>
      </c>
      <c r="E5" s="105" t="s">
        <v>97</v>
      </c>
      <c r="F5" s="106">
        <v>300000.0</v>
      </c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</row>
  </sheetData>
  <mergeCells count="10">
    <mergeCell ref="A1:B1"/>
    <mergeCell ref="C1:D1"/>
    <mergeCell ref="E1:F1"/>
    <mergeCell ref="A2:A3"/>
    <mergeCell ref="C2:D2"/>
    <mergeCell ref="E2:F2"/>
    <mergeCell ref="A4:A5"/>
    <mergeCell ref="A6:F6"/>
    <mergeCell ref="C4:D4"/>
    <mergeCell ref="E4:F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78" t="s">
        <v>98</v>
      </c>
      <c r="B1" s="96"/>
      <c r="C1" s="96"/>
      <c r="D1" s="9"/>
      <c r="E1" s="94"/>
      <c r="G1" s="11"/>
      <c r="H1" s="11"/>
    </row>
    <row r="2">
      <c r="A2" s="78"/>
      <c r="B2" s="96"/>
      <c r="C2" s="96"/>
      <c r="D2" s="9"/>
      <c r="E2" s="94"/>
      <c r="G2" s="94"/>
      <c r="H2" s="94"/>
    </row>
    <row r="3">
      <c r="A3" s="28" t="s">
        <v>99</v>
      </c>
      <c r="H3" s="8"/>
      <c r="I3" s="8"/>
      <c r="J3" s="8"/>
    </row>
    <row r="4">
      <c r="H4" s="5"/>
      <c r="I4" s="5"/>
      <c r="J4" s="5"/>
    </row>
    <row r="5">
      <c r="A5" s="107" t="s">
        <v>100</v>
      </c>
      <c r="B5" s="17"/>
      <c r="C5" s="17"/>
      <c r="D5" s="13"/>
      <c r="E5" s="108" t="s">
        <v>101</v>
      </c>
      <c r="F5" s="13"/>
      <c r="G5" s="109" t="s">
        <v>102</v>
      </c>
      <c r="H5" s="107" t="s">
        <v>103</v>
      </c>
      <c r="I5" s="17"/>
      <c r="J5" s="13"/>
    </row>
    <row r="6">
      <c r="A6" s="110" t="s">
        <v>104</v>
      </c>
      <c r="B6" s="17"/>
      <c r="C6" s="17"/>
      <c r="D6" s="111" t="s">
        <v>105</v>
      </c>
      <c r="E6" s="112">
        <v>10000.0</v>
      </c>
      <c r="F6" s="13"/>
      <c r="G6" s="113">
        <v>5000.0</v>
      </c>
      <c r="H6" s="112">
        <v>0.0</v>
      </c>
      <c r="I6" s="17"/>
      <c r="J6" s="13"/>
    </row>
    <row r="7">
      <c r="A7" s="110" t="s">
        <v>106</v>
      </c>
      <c r="B7" s="17"/>
      <c r="C7" s="17"/>
      <c r="D7" s="111" t="s">
        <v>107</v>
      </c>
      <c r="E7" s="112">
        <v>15000.0</v>
      </c>
      <c r="F7" s="13"/>
      <c r="G7" s="113">
        <v>7500.0</v>
      </c>
      <c r="H7" s="112">
        <v>0.0</v>
      </c>
      <c r="I7" s="17"/>
      <c r="J7" s="13"/>
    </row>
    <row r="8">
      <c r="A8" s="110" t="s">
        <v>108</v>
      </c>
      <c r="B8" s="17"/>
      <c r="C8" s="17"/>
      <c r="D8" s="111" t="s">
        <v>109</v>
      </c>
      <c r="E8" s="112">
        <v>20000.0</v>
      </c>
      <c r="F8" s="13"/>
      <c r="G8" s="113">
        <v>10000.0</v>
      </c>
      <c r="H8" s="112">
        <v>0.0</v>
      </c>
      <c r="I8" s="17"/>
      <c r="J8" s="13"/>
    </row>
    <row r="9">
      <c r="A9" s="110" t="s">
        <v>110</v>
      </c>
      <c r="B9" s="17"/>
      <c r="C9" s="17"/>
      <c r="D9" s="111" t="s">
        <v>111</v>
      </c>
      <c r="E9" s="112">
        <v>25000.0</v>
      </c>
      <c r="F9" s="13"/>
      <c r="G9" s="113">
        <v>12500.0</v>
      </c>
      <c r="H9" s="112">
        <v>0.0</v>
      </c>
      <c r="I9" s="17"/>
      <c r="J9" s="13"/>
    </row>
    <row r="10">
      <c r="A10" s="114" t="s">
        <v>112</v>
      </c>
      <c r="B10" s="17"/>
      <c r="C10" s="17"/>
      <c r="D10" s="115" t="s">
        <v>113</v>
      </c>
      <c r="E10" s="112">
        <v>30000.0</v>
      </c>
      <c r="F10" s="13"/>
      <c r="G10" s="113">
        <v>15000.0</v>
      </c>
      <c r="H10" s="112">
        <v>0.0</v>
      </c>
      <c r="I10" s="17"/>
      <c r="J10" s="13"/>
    </row>
    <row r="11">
      <c r="A11" s="114" t="s">
        <v>114</v>
      </c>
      <c r="B11" s="17"/>
      <c r="C11" s="17"/>
      <c r="D11" s="13"/>
      <c r="E11" s="112">
        <v>50000.0</v>
      </c>
      <c r="F11" s="13"/>
      <c r="G11" s="113">
        <v>25000.0</v>
      </c>
      <c r="H11" s="112">
        <v>0.0</v>
      </c>
      <c r="I11" s="17"/>
      <c r="J11" s="13"/>
    </row>
    <row r="12">
      <c r="A12" s="107" t="s">
        <v>115</v>
      </c>
      <c r="B12" s="17"/>
      <c r="C12" s="17"/>
      <c r="D12" s="17"/>
      <c r="E12" s="17"/>
      <c r="F12" s="17"/>
      <c r="G12" s="17"/>
      <c r="H12" s="17"/>
      <c r="I12" s="17"/>
      <c r="J12" s="13"/>
    </row>
  </sheetData>
  <mergeCells count="27">
    <mergeCell ref="A10:C10"/>
    <mergeCell ref="A11:D11"/>
    <mergeCell ref="A5:D5"/>
    <mergeCell ref="A6:C6"/>
    <mergeCell ref="A9:C9"/>
    <mergeCell ref="H9:J9"/>
    <mergeCell ref="H10:J10"/>
    <mergeCell ref="A12:J12"/>
    <mergeCell ref="E9:F9"/>
    <mergeCell ref="E10:F10"/>
    <mergeCell ref="E11:F11"/>
    <mergeCell ref="H11:J11"/>
    <mergeCell ref="E7:F7"/>
    <mergeCell ref="E6:F6"/>
    <mergeCell ref="H6:J6"/>
    <mergeCell ref="H7:J7"/>
    <mergeCell ref="E5:F5"/>
    <mergeCell ref="H5:J5"/>
    <mergeCell ref="E8:F8"/>
    <mergeCell ref="H8:J8"/>
    <mergeCell ref="E1:F1"/>
    <mergeCell ref="H1:J1"/>
    <mergeCell ref="E2:F2"/>
    <mergeCell ref="H2:J2"/>
    <mergeCell ref="A3:G4"/>
    <mergeCell ref="A8:C8"/>
    <mergeCell ref="A7:C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16" t="s">
        <v>1</v>
      </c>
      <c r="B1" s="117" t="s">
        <v>116</v>
      </c>
      <c r="C1" s="116" t="s">
        <v>3</v>
      </c>
      <c r="D1" s="118" t="s">
        <v>4</v>
      </c>
      <c r="E1" s="116" t="s">
        <v>5</v>
      </c>
      <c r="F1" s="118" t="s">
        <v>6</v>
      </c>
      <c r="G1" s="119" t="s">
        <v>7</v>
      </c>
      <c r="H1" s="117" t="s">
        <v>8</v>
      </c>
      <c r="I1" s="116" t="s">
        <v>9</v>
      </c>
      <c r="J1" s="117" t="s">
        <v>117</v>
      </c>
      <c r="K1" s="116" t="s">
        <v>11</v>
      </c>
      <c r="L1" s="118" t="s">
        <v>12</v>
      </c>
      <c r="M1" s="119" t="s">
        <v>118</v>
      </c>
      <c r="N1" s="117" t="s">
        <v>14</v>
      </c>
      <c r="O1" s="119" t="s">
        <v>119</v>
      </c>
      <c r="P1" s="117" t="s">
        <v>16</v>
      </c>
      <c r="Q1" s="119" t="s">
        <v>17</v>
      </c>
      <c r="R1" s="117" t="s">
        <v>18</v>
      </c>
      <c r="S1" s="119" t="s">
        <v>19</v>
      </c>
      <c r="T1" s="117" t="s">
        <v>20</v>
      </c>
      <c r="U1" s="119" t="s">
        <v>21</v>
      </c>
      <c r="V1" s="117" t="s">
        <v>26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0"/>
    <col customWidth="1" min="2" max="2" width="53.86"/>
    <col customWidth="1" min="3" max="3" width="22.29"/>
    <col customWidth="1" min="4" max="4" width="8.86"/>
    <col customWidth="1" min="6" max="6" width="19.86"/>
  </cols>
  <sheetData>
    <row r="1" ht="38.25" customHeight="1">
      <c r="A1" s="120" t="s">
        <v>120</v>
      </c>
      <c r="B1" s="13"/>
      <c r="C1" s="121" t="str">
        <f>'WC26'!F1</f>
        <v/>
      </c>
      <c r="D1" s="122"/>
      <c r="E1" s="123" t="s">
        <v>121</v>
      </c>
      <c r="F1" s="124">
        <f>C1-C2</f>
        <v>0</v>
      </c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</row>
    <row r="2">
      <c r="A2" s="125" t="s">
        <v>122</v>
      </c>
      <c r="B2" s="13"/>
      <c r="C2" s="126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</row>
    <row r="3">
      <c r="A3" s="128"/>
      <c r="B3" s="129"/>
      <c r="C3" s="130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</row>
    <row r="4">
      <c r="A4" s="128">
        <v>2.0</v>
      </c>
      <c r="B4" s="129"/>
      <c r="C4" s="130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</row>
    <row r="5">
      <c r="A5" s="128">
        <v>3.0</v>
      </c>
      <c r="B5" s="129"/>
      <c r="C5" s="130"/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</row>
    <row r="6">
      <c r="A6" s="128">
        <v>4.0</v>
      </c>
      <c r="B6" s="129"/>
      <c r="C6" s="130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</row>
    <row r="7">
      <c r="A7" s="128">
        <v>5.0</v>
      </c>
      <c r="B7" s="129"/>
      <c r="C7" s="130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</row>
    <row r="8">
      <c r="A8" s="128">
        <v>6.0</v>
      </c>
      <c r="B8" s="129"/>
      <c r="C8" s="130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</row>
    <row r="9">
      <c r="A9" s="131">
        <v>7.0</v>
      </c>
      <c r="B9" s="132"/>
      <c r="C9" s="133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</row>
    <row r="10">
      <c r="A10" s="128">
        <v>8.0</v>
      </c>
      <c r="B10" s="129"/>
      <c r="C10" s="130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</row>
    <row r="11">
      <c r="A11" s="128">
        <v>9.0</v>
      </c>
      <c r="B11" s="129"/>
      <c r="C11" s="130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</row>
    <row r="12">
      <c r="A12" s="134"/>
      <c r="B12" s="135"/>
      <c r="C12" s="136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</row>
    <row r="13">
      <c r="A13" s="134"/>
      <c r="B13" s="135"/>
      <c r="C13" s="136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</row>
    <row r="14">
      <c r="A14" s="134"/>
      <c r="B14" s="135"/>
      <c r="C14" s="136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</row>
    <row r="15">
      <c r="A15" s="134"/>
      <c r="B15" s="135"/>
      <c r="C15" s="136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</row>
    <row r="16">
      <c r="A16" s="134"/>
      <c r="B16" s="135"/>
      <c r="C16" s="135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</row>
    <row r="17">
      <c r="A17" s="137"/>
      <c r="B17" s="127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</row>
    <row r="18">
      <c r="A18" s="137"/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</row>
    <row r="19">
      <c r="A19" s="137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</row>
    <row r="20">
      <c r="A20" s="137"/>
      <c r="B20" s="127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</row>
    <row r="21">
      <c r="A21" s="137"/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</row>
    <row r="22">
      <c r="A22" s="137"/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</row>
    <row r="23">
      <c r="A23" s="137"/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</row>
    <row r="24">
      <c r="A24" s="137"/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</row>
    <row r="25">
      <c r="A25" s="137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>
      <c r="A26" s="137"/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</row>
    <row r="27">
      <c r="A27" s="137"/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</row>
    <row r="28">
      <c r="A28" s="137"/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</row>
    <row r="29">
      <c r="A29" s="137"/>
      <c r="B29" s="127"/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</row>
    <row r="30">
      <c r="A30" s="137"/>
      <c r="B30" s="127"/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</row>
    <row r="31">
      <c r="A31" s="137"/>
      <c r="B31" s="127"/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</row>
    <row r="32">
      <c r="A32" s="137"/>
      <c r="B32" s="127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</row>
    <row r="33">
      <c r="A33" s="137"/>
      <c r="B33" s="127"/>
      <c r="C33" s="127"/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</row>
    <row r="34">
      <c r="A34" s="137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</row>
    <row r="35">
      <c r="A35" s="137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</row>
    <row r="36">
      <c r="A36" s="137"/>
      <c r="B36" s="127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</row>
    <row r="37">
      <c r="A37" s="137"/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</row>
    <row r="38">
      <c r="A38" s="137"/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</row>
    <row r="39">
      <c r="A39" s="137"/>
      <c r="B39" s="127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</row>
    <row r="40">
      <c r="A40" s="137"/>
      <c r="B40" s="127"/>
      <c r="C40" s="127"/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</row>
    <row r="41">
      <c r="A41" s="137"/>
      <c r="B41" s="12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</row>
    <row r="42">
      <c r="A42" s="137"/>
      <c r="B42" s="127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</row>
    <row r="43">
      <c r="A43" s="137"/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</row>
    <row r="44">
      <c r="A44" s="137"/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</row>
    <row r="45">
      <c r="A45" s="137"/>
      <c r="B45" s="127"/>
      <c r="C45" s="127"/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</row>
    <row r="46">
      <c r="A46" s="137"/>
      <c r="B46" s="127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</row>
    <row r="47">
      <c r="A47" s="137"/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</row>
    <row r="48">
      <c r="A48" s="137"/>
      <c r="B48" s="127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</row>
    <row r="49">
      <c r="A49" s="137"/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</row>
    <row r="50">
      <c r="A50" s="137"/>
      <c r="B50" s="127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</row>
    <row r="51">
      <c r="A51" s="137"/>
      <c r="B51" s="127"/>
      <c r="C51" s="127"/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</row>
    <row r="52">
      <c r="A52" s="137"/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>
      <c r="A53" s="137"/>
      <c r="B53" s="127"/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</row>
    <row r="54">
      <c r="A54" s="137"/>
      <c r="B54" s="127"/>
      <c r="C54" s="127"/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</row>
    <row r="55">
      <c r="A55" s="137"/>
      <c r="B55" s="127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</row>
    <row r="56">
      <c r="A56" s="137"/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</row>
    <row r="57">
      <c r="A57" s="137"/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</row>
    <row r="58">
      <c r="A58" s="137"/>
      <c r="B58" s="127"/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</row>
    <row r="59">
      <c r="A59" s="137"/>
      <c r="B59" s="127"/>
      <c r="C59" s="127"/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</row>
    <row r="60">
      <c r="A60" s="137"/>
      <c r="B60" s="127"/>
      <c r="C60" s="127"/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</row>
    <row r="61">
      <c r="A61" s="137"/>
      <c r="B61" s="127"/>
      <c r="C61" s="127"/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</row>
    <row r="62">
      <c r="A62" s="137"/>
      <c r="B62" s="127"/>
      <c r="C62" s="127"/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</row>
    <row r="63">
      <c r="A63" s="137"/>
      <c r="B63" s="127"/>
      <c r="C63" s="127"/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</row>
    <row r="64">
      <c r="A64" s="137"/>
      <c r="B64" s="127"/>
      <c r="C64" s="127"/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</row>
    <row r="65">
      <c r="A65" s="137"/>
      <c r="B65" s="127"/>
      <c r="C65" s="127"/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</row>
    <row r="66">
      <c r="A66" s="137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7"/>
    </row>
    <row r="67">
      <c r="A67" s="137"/>
      <c r="B67" s="127"/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</row>
    <row r="68">
      <c r="A68" s="137"/>
      <c r="B68" s="127"/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7"/>
    </row>
    <row r="69">
      <c r="A69" s="137"/>
      <c r="B69" s="127"/>
      <c r="C69" s="127"/>
      <c r="D69" s="127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</row>
    <row r="70">
      <c r="A70" s="137"/>
      <c r="B70" s="127"/>
      <c r="C70" s="127"/>
      <c r="D70" s="127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7"/>
    </row>
    <row r="71">
      <c r="A71" s="137"/>
      <c r="B71" s="127"/>
      <c r="C71" s="127"/>
      <c r="D71" s="127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</row>
    <row r="72">
      <c r="A72" s="137"/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</row>
    <row r="73">
      <c r="A73" s="137"/>
      <c r="B73" s="127"/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</row>
    <row r="74">
      <c r="A74" s="137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</row>
    <row r="75">
      <c r="A75" s="137"/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</row>
    <row r="76">
      <c r="A76" s="137"/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</row>
    <row r="77">
      <c r="A77" s="137"/>
      <c r="B77" s="127"/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</row>
    <row r="78">
      <c r="A78" s="137"/>
      <c r="B78" s="127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</row>
    <row r="79">
      <c r="A79" s="137"/>
      <c r="B79" s="127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</row>
    <row r="80">
      <c r="A80" s="137"/>
      <c r="B80" s="127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</row>
    <row r="81">
      <c r="A81" s="137"/>
      <c r="B81" s="127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</row>
    <row r="82">
      <c r="A82" s="137"/>
      <c r="B82" s="127"/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</row>
    <row r="83">
      <c r="A83" s="137"/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</row>
    <row r="84">
      <c r="A84" s="137"/>
      <c r="B84" s="127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</row>
    <row r="85">
      <c r="A85" s="137"/>
      <c r="B85" s="127"/>
      <c r="C85" s="127"/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</row>
    <row r="86">
      <c r="A86" s="137"/>
      <c r="B86" s="127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</row>
    <row r="87">
      <c r="A87" s="137"/>
      <c r="B87" s="127"/>
      <c r="C87" s="127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</row>
    <row r="88">
      <c r="A88" s="137"/>
      <c r="B88" s="127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</row>
    <row r="89">
      <c r="A89" s="137"/>
      <c r="B89" s="127"/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</row>
    <row r="90">
      <c r="A90" s="137"/>
      <c r="B90" s="127"/>
      <c r="C90" s="127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</row>
    <row r="91">
      <c r="A91" s="137"/>
      <c r="B91" s="127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</row>
    <row r="92">
      <c r="A92" s="137"/>
      <c r="B92" s="127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</row>
    <row r="93">
      <c r="A93" s="137"/>
      <c r="B93" s="127"/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</row>
    <row r="94">
      <c r="A94" s="137"/>
      <c r="B94" s="127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</row>
    <row r="95">
      <c r="A95" s="137"/>
      <c r="B95" s="127"/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</row>
    <row r="96">
      <c r="A96" s="137"/>
      <c r="B96" s="127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</row>
    <row r="97">
      <c r="A97" s="137"/>
      <c r="B97" s="12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</row>
    <row r="98">
      <c r="A98" s="137"/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</row>
    <row r="99">
      <c r="A99" s="137"/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</row>
    <row r="100">
      <c r="A100" s="137"/>
      <c r="B100" s="127"/>
      <c r="C100" s="127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</row>
    <row r="101">
      <c r="A101" s="137"/>
      <c r="B101" s="127"/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</row>
    <row r="102">
      <c r="A102" s="137"/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</row>
    <row r="103">
      <c r="A103" s="137"/>
      <c r="B103" s="127"/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</row>
    <row r="104">
      <c r="A104" s="137"/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</row>
    <row r="105">
      <c r="A105" s="137"/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</row>
    <row r="106">
      <c r="A106" s="137"/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</row>
    <row r="107">
      <c r="A107" s="137"/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</row>
    <row r="108">
      <c r="A108" s="137"/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</row>
    <row r="109">
      <c r="A109" s="137"/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</row>
    <row r="110">
      <c r="A110" s="137"/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</row>
    <row r="111">
      <c r="A111" s="137"/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</row>
    <row r="112">
      <c r="A112" s="137"/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</row>
    <row r="113">
      <c r="A113" s="137"/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</row>
    <row r="114">
      <c r="A114" s="137"/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</row>
    <row r="115">
      <c r="A115" s="137"/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</row>
    <row r="116">
      <c r="A116" s="137"/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</row>
    <row r="117">
      <c r="A117" s="137"/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</row>
    <row r="118">
      <c r="A118" s="137"/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</row>
    <row r="119">
      <c r="A119" s="137"/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</row>
    <row r="120">
      <c r="A120" s="137"/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</row>
    <row r="121">
      <c r="A121" s="137"/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</row>
    <row r="122">
      <c r="A122" s="137"/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</row>
    <row r="123">
      <c r="A123" s="137"/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</row>
    <row r="124">
      <c r="A124" s="137"/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</row>
    <row r="125">
      <c r="A125" s="137"/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</row>
    <row r="126">
      <c r="A126" s="137"/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</row>
    <row r="127">
      <c r="A127" s="137"/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</row>
    <row r="128">
      <c r="A128" s="137"/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</row>
    <row r="129">
      <c r="A129" s="137"/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</row>
    <row r="130">
      <c r="A130" s="137"/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</row>
    <row r="131">
      <c r="A131" s="137"/>
      <c r="B131" s="127"/>
      <c r="C131" s="127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</row>
    <row r="132">
      <c r="A132" s="137"/>
      <c r="B132" s="127"/>
      <c r="C132" s="127"/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</row>
    <row r="133">
      <c r="A133" s="137"/>
      <c r="B133" s="127"/>
      <c r="C133" s="127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</row>
    <row r="134">
      <c r="A134" s="137"/>
      <c r="B134" s="127"/>
      <c r="C134" s="127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</row>
    <row r="135">
      <c r="A135" s="137"/>
      <c r="B135" s="127"/>
      <c r="C135" s="127"/>
      <c r="D135" s="127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</row>
    <row r="136">
      <c r="A136" s="137"/>
      <c r="B136" s="127"/>
      <c r="C136" s="127"/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</row>
    <row r="137">
      <c r="A137" s="137"/>
      <c r="B137" s="127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</row>
    <row r="138">
      <c r="A138" s="137"/>
      <c r="B138" s="127"/>
      <c r="C138" s="127"/>
      <c r="D138" s="127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</row>
    <row r="139">
      <c r="A139" s="137"/>
      <c r="B139" s="127"/>
      <c r="C139" s="127"/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</row>
    <row r="140">
      <c r="A140" s="137"/>
      <c r="B140" s="127"/>
      <c r="C140" s="127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</row>
    <row r="141">
      <c r="A141" s="137"/>
      <c r="B141" s="127"/>
      <c r="C141" s="127"/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</row>
    <row r="142">
      <c r="A142" s="137"/>
      <c r="B142" s="127"/>
      <c r="C142" s="127"/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</row>
    <row r="143">
      <c r="A143" s="137"/>
      <c r="B143" s="127"/>
      <c r="C143" s="127"/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</row>
    <row r="144">
      <c r="A144" s="137"/>
      <c r="B144" s="127"/>
      <c r="C144" s="127"/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</row>
    <row r="145">
      <c r="A145" s="137"/>
      <c r="B145" s="127"/>
      <c r="C145" s="127"/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</row>
    <row r="146">
      <c r="A146" s="137"/>
      <c r="B146" s="127"/>
      <c r="C146" s="127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</row>
    <row r="147">
      <c r="A147" s="137"/>
      <c r="B147" s="127"/>
      <c r="C147" s="127"/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</row>
    <row r="148">
      <c r="A148" s="137"/>
      <c r="B148" s="127"/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</row>
    <row r="149">
      <c r="A149" s="137"/>
      <c r="B149" s="127"/>
      <c r="C149" s="127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</row>
    <row r="150">
      <c r="A150" s="137"/>
      <c r="B150" s="127"/>
      <c r="C150" s="127"/>
      <c r="D150" s="127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</row>
    <row r="151">
      <c r="A151" s="137"/>
      <c r="B151" s="127"/>
      <c r="C151" s="127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</row>
    <row r="152">
      <c r="A152" s="137"/>
      <c r="B152" s="127"/>
      <c r="C152" s="127"/>
      <c r="D152" s="127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</row>
    <row r="153">
      <c r="A153" s="137"/>
      <c r="B153" s="127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</row>
    <row r="154">
      <c r="A154" s="137"/>
      <c r="B154" s="127"/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</row>
    <row r="155">
      <c r="A155" s="137"/>
      <c r="B155" s="127"/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</row>
    <row r="156">
      <c r="A156" s="137"/>
      <c r="B156" s="127"/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</row>
    <row r="157">
      <c r="A157" s="137"/>
      <c r="B157" s="127"/>
      <c r="C157" s="127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</row>
    <row r="158">
      <c r="A158" s="137"/>
      <c r="B158" s="127"/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</row>
    <row r="159">
      <c r="A159" s="137"/>
      <c r="B159" s="127"/>
      <c r="C159" s="127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</row>
    <row r="160">
      <c r="A160" s="137"/>
      <c r="B160" s="127"/>
      <c r="C160" s="127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</row>
    <row r="161">
      <c r="A161" s="137"/>
      <c r="B161" s="127"/>
      <c r="C161" s="127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</row>
    <row r="162">
      <c r="A162" s="137"/>
      <c r="B162" s="127"/>
      <c r="C162" s="127"/>
      <c r="D162" s="127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</row>
    <row r="163">
      <c r="A163" s="137"/>
      <c r="B163" s="127"/>
      <c r="C163" s="127"/>
      <c r="D163" s="127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</row>
    <row r="164">
      <c r="A164" s="137"/>
      <c r="B164" s="127"/>
      <c r="C164" s="127"/>
      <c r="D164" s="127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</row>
    <row r="165">
      <c r="A165" s="137"/>
      <c r="B165" s="127"/>
      <c r="C165" s="127"/>
      <c r="D165" s="127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</row>
    <row r="166">
      <c r="A166" s="137"/>
      <c r="B166" s="127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</row>
    <row r="167">
      <c r="A167" s="137"/>
      <c r="B167" s="127"/>
      <c r="C167" s="127"/>
      <c r="D167" s="127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</row>
    <row r="168">
      <c r="A168" s="137"/>
      <c r="B168" s="127"/>
      <c r="C168" s="127"/>
      <c r="D168" s="127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</row>
    <row r="169">
      <c r="A169" s="137"/>
      <c r="B169" s="127"/>
      <c r="C169" s="127"/>
      <c r="D169" s="127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</row>
    <row r="170">
      <c r="A170" s="137"/>
      <c r="B170" s="127"/>
      <c r="C170" s="127"/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</row>
    <row r="171">
      <c r="A171" s="137"/>
      <c r="B171" s="127"/>
      <c r="C171" s="127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</row>
    <row r="172">
      <c r="A172" s="137"/>
      <c r="B172" s="127"/>
      <c r="C172" s="127"/>
      <c r="D172" s="127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</row>
    <row r="173">
      <c r="A173" s="137"/>
      <c r="B173" s="127"/>
      <c r="C173" s="127"/>
      <c r="D173" s="127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</row>
    <row r="174">
      <c r="A174" s="137"/>
      <c r="B174" s="127"/>
      <c r="C174" s="127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</row>
    <row r="175">
      <c r="A175" s="137"/>
      <c r="B175" s="127"/>
      <c r="C175" s="127"/>
      <c r="D175" s="127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</row>
    <row r="176">
      <c r="A176" s="137"/>
      <c r="B176" s="127"/>
      <c r="C176" s="127"/>
      <c r="D176" s="127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</row>
    <row r="177">
      <c r="A177" s="137"/>
      <c r="B177" s="127"/>
      <c r="C177" s="127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</row>
    <row r="178">
      <c r="A178" s="137"/>
      <c r="B178" s="127"/>
      <c r="C178" s="127"/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</row>
    <row r="179">
      <c r="A179" s="137"/>
      <c r="B179" s="127"/>
      <c r="C179" s="127"/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</row>
    <row r="180">
      <c r="A180" s="137"/>
      <c r="B180" s="127"/>
      <c r="C180" s="127"/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</row>
    <row r="181">
      <c r="A181" s="137"/>
      <c r="B181" s="127"/>
      <c r="C181" s="127"/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</row>
    <row r="182">
      <c r="A182" s="137"/>
      <c r="B182" s="127"/>
      <c r="C182" s="127"/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</row>
    <row r="183">
      <c r="A183" s="137"/>
      <c r="B183" s="127"/>
      <c r="C183" s="127"/>
      <c r="D183" s="127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</row>
    <row r="184">
      <c r="A184" s="137"/>
      <c r="B184" s="127"/>
      <c r="C184" s="127"/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</row>
    <row r="185">
      <c r="A185" s="137"/>
      <c r="B185" s="127"/>
      <c r="C185" s="127"/>
      <c r="D185" s="127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</row>
    <row r="186">
      <c r="A186" s="137"/>
      <c r="B186" s="127"/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</row>
    <row r="187">
      <c r="A187" s="137"/>
      <c r="B187" s="127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</row>
    <row r="188">
      <c r="A188" s="137"/>
      <c r="B188" s="127"/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</row>
    <row r="189">
      <c r="A189" s="137"/>
      <c r="B189" s="127"/>
      <c r="C189" s="127"/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</row>
    <row r="190">
      <c r="A190" s="137"/>
      <c r="B190" s="127"/>
      <c r="C190" s="127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</row>
    <row r="191">
      <c r="A191" s="137"/>
      <c r="B191" s="127"/>
      <c r="C191" s="127"/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</row>
    <row r="192">
      <c r="A192" s="137"/>
      <c r="B192" s="127"/>
      <c r="C192" s="127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</row>
    <row r="193">
      <c r="A193" s="137"/>
      <c r="B193" s="127"/>
      <c r="C193" s="127"/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</row>
    <row r="194">
      <c r="A194" s="137"/>
      <c r="B194" s="127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</row>
    <row r="195">
      <c r="A195" s="137"/>
      <c r="B195" s="127"/>
      <c r="C195" s="127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</row>
    <row r="196">
      <c r="A196" s="137"/>
      <c r="B196" s="127"/>
      <c r="C196" s="127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</row>
    <row r="197">
      <c r="A197" s="137"/>
      <c r="B197" s="127"/>
      <c r="C197" s="127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</row>
    <row r="198">
      <c r="A198" s="137"/>
      <c r="B198" s="127"/>
      <c r="C198" s="127"/>
      <c r="D198" s="127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</row>
    <row r="199">
      <c r="A199" s="137"/>
      <c r="B199" s="127"/>
      <c r="C199" s="127"/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</row>
    <row r="200">
      <c r="A200" s="137"/>
      <c r="B200" s="127"/>
      <c r="C200" s="127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</row>
    <row r="201">
      <c r="A201" s="137"/>
      <c r="B201" s="127"/>
      <c r="C201" s="127"/>
      <c r="D201" s="127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</row>
    <row r="202">
      <c r="A202" s="137"/>
      <c r="B202" s="127"/>
      <c r="C202" s="127"/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</row>
    <row r="203">
      <c r="A203" s="137"/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</row>
    <row r="204">
      <c r="A204" s="137"/>
      <c r="B204" s="127"/>
      <c r="C204" s="127"/>
      <c r="D204" s="127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</row>
    <row r="205">
      <c r="A205" s="137"/>
      <c r="B205" s="127"/>
      <c r="C205" s="127"/>
      <c r="D205" s="127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</row>
    <row r="206">
      <c r="A206" s="137"/>
      <c r="B206" s="127"/>
      <c r="C206" s="127"/>
      <c r="D206" s="127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</row>
    <row r="207">
      <c r="A207" s="137"/>
      <c r="B207" s="127"/>
      <c r="C207" s="127"/>
      <c r="D207" s="127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</row>
    <row r="208">
      <c r="A208" s="137"/>
      <c r="B208" s="127"/>
      <c r="C208" s="127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</row>
    <row r="209">
      <c r="A209" s="137"/>
      <c r="B209" s="127"/>
      <c r="C209" s="127"/>
      <c r="D209" s="127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</row>
    <row r="210">
      <c r="A210" s="137"/>
      <c r="B210" s="127"/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</row>
    <row r="211">
      <c r="A211" s="137"/>
      <c r="B211" s="127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</row>
    <row r="212">
      <c r="A212" s="137"/>
      <c r="B212" s="127"/>
      <c r="C212" s="127"/>
      <c r="D212" s="127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</row>
    <row r="213">
      <c r="A213" s="137"/>
      <c r="B213" s="127"/>
      <c r="C213" s="127"/>
      <c r="D213" s="127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</row>
    <row r="214">
      <c r="A214" s="137"/>
      <c r="B214" s="127"/>
      <c r="C214" s="127"/>
      <c r="D214" s="127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</row>
    <row r="215">
      <c r="A215" s="137"/>
      <c r="B215" s="127"/>
      <c r="C215" s="127"/>
      <c r="D215" s="127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</row>
    <row r="216">
      <c r="A216" s="137"/>
      <c r="B216" s="127"/>
      <c r="C216" s="127"/>
      <c r="D216" s="127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</row>
    <row r="217">
      <c r="A217" s="137"/>
      <c r="B217" s="127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</row>
    <row r="218">
      <c r="A218" s="137"/>
      <c r="B218" s="127"/>
      <c r="C218" s="127"/>
      <c r="D218" s="127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</row>
    <row r="219">
      <c r="A219" s="137"/>
      <c r="B219" s="127"/>
      <c r="C219" s="127"/>
      <c r="D219" s="127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</row>
    <row r="220">
      <c r="A220" s="137"/>
      <c r="B220" s="127"/>
      <c r="C220" s="127"/>
      <c r="D220" s="127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</row>
    <row r="221">
      <c r="A221" s="137"/>
      <c r="B221" s="127"/>
      <c r="C221" s="127"/>
      <c r="D221" s="127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</row>
    <row r="222">
      <c r="A222" s="137"/>
      <c r="B222" s="127"/>
      <c r="C222" s="127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</row>
    <row r="223">
      <c r="A223" s="137"/>
      <c r="B223" s="127"/>
      <c r="C223" s="127"/>
      <c r="D223" s="127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</row>
    <row r="224">
      <c r="A224" s="137"/>
      <c r="B224" s="127"/>
      <c r="C224" s="127"/>
      <c r="D224" s="127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</row>
    <row r="225">
      <c r="A225" s="137"/>
      <c r="B225" s="127"/>
      <c r="C225" s="127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</row>
    <row r="226">
      <c r="A226" s="137"/>
      <c r="B226" s="127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</row>
    <row r="227">
      <c r="A227" s="137"/>
      <c r="B227" s="127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</row>
    <row r="228">
      <c r="A228" s="137"/>
      <c r="B228" s="127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</row>
    <row r="229">
      <c r="A229" s="137"/>
      <c r="B229" s="12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</row>
    <row r="230">
      <c r="A230" s="137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</row>
    <row r="231">
      <c r="A231" s="137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</row>
    <row r="232">
      <c r="A232" s="13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</row>
    <row r="233">
      <c r="A233" s="13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</row>
    <row r="234">
      <c r="A234" s="13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</row>
    <row r="235">
      <c r="A235" s="13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</row>
    <row r="236">
      <c r="A236" s="13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</row>
    <row r="237">
      <c r="A237" s="13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</row>
    <row r="238">
      <c r="A238" s="13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</row>
    <row r="239">
      <c r="A239" s="13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</row>
    <row r="240">
      <c r="A240" s="13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</row>
    <row r="241">
      <c r="A241" s="13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</row>
    <row r="242">
      <c r="A242" s="13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</row>
    <row r="243">
      <c r="A243" s="13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</row>
    <row r="244">
      <c r="A244" s="13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</row>
    <row r="245">
      <c r="A245" s="13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</row>
    <row r="246">
      <c r="A246" s="13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</row>
    <row r="247">
      <c r="A247" s="13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</row>
    <row r="248">
      <c r="A248" s="13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</row>
    <row r="249">
      <c r="A249" s="13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</row>
    <row r="250">
      <c r="A250" s="13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</row>
    <row r="251">
      <c r="A251" s="13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</row>
    <row r="252">
      <c r="A252" s="13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</row>
    <row r="253">
      <c r="A253" s="13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</row>
    <row r="254">
      <c r="A254" s="13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</row>
    <row r="255">
      <c r="A255" s="13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</row>
    <row r="256">
      <c r="A256" s="13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</row>
    <row r="257">
      <c r="A257" s="13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</row>
    <row r="258">
      <c r="A258" s="13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</row>
    <row r="259">
      <c r="A259" s="13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</row>
    <row r="260">
      <c r="A260" s="13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</row>
    <row r="261">
      <c r="A261" s="13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</row>
    <row r="262">
      <c r="A262" s="13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</row>
    <row r="263">
      <c r="A263" s="13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</row>
    <row r="264">
      <c r="A264" s="13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</row>
    <row r="265">
      <c r="A265" s="13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</row>
    <row r="266">
      <c r="A266" s="13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</row>
    <row r="267">
      <c r="A267" s="13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</row>
    <row r="268">
      <c r="A268" s="13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</row>
    <row r="269">
      <c r="A269" s="13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</row>
    <row r="270">
      <c r="A270" s="13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</row>
    <row r="271">
      <c r="A271" s="13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</row>
    <row r="272">
      <c r="A272" s="13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</row>
    <row r="273">
      <c r="A273" s="13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</row>
    <row r="274">
      <c r="A274" s="13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</row>
    <row r="275">
      <c r="A275" s="13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</row>
    <row r="276">
      <c r="A276" s="13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</row>
    <row r="277">
      <c r="A277" s="13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</row>
    <row r="278">
      <c r="A278" s="13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</row>
    <row r="279">
      <c r="A279" s="13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</row>
    <row r="280">
      <c r="A280" s="13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</row>
    <row r="281">
      <c r="A281" s="13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</row>
    <row r="282">
      <c r="A282" s="13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</row>
    <row r="283">
      <c r="A283" s="13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</row>
    <row r="284">
      <c r="A284" s="13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</row>
    <row r="285">
      <c r="A285" s="13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</row>
    <row r="286">
      <c r="A286" s="13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</row>
    <row r="287">
      <c r="A287" s="13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</row>
    <row r="288">
      <c r="A288" s="13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</row>
    <row r="289">
      <c r="A289" s="13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</row>
    <row r="290">
      <c r="A290" s="13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</row>
    <row r="291">
      <c r="A291" s="13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</row>
    <row r="292">
      <c r="A292" s="13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>
      <c r="A293" s="13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</row>
    <row r="294">
      <c r="A294" s="13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</row>
    <row r="295">
      <c r="A295" s="13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</row>
    <row r="296">
      <c r="A296" s="13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</row>
    <row r="297">
      <c r="A297" s="13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</row>
    <row r="298">
      <c r="A298" s="13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</row>
    <row r="299">
      <c r="A299" s="13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</row>
    <row r="300">
      <c r="A300" s="13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</row>
    <row r="301">
      <c r="A301" s="13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</row>
    <row r="302">
      <c r="A302" s="13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</row>
    <row r="303">
      <c r="A303" s="13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</row>
    <row r="304">
      <c r="A304" s="13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</row>
    <row r="305">
      <c r="A305" s="13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</row>
    <row r="306">
      <c r="A306" s="13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</row>
    <row r="307">
      <c r="A307" s="13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</row>
    <row r="308">
      <c r="A308" s="13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</row>
    <row r="309">
      <c r="A309" s="13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</row>
    <row r="310">
      <c r="A310" s="13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</row>
    <row r="311">
      <c r="A311" s="13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</row>
    <row r="312">
      <c r="A312" s="13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</row>
    <row r="313">
      <c r="A313" s="13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</row>
    <row r="314">
      <c r="A314" s="13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</row>
    <row r="315">
      <c r="A315" s="13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</row>
    <row r="316">
      <c r="A316" s="13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</row>
    <row r="317">
      <c r="A317" s="13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</row>
    <row r="318">
      <c r="A318" s="13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</row>
    <row r="319">
      <c r="A319" s="13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</row>
    <row r="320">
      <c r="A320" s="13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</row>
    <row r="321">
      <c r="A321" s="13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</row>
    <row r="322">
      <c r="A322" s="13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</row>
    <row r="323">
      <c r="A323" s="13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</row>
    <row r="324">
      <c r="A324" s="13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</row>
    <row r="325">
      <c r="A325" s="13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</row>
    <row r="326">
      <c r="A326" s="13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</row>
    <row r="327">
      <c r="A327" s="13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</row>
    <row r="328">
      <c r="A328" s="13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</row>
    <row r="329">
      <c r="A329" s="13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</row>
    <row r="330">
      <c r="A330" s="13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</row>
    <row r="331">
      <c r="A331" s="13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</row>
    <row r="332">
      <c r="A332" s="13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</row>
    <row r="333">
      <c r="A333" s="13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</row>
    <row r="334">
      <c r="A334" s="13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</row>
    <row r="335">
      <c r="A335" s="13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</row>
    <row r="336">
      <c r="A336" s="13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</row>
    <row r="337">
      <c r="A337" s="13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</row>
    <row r="338">
      <c r="A338" s="13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</row>
    <row r="339">
      <c r="A339" s="13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</row>
    <row r="340">
      <c r="A340" s="13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</row>
    <row r="341">
      <c r="A341" s="13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</row>
    <row r="342">
      <c r="A342" s="13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</row>
    <row r="343">
      <c r="A343" s="13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</row>
    <row r="344">
      <c r="A344" s="13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</row>
    <row r="345">
      <c r="A345" s="13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</row>
    <row r="346">
      <c r="A346" s="13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</row>
    <row r="347">
      <c r="A347" s="13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</row>
    <row r="348">
      <c r="A348" s="13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</row>
    <row r="349">
      <c r="A349" s="13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</row>
    <row r="350">
      <c r="A350" s="13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</row>
    <row r="351">
      <c r="A351" s="13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</row>
    <row r="352">
      <c r="A352" s="13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</row>
    <row r="353">
      <c r="A353" s="13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</row>
    <row r="354">
      <c r="A354" s="13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</row>
    <row r="355">
      <c r="A355" s="13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</row>
    <row r="356">
      <c r="A356" s="13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</row>
    <row r="357">
      <c r="A357" s="13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</row>
    <row r="358">
      <c r="A358" s="13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</row>
    <row r="359">
      <c r="A359" s="13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</row>
    <row r="360">
      <c r="A360" s="13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</row>
    <row r="361">
      <c r="A361" s="13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</row>
    <row r="362">
      <c r="A362" s="13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</row>
    <row r="363">
      <c r="A363" s="13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</row>
    <row r="364">
      <c r="A364" s="13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</row>
    <row r="365">
      <c r="A365" s="13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</row>
    <row r="366">
      <c r="A366" s="13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</row>
    <row r="367">
      <c r="A367" s="13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</row>
    <row r="368">
      <c r="A368" s="13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</row>
    <row r="369">
      <c r="A369" s="13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</row>
    <row r="370">
      <c r="A370" s="13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</row>
    <row r="371">
      <c r="A371" s="13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</row>
    <row r="372">
      <c r="A372" s="13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</row>
    <row r="373">
      <c r="A373" s="13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</row>
    <row r="374">
      <c r="A374" s="13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</row>
    <row r="375">
      <c r="A375" s="13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</row>
    <row r="376">
      <c r="A376" s="13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</row>
    <row r="377">
      <c r="A377" s="13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</row>
    <row r="378">
      <c r="A378" s="13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</row>
    <row r="379">
      <c r="A379" s="13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</row>
    <row r="380">
      <c r="A380" s="13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</row>
    <row r="381">
      <c r="A381" s="13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</row>
    <row r="382">
      <c r="A382" s="13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</row>
    <row r="383">
      <c r="A383" s="13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</row>
    <row r="384">
      <c r="A384" s="13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</row>
    <row r="385">
      <c r="A385" s="13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</row>
    <row r="386">
      <c r="A386" s="13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</row>
    <row r="387">
      <c r="A387" s="13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</row>
    <row r="388">
      <c r="A388" s="13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</row>
    <row r="389">
      <c r="A389" s="13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</row>
    <row r="390">
      <c r="A390" s="13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</row>
    <row r="391">
      <c r="A391" s="13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</row>
    <row r="392">
      <c r="A392" s="13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</row>
    <row r="393">
      <c r="A393" s="13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</row>
    <row r="394">
      <c r="A394" s="13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</row>
    <row r="395">
      <c r="A395" s="13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</row>
    <row r="396">
      <c r="A396" s="13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</row>
    <row r="397">
      <c r="A397" s="13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</row>
    <row r="398">
      <c r="A398" s="13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</row>
    <row r="399">
      <c r="A399" s="13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</row>
    <row r="400">
      <c r="A400" s="13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</row>
    <row r="401">
      <c r="A401" s="13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</row>
    <row r="402">
      <c r="A402" s="13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</row>
    <row r="403">
      <c r="A403" s="13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</row>
    <row r="404">
      <c r="A404" s="13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</row>
    <row r="405">
      <c r="A405" s="13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</row>
    <row r="406">
      <c r="A406" s="13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</row>
    <row r="407">
      <c r="A407" s="13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</row>
    <row r="408">
      <c r="A408" s="13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</row>
    <row r="409">
      <c r="A409" s="13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</row>
    <row r="410">
      <c r="A410" s="13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</row>
    <row r="411">
      <c r="A411" s="13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</row>
    <row r="412">
      <c r="A412" s="13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</row>
    <row r="413">
      <c r="A413" s="13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</row>
    <row r="414">
      <c r="A414" s="13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</row>
    <row r="415">
      <c r="A415" s="13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</row>
    <row r="416">
      <c r="A416" s="13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</row>
    <row r="417">
      <c r="A417" s="13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</row>
    <row r="418">
      <c r="A418" s="13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</row>
    <row r="419">
      <c r="A419" s="13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</row>
    <row r="420">
      <c r="A420" s="13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</row>
    <row r="421">
      <c r="A421" s="13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</row>
    <row r="422">
      <c r="A422" s="13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</row>
    <row r="423">
      <c r="A423" s="13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</row>
    <row r="424">
      <c r="A424" s="13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</row>
    <row r="425">
      <c r="A425" s="13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</row>
    <row r="426">
      <c r="A426" s="13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</row>
    <row r="427">
      <c r="A427" s="13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</row>
    <row r="428">
      <c r="A428" s="13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</row>
    <row r="429">
      <c r="A429" s="13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</row>
    <row r="430">
      <c r="A430" s="13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</row>
    <row r="431">
      <c r="A431" s="13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</row>
    <row r="432">
      <c r="A432" s="13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</row>
    <row r="433">
      <c r="A433" s="13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</row>
    <row r="434">
      <c r="A434" s="13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</row>
    <row r="435">
      <c r="A435" s="13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</row>
    <row r="436">
      <c r="A436" s="13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</row>
    <row r="437">
      <c r="A437" s="13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</row>
    <row r="438">
      <c r="A438" s="13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</row>
    <row r="439">
      <c r="A439" s="13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</row>
    <row r="440">
      <c r="A440" s="13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</row>
    <row r="441">
      <c r="A441" s="13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</row>
    <row r="442">
      <c r="A442" s="13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</row>
    <row r="443">
      <c r="A443" s="13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</row>
    <row r="444">
      <c r="A444" s="13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</row>
    <row r="445">
      <c r="A445" s="13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</row>
    <row r="446">
      <c r="A446" s="13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</row>
    <row r="447">
      <c r="A447" s="13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</row>
    <row r="448">
      <c r="A448" s="13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</row>
    <row r="449">
      <c r="A449" s="13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</row>
    <row r="450">
      <c r="A450" s="13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</row>
    <row r="451">
      <c r="A451" s="13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</row>
    <row r="452">
      <c r="A452" s="13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</row>
    <row r="453">
      <c r="A453" s="13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</row>
    <row r="454">
      <c r="A454" s="13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</row>
    <row r="455">
      <c r="A455" s="13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</row>
    <row r="456">
      <c r="A456" s="13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</row>
    <row r="457">
      <c r="A457" s="13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</row>
    <row r="458">
      <c r="A458" s="13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</row>
    <row r="459">
      <c r="A459" s="13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</row>
    <row r="460">
      <c r="A460" s="13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</row>
    <row r="461">
      <c r="A461" s="13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</row>
    <row r="462">
      <c r="A462" s="13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</row>
    <row r="463">
      <c r="A463" s="13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</row>
    <row r="464">
      <c r="A464" s="13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</row>
    <row r="465">
      <c r="A465" s="13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</row>
    <row r="466">
      <c r="A466" s="13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</row>
    <row r="467">
      <c r="A467" s="13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</row>
    <row r="468">
      <c r="A468" s="13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</row>
    <row r="469">
      <c r="A469" s="13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</row>
    <row r="470">
      <c r="A470" s="13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</row>
    <row r="471">
      <c r="A471" s="13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</row>
    <row r="472">
      <c r="A472" s="13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</row>
    <row r="473">
      <c r="A473" s="13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</row>
    <row r="474">
      <c r="A474" s="13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</row>
    <row r="475">
      <c r="A475" s="13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</row>
    <row r="476">
      <c r="A476" s="13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</row>
    <row r="477">
      <c r="A477" s="13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</row>
    <row r="478">
      <c r="A478" s="13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</row>
    <row r="479">
      <c r="A479" s="13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</row>
    <row r="480">
      <c r="A480" s="13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</row>
    <row r="481">
      <c r="A481" s="13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</row>
    <row r="482">
      <c r="A482" s="13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</row>
    <row r="483">
      <c r="A483" s="13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</row>
    <row r="484">
      <c r="A484" s="13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</row>
    <row r="485">
      <c r="A485" s="13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</row>
    <row r="486">
      <c r="A486" s="13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</row>
    <row r="487">
      <c r="A487" s="13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</row>
    <row r="488">
      <c r="A488" s="13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</row>
    <row r="489">
      <c r="A489" s="13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</row>
    <row r="490">
      <c r="A490" s="13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</row>
    <row r="491">
      <c r="A491" s="13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</row>
    <row r="492">
      <c r="A492" s="13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</row>
    <row r="493">
      <c r="A493" s="13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</row>
    <row r="494">
      <c r="A494" s="13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</row>
    <row r="495">
      <c r="A495" s="13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</row>
    <row r="496">
      <c r="A496" s="13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</row>
    <row r="497">
      <c r="A497" s="13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</row>
    <row r="498">
      <c r="A498" s="13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</row>
    <row r="499">
      <c r="A499" s="13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</row>
    <row r="500">
      <c r="A500" s="13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</row>
    <row r="501">
      <c r="A501" s="13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</row>
    <row r="502">
      <c r="A502" s="13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</row>
    <row r="503">
      <c r="A503" s="13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</row>
    <row r="504">
      <c r="A504" s="13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</row>
    <row r="505">
      <c r="A505" s="13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</row>
    <row r="506">
      <c r="A506" s="13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</row>
    <row r="507">
      <c r="A507" s="13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</row>
    <row r="508">
      <c r="A508" s="13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</row>
    <row r="509">
      <c r="A509" s="13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</row>
    <row r="510">
      <c r="A510" s="13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</row>
    <row r="511">
      <c r="A511" s="13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</row>
    <row r="512">
      <c r="A512" s="13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</row>
    <row r="513">
      <c r="A513" s="13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</row>
    <row r="514">
      <c r="A514" s="13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</row>
    <row r="515">
      <c r="A515" s="13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</row>
    <row r="516">
      <c r="A516" s="13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</row>
    <row r="517">
      <c r="A517" s="13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</row>
    <row r="518">
      <c r="A518" s="13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</row>
    <row r="519">
      <c r="A519" s="13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</row>
    <row r="520">
      <c r="A520" s="13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</row>
    <row r="521">
      <c r="A521" s="13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</row>
    <row r="522">
      <c r="A522" s="13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</row>
    <row r="523">
      <c r="A523" s="13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</row>
    <row r="524">
      <c r="A524" s="13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</row>
    <row r="525">
      <c r="A525" s="13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</row>
    <row r="526">
      <c r="A526" s="13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</row>
    <row r="527">
      <c r="A527" s="13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</row>
    <row r="528">
      <c r="A528" s="13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</row>
    <row r="529">
      <c r="A529" s="13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</row>
    <row r="530">
      <c r="A530" s="13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</row>
    <row r="531">
      <c r="A531" s="13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</row>
    <row r="532">
      <c r="A532" s="13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</row>
    <row r="533">
      <c r="A533" s="13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</row>
    <row r="534">
      <c r="A534" s="13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</row>
    <row r="535">
      <c r="A535" s="13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</row>
    <row r="536">
      <c r="A536" s="13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</row>
    <row r="537">
      <c r="A537" s="13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</row>
    <row r="538">
      <c r="A538" s="13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</row>
    <row r="539">
      <c r="A539" s="13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</row>
    <row r="540">
      <c r="A540" s="13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</row>
    <row r="541">
      <c r="A541" s="13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</row>
    <row r="542">
      <c r="A542" s="13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</row>
    <row r="543">
      <c r="A543" s="13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</row>
    <row r="544">
      <c r="A544" s="13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</row>
    <row r="545">
      <c r="A545" s="13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</row>
    <row r="546">
      <c r="A546" s="13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</row>
    <row r="547">
      <c r="A547" s="13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</row>
    <row r="548">
      <c r="A548" s="13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</row>
    <row r="549">
      <c r="A549" s="13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</row>
    <row r="550">
      <c r="A550" s="13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</row>
    <row r="551">
      <c r="A551" s="13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</row>
    <row r="552">
      <c r="A552" s="13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</row>
    <row r="553">
      <c r="A553" s="13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</row>
    <row r="554">
      <c r="A554" s="13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</row>
    <row r="555">
      <c r="A555" s="13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</row>
    <row r="556">
      <c r="A556" s="13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</row>
    <row r="557">
      <c r="A557" s="13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</row>
    <row r="558">
      <c r="A558" s="13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</row>
    <row r="559">
      <c r="A559" s="13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</row>
    <row r="560">
      <c r="A560" s="13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</row>
    <row r="561">
      <c r="A561" s="13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</row>
    <row r="562">
      <c r="A562" s="13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</row>
    <row r="563">
      <c r="A563" s="13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</row>
    <row r="564">
      <c r="A564" s="13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</row>
    <row r="565">
      <c r="A565" s="13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</row>
    <row r="566">
      <c r="A566" s="13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</row>
    <row r="567">
      <c r="A567" s="13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</row>
    <row r="568">
      <c r="A568" s="13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</row>
    <row r="569">
      <c r="A569" s="13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</row>
    <row r="570">
      <c r="A570" s="13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</row>
    <row r="571">
      <c r="A571" s="13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</row>
    <row r="572">
      <c r="A572" s="13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</row>
    <row r="573">
      <c r="A573" s="13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</row>
    <row r="574">
      <c r="A574" s="13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</row>
    <row r="575">
      <c r="A575" s="13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</row>
    <row r="576">
      <c r="A576" s="13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</row>
    <row r="577">
      <c r="A577" s="13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</row>
    <row r="578">
      <c r="A578" s="13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</row>
    <row r="579">
      <c r="A579" s="13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</row>
    <row r="580">
      <c r="A580" s="13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</row>
    <row r="581">
      <c r="A581" s="13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</row>
    <row r="582">
      <c r="A582" s="13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</row>
    <row r="583">
      <c r="A583" s="13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</row>
    <row r="584">
      <c r="A584" s="13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</row>
    <row r="585">
      <c r="A585" s="13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</row>
    <row r="586">
      <c r="A586" s="13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</row>
    <row r="587">
      <c r="A587" s="13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</row>
    <row r="588">
      <c r="A588" s="13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</row>
    <row r="589">
      <c r="A589" s="13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</row>
    <row r="590">
      <c r="A590" s="13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</row>
    <row r="591">
      <c r="A591" s="13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</row>
    <row r="592">
      <c r="A592" s="13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</row>
    <row r="593">
      <c r="A593" s="13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</row>
    <row r="594">
      <c r="A594" s="13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</row>
    <row r="595">
      <c r="A595" s="13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</row>
    <row r="596">
      <c r="A596" s="13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</row>
    <row r="597">
      <c r="A597" s="13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</row>
    <row r="598">
      <c r="A598" s="13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</row>
    <row r="599">
      <c r="A599" s="13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</row>
    <row r="600">
      <c r="A600" s="13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</row>
    <row r="601">
      <c r="A601" s="13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</row>
    <row r="602">
      <c r="A602" s="13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</row>
    <row r="603">
      <c r="A603" s="13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</row>
    <row r="604">
      <c r="A604" s="13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</row>
    <row r="605">
      <c r="A605" s="13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</row>
    <row r="606">
      <c r="A606" s="13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</row>
    <row r="607">
      <c r="A607" s="13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</row>
    <row r="608">
      <c r="A608" s="13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</row>
    <row r="609">
      <c r="A609" s="13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</row>
    <row r="610">
      <c r="A610" s="13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</row>
    <row r="611">
      <c r="A611" s="13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</row>
    <row r="612">
      <c r="A612" s="13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</row>
    <row r="613">
      <c r="A613" s="13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</row>
    <row r="614">
      <c r="A614" s="13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</row>
    <row r="615">
      <c r="A615" s="13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</row>
    <row r="616">
      <c r="A616" s="13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</row>
    <row r="617">
      <c r="A617" s="13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</row>
    <row r="618">
      <c r="A618" s="13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</row>
    <row r="619">
      <c r="A619" s="13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</row>
    <row r="620">
      <c r="A620" s="13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</row>
    <row r="621">
      <c r="A621" s="13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</row>
    <row r="622">
      <c r="A622" s="13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</row>
    <row r="623">
      <c r="A623" s="13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</row>
    <row r="624">
      <c r="A624" s="13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</row>
    <row r="625">
      <c r="A625" s="13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</row>
    <row r="626">
      <c r="A626" s="13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</row>
    <row r="627">
      <c r="A627" s="13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</row>
    <row r="628">
      <c r="A628" s="13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</row>
    <row r="629">
      <c r="A629" s="13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</row>
    <row r="630">
      <c r="A630" s="13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</row>
    <row r="631">
      <c r="A631" s="13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</row>
    <row r="632">
      <c r="A632" s="13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</row>
    <row r="633">
      <c r="A633" s="13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</row>
    <row r="634">
      <c r="A634" s="13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</row>
    <row r="635">
      <c r="A635" s="13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</row>
    <row r="636">
      <c r="A636" s="13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</row>
    <row r="637">
      <c r="A637" s="13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</row>
    <row r="638">
      <c r="A638" s="13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</row>
    <row r="639">
      <c r="A639" s="13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</row>
    <row r="640">
      <c r="A640" s="13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</row>
    <row r="641">
      <c r="A641" s="13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</row>
    <row r="642">
      <c r="A642" s="13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</row>
    <row r="643">
      <c r="A643" s="13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</row>
    <row r="644">
      <c r="A644" s="13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</row>
    <row r="645">
      <c r="A645" s="13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</row>
    <row r="646">
      <c r="A646" s="13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</row>
    <row r="647">
      <c r="A647" s="13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</row>
    <row r="648">
      <c r="A648" s="13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</row>
    <row r="649">
      <c r="A649" s="13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</row>
    <row r="650">
      <c r="A650" s="13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</row>
    <row r="651">
      <c r="A651" s="13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</row>
    <row r="652">
      <c r="A652" s="13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</row>
    <row r="653">
      <c r="A653" s="13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</row>
    <row r="654">
      <c r="A654" s="13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</row>
    <row r="655">
      <c r="A655" s="13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</row>
    <row r="656">
      <c r="A656" s="13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</row>
    <row r="657">
      <c r="A657" s="13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</row>
    <row r="658">
      <c r="A658" s="13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</row>
    <row r="659">
      <c r="A659" s="13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</row>
    <row r="660">
      <c r="A660" s="13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</row>
    <row r="661">
      <c r="A661" s="13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</row>
    <row r="662">
      <c r="A662" s="13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</row>
    <row r="663">
      <c r="A663" s="13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</row>
    <row r="664">
      <c r="A664" s="13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</row>
    <row r="665">
      <c r="A665" s="13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</row>
    <row r="666">
      <c r="A666" s="13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</row>
    <row r="667">
      <c r="A667" s="13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</row>
    <row r="668">
      <c r="A668" s="13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</row>
    <row r="669">
      <c r="A669" s="13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</row>
    <row r="670">
      <c r="A670" s="13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</row>
    <row r="671">
      <c r="A671" s="13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</row>
    <row r="672">
      <c r="A672" s="13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</row>
    <row r="673">
      <c r="A673" s="13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</row>
    <row r="674">
      <c r="A674" s="13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</row>
    <row r="675">
      <c r="A675" s="13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</row>
    <row r="676">
      <c r="A676" s="13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</row>
    <row r="677">
      <c r="A677" s="13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</row>
    <row r="678">
      <c r="A678" s="13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</row>
    <row r="679">
      <c r="A679" s="13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</row>
    <row r="680">
      <c r="A680" s="13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</row>
    <row r="681">
      <c r="A681" s="13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</row>
    <row r="682">
      <c r="A682" s="13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</row>
    <row r="683">
      <c r="A683" s="13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</row>
    <row r="684">
      <c r="A684" s="13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</row>
    <row r="685">
      <c r="A685" s="13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</row>
    <row r="686">
      <c r="A686" s="13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</row>
    <row r="687">
      <c r="A687" s="13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</row>
    <row r="688">
      <c r="A688" s="13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</row>
    <row r="689">
      <c r="A689" s="13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</row>
    <row r="690">
      <c r="A690" s="13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</row>
    <row r="691">
      <c r="A691" s="13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</row>
    <row r="692">
      <c r="A692" s="13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</row>
    <row r="693">
      <c r="A693" s="13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</row>
    <row r="694">
      <c r="A694" s="13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</row>
    <row r="695">
      <c r="A695" s="13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</row>
    <row r="696">
      <c r="A696" s="13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</row>
    <row r="697">
      <c r="A697" s="13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</row>
    <row r="698">
      <c r="A698" s="13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</row>
    <row r="699">
      <c r="A699" s="13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</row>
    <row r="700">
      <c r="A700" s="13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</row>
    <row r="701">
      <c r="A701" s="13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</row>
    <row r="702">
      <c r="A702" s="13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</row>
    <row r="703">
      <c r="A703" s="13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</row>
    <row r="704">
      <c r="A704" s="13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</row>
    <row r="705">
      <c r="A705" s="13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</row>
    <row r="706">
      <c r="A706" s="13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</row>
    <row r="707">
      <c r="A707" s="13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</row>
    <row r="708">
      <c r="A708" s="13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</row>
    <row r="709">
      <c r="A709" s="13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</row>
    <row r="710">
      <c r="A710" s="13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</row>
    <row r="711">
      <c r="A711" s="13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</row>
    <row r="712">
      <c r="A712" s="13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</row>
    <row r="713">
      <c r="A713" s="13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</row>
    <row r="714">
      <c r="A714" s="13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</row>
    <row r="715">
      <c r="A715" s="13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</row>
    <row r="716">
      <c r="A716" s="13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</row>
    <row r="717">
      <c r="A717" s="13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</row>
    <row r="718">
      <c r="A718" s="13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</row>
    <row r="719">
      <c r="A719" s="13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</row>
    <row r="720">
      <c r="A720" s="13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</row>
    <row r="721">
      <c r="A721" s="13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</row>
    <row r="722">
      <c r="A722" s="13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</row>
    <row r="723">
      <c r="A723" s="13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</row>
    <row r="724">
      <c r="A724" s="13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</row>
    <row r="725">
      <c r="A725" s="13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</row>
    <row r="726">
      <c r="A726" s="13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</row>
    <row r="727">
      <c r="A727" s="13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</row>
    <row r="728">
      <c r="A728" s="13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</row>
    <row r="729">
      <c r="A729" s="13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</row>
    <row r="730">
      <c r="A730" s="13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</row>
    <row r="731">
      <c r="A731" s="13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</row>
    <row r="732">
      <c r="A732" s="13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</row>
    <row r="733">
      <c r="A733" s="13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</row>
    <row r="734">
      <c r="A734" s="13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</row>
    <row r="735">
      <c r="A735" s="13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</row>
    <row r="736">
      <c r="A736" s="13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</row>
    <row r="737">
      <c r="A737" s="13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</row>
    <row r="738">
      <c r="A738" s="13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</row>
    <row r="739">
      <c r="A739" s="13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</row>
    <row r="740">
      <c r="A740" s="13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</row>
    <row r="741">
      <c r="A741" s="13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</row>
    <row r="742">
      <c r="A742" s="13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</row>
    <row r="743">
      <c r="A743" s="13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</row>
    <row r="744">
      <c r="A744" s="13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</row>
    <row r="745">
      <c r="A745" s="13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</row>
    <row r="746">
      <c r="A746" s="13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</row>
    <row r="747">
      <c r="A747" s="13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</row>
    <row r="748">
      <c r="A748" s="13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</row>
    <row r="749">
      <c r="A749" s="13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</row>
    <row r="750">
      <c r="A750" s="13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</row>
    <row r="751">
      <c r="A751" s="13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</row>
    <row r="752">
      <c r="A752" s="13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</row>
    <row r="753">
      <c r="A753" s="13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</row>
    <row r="754">
      <c r="A754" s="13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</row>
    <row r="755">
      <c r="A755" s="13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</row>
    <row r="756">
      <c r="A756" s="13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</row>
    <row r="757">
      <c r="A757" s="13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</row>
    <row r="758">
      <c r="A758" s="13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</row>
    <row r="759">
      <c r="A759" s="13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</row>
    <row r="760">
      <c r="A760" s="13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</row>
    <row r="761">
      <c r="A761" s="13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</row>
    <row r="762">
      <c r="A762" s="13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</row>
    <row r="763">
      <c r="A763" s="13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</row>
    <row r="764">
      <c r="A764" s="13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</row>
    <row r="765">
      <c r="A765" s="13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</row>
    <row r="766">
      <c r="A766" s="13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</row>
    <row r="767">
      <c r="A767" s="13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</row>
    <row r="768">
      <c r="A768" s="13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</row>
    <row r="769">
      <c r="A769" s="13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</row>
    <row r="770">
      <c r="A770" s="13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</row>
    <row r="771">
      <c r="A771" s="13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</row>
    <row r="772">
      <c r="A772" s="13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</row>
    <row r="773">
      <c r="A773" s="13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</row>
    <row r="774">
      <c r="A774" s="13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</row>
    <row r="775">
      <c r="A775" s="13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</row>
    <row r="776">
      <c r="A776" s="13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</row>
    <row r="777">
      <c r="A777" s="13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</row>
    <row r="778">
      <c r="A778" s="13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</row>
    <row r="779">
      <c r="A779" s="13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</row>
    <row r="780">
      <c r="A780" s="13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</row>
    <row r="781">
      <c r="A781" s="13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</row>
    <row r="782">
      <c r="A782" s="13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</row>
    <row r="783">
      <c r="A783" s="13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</row>
    <row r="784">
      <c r="A784" s="13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</row>
    <row r="785">
      <c r="A785" s="13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</row>
    <row r="786">
      <c r="A786" s="13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</row>
    <row r="787">
      <c r="A787" s="13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</row>
    <row r="788">
      <c r="A788" s="13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</row>
    <row r="789">
      <c r="A789" s="13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</row>
    <row r="790">
      <c r="A790" s="13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</row>
    <row r="791">
      <c r="A791" s="13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</row>
    <row r="792">
      <c r="A792" s="13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</row>
    <row r="793">
      <c r="A793" s="13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</row>
    <row r="794">
      <c r="A794" s="13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</row>
    <row r="795">
      <c r="A795" s="13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</row>
    <row r="796">
      <c r="A796" s="13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</row>
    <row r="797">
      <c r="A797" s="13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</row>
    <row r="798">
      <c r="A798" s="13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</row>
    <row r="799">
      <c r="A799" s="13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</row>
    <row r="800">
      <c r="A800" s="13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</row>
    <row r="801">
      <c r="A801" s="13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</row>
    <row r="802">
      <c r="A802" s="13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</row>
    <row r="803">
      <c r="A803" s="13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</row>
    <row r="804">
      <c r="A804" s="13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</row>
    <row r="805">
      <c r="A805" s="13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</row>
    <row r="806">
      <c r="A806" s="13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</row>
    <row r="807">
      <c r="A807" s="13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</row>
    <row r="808">
      <c r="A808" s="13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</row>
    <row r="809">
      <c r="A809" s="13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</row>
    <row r="810">
      <c r="A810" s="13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</row>
    <row r="811">
      <c r="A811" s="13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</row>
    <row r="812">
      <c r="A812" s="13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</row>
    <row r="813">
      <c r="A813" s="13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</row>
    <row r="814">
      <c r="A814" s="13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</row>
    <row r="815">
      <c r="A815" s="13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</row>
    <row r="816">
      <c r="A816" s="13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</row>
    <row r="817">
      <c r="A817" s="13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</row>
    <row r="818">
      <c r="A818" s="13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</row>
    <row r="819">
      <c r="A819" s="13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</row>
    <row r="820">
      <c r="A820" s="13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</row>
    <row r="821">
      <c r="A821" s="13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</row>
    <row r="822">
      <c r="A822" s="13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</row>
    <row r="823">
      <c r="A823" s="13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</row>
    <row r="824">
      <c r="A824" s="13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</row>
    <row r="825">
      <c r="A825" s="13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</row>
    <row r="826">
      <c r="A826" s="13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</row>
    <row r="827">
      <c r="A827" s="13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</row>
    <row r="828">
      <c r="A828" s="13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</row>
    <row r="829">
      <c r="A829" s="13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</row>
    <row r="830">
      <c r="A830" s="13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</row>
    <row r="831">
      <c r="A831" s="13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</row>
    <row r="832">
      <c r="A832" s="13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</row>
    <row r="833">
      <c r="A833" s="13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</row>
    <row r="834">
      <c r="A834" s="13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</row>
    <row r="835">
      <c r="A835" s="13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</row>
    <row r="836">
      <c r="A836" s="13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</row>
    <row r="837">
      <c r="A837" s="13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</row>
    <row r="838">
      <c r="A838" s="13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</row>
    <row r="839">
      <c r="A839" s="13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</row>
    <row r="840">
      <c r="A840" s="13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</row>
    <row r="841">
      <c r="A841" s="13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</row>
    <row r="842">
      <c r="A842" s="13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</row>
    <row r="843">
      <c r="A843" s="13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</row>
    <row r="844">
      <c r="A844" s="13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</row>
    <row r="845">
      <c r="A845" s="13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</row>
    <row r="846">
      <c r="A846" s="13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</row>
    <row r="847">
      <c r="A847" s="13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</row>
    <row r="848">
      <c r="A848" s="13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</row>
    <row r="849">
      <c r="A849" s="13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</row>
    <row r="850">
      <c r="A850" s="13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</row>
    <row r="851">
      <c r="A851" s="13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</row>
    <row r="852">
      <c r="A852" s="13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</row>
    <row r="853">
      <c r="A853" s="13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</row>
    <row r="854">
      <c r="A854" s="13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</row>
    <row r="855">
      <c r="A855" s="13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</row>
    <row r="856">
      <c r="A856" s="13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</row>
    <row r="857">
      <c r="A857" s="13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</row>
    <row r="858">
      <c r="A858" s="13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</row>
    <row r="859">
      <c r="A859" s="13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</row>
    <row r="860">
      <c r="A860" s="13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</row>
    <row r="861">
      <c r="A861" s="13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</row>
    <row r="862">
      <c r="A862" s="13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</row>
    <row r="863">
      <c r="A863" s="13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</row>
    <row r="864">
      <c r="A864" s="13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</row>
    <row r="865">
      <c r="A865" s="13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</row>
    <row r="866">
      <c r="A866" s="13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</row>
    <row r="867">
      <c r="A867" s="13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</row>
    <row r="868">
      <c r="A868" s="13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</row>
    <row r="869">
      <c r="A869" s="13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</row>
    <row r="870">
      <c r="A870" s="13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</row>
    <row r="871">
      <c r="A871" s="13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</row>
    <row r="872">
      <c r="A872" s="13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</row>
    <row r="873">
      <c r="A873" s="13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</row>
    <row r="874">
      <c r="A874" s="13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</row>
    <row r="875">
      <c r="A875" s="13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</row>
    <row r="876">
      <c r="A876" s="13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</row>
    <row r="877">
      <c r="A877" s="13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</row>
    <row r="878">
      <c r="A878" s="13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</row>
    <row r="879">
      <c r="A879" s="13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</row>
    <row r="880">
      <c r="A880" s="13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</row>
    <row r="881">
      <c r="A881" s="13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</row>
    <row r="882">
      <c r="A882" s="13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</row>
    <row r="883">
      <c r="A883" s="13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</row>
    <row r="884">
      <c r="A884" s="13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</row>
    <row r="885">
      <c r="A885" s="13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</row>
    <row r="886">
      <c r="A886" s="13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</row>
    <row r="887">
      <c r="A887" s="13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</row>
    <row r="888">
      <c r="A888" s="13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</row>
    <row r="889">
      <c r="A889" s="13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</row>
    <row r="890">
      <c r="A890" s="13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</row>
    <row r="891">
      <c r="A891" s="13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</row>
    <row r="892">
      <c r="A892" s="13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</row>
    <row r="893">
      <c r="A893" s="13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</row>
    <row r="894">
      <c r="A894" s="13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</row>
    <row r="895">
      <c r="A895" s="13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</row>
    <row r="896">
      <c r="A896" s="13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</row>
    <row r="897">
      <c r="A897" s="13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</row>
    <row r="898">
      <c r="A898" s="13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</row>
    <row r="899">
      <c r="A899" s="13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</row>
    <row r="900">
      <c r="A900" s="13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</row>
    <row r="901">
      <c r="A901" s="13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</row>
    <row r="902">
      <c r="A902" s="13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</row>
    <row r="903">
      <c r="A903" s="13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</row>
    <row r="904">
      <c r="A904" s="13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</row>
    <row r="905">
      <c r="A905" s="13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</row>
    <row r="906">
      <c r="A906" s="13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</row>
    <row r="907">
      <c r="A907" s="13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</row>
    <row r="908">
      <c r="A908" s="13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</row>
    <row r="909">
      <c r="A909" s="13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</row>
    <row r="910">
      <c r="A910" s="13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</row>
    <row r="911">
      <c r="A911" s="13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</row>
    <row r="912">
      <c r="A912" s="13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</row>
    <row r="913">
      <c r="A913" s="13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</row>
    <row r="914">
      <c r="A914" s="13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</row>
    <row r="915">
      <c r="A915" s="13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</row>
    <row r="916">
      <c r="A916" s="13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</row>
    <row r="917">
      <c r="A917" s="13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</row>
    <row r="918">
      <c r="A918" s="13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</row>
    <row r="919">
      <c r="A919" s="13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</row>
    <row r="920">
      <c r="A920" s="13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</row>
    <row r="921">
      <c r="A921" s="13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</row>
    <row r="922">
      <c r="A922" s="13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</row>
    <row r="923">
      <c r="A923" s="13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</row>
    <row r="924">
      <c r="A924" s="13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</row>
    <row r="925">
      <c r="A925" s="13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</row>
    <row r="926">
      <c r="A926" s="13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</row>
    <row r="927">
      <c r="A927" s="13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</row>
    <row r="928">
      <c r="A928" s="13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</row>
    <row r="929">
      <c r="A929" s="13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</row>
    <row r="930">
      <c r="A930" s="13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</row>
    <row r="931">
      <c r="A931" s="13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</row>
    <row r="932">
      <c r="A932" s="13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</row>
    <row r="933">
      <c r="A933" s="13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</row>
    <row r="934">
      <c r="A934" s="13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</row>
    <row r="935">
      <c r="A935" s="13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</row>
    <row r="936">
      <c r="A936" s="13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</row>
    <row r="937">
      <c r="A937" s="13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</row>
    <row r="938">
      <c r="A938" s="13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</row>
    <row r="939">
      <c r="A939" s="13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</row>
    <row r="940">
      <c r="A940" s="13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</row>
    <row r="941">
      <c r="A941" s="13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</row>
    <row r="942">
      <c r="A942" s="13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</row>
    <row r="943">
      <c r="A943" s="13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</row>
    <row r="944">
      <c r="A944" s="13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</row>
    <row r="945">
      <c r="A945" s="13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</row>
    <row r="946">
      <c r="A946" s="13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</row>
    <row r="947">
      <c r="A947" s="13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</row>
    <row r="948">
      <c r="A948" s="13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</row>
    <row r="949">
      <c r="A949" s="13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</row>
    <row r="950">
      <c r="A950" s="13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</row>
    <row r="951">
      <c r="A951" s="13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</row>
    <row r="952">
      <c r="A952" s="13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</row>
    <row r="953">
      <c r="A953" s="13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</row>
    <row r="954">
      <c r="A954" s="13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</row>
    <row r="955">
      <c r="A955" s="13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</row>
    <row r="956">
      <c r="A956" s="13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</row>
    <row r="957">
      <c r="A957" s="13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</row>
    <row r="958">
      <c r="A958" s="13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</row>
    <row r="959">
      <c r="A959" s="13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</row>
    <row r="960">
      <c r="A960" s="13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</row>
    <row r="961">
      <c r="A961" s="13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</row>
    <row r="962">
      <c r="A962" s="13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</row>
    <row r="963">
      <c r="A963" s="13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</row>
    <row r="964">
      <c r="A964" s="13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</row>
    <row r="965">
      <c r="A965" s="13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</row>
    <row r="966">
      <c r="A966" s="13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</row>
    <row r="967">
      <c r="A967" s="13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</row>
    <row r="968">
      <c r="A968" s="13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</row>
    <row r="969">
      <c r="A969" s="13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</row>
    <row r="970">
      <c r="A970" s="13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</row>
    <row r="971">
      <c r="A971" s="13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</row>
    <row r="972">
      <c r="A972" s="13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</row>
    <row r="973">
      <c r="A973" s="13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</row>
    <row r="974">
      <c r="A974" s="13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</row>
    <row r="975">
      <c r="A975" s="13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</row>
    <row r="976">
      <c r="A976" s="13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</row>
    <row r="977">
      <c r="A977" s="13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</row>
    <row r="978">
      <c r="A978" s="13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</row>
    <row r="979">
      <c r="A979" s="13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</row>
    <row r="980">
      <c r="A980" s="13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</row>
    <row r="981">
      <c r="A981" s="13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</row>
    <row r="982">
      <c r="A982" s="13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</row>
    <row r="983">
      <c r="A983" s="13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</row>
    <row r="984">
      <c r="A984" s="13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</row>
    <row r="985">
      <c r="A985" s="13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</row>
    <row r="986">
      <c r="A986" s="13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</row>
    <row r="987">
      <c r="A987" s="13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</row>
    <row r="988">
      <c r="A988" s="13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</row>
    <row r="989">
      <c r="A989" s="13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</row>
    <row r="990">
      <c r="A990" s="13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</row>
    <row r="991">
      <c r="A991" s="13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</row>
    <row r="992">
      <c r="A992" s="13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</row>
    <row r="993">
      <c r="A993" s="13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</row>
    <row r="994">
      <c r="A994" s="13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</row>
    <row r="995">
      <c r="A995" s="13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</row>
    <row r="996">
      <c r="A996" s="13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</row>
    <row r="997">
      <c r="A997" s="13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</row>
    <row r="998">
      <c r="A998" s="13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</row>
    <row r="999">
      <c r="A999" s="13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</row>
    <row r="1000">
      <c r="A1000" s="13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</row>
  </sheetData>
  <mergeCells count="2">
    <mergeCell ref="A1:B1"/>
    <mergeCell ref="A2:B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hidden="1" min="1" max="1" width="9.0"/>
    <col customWidth="1" min="2" max="2" width="17.14"/>
    <col customWidth="1" min="3" max="3" width="10.0"/>
    <col customWidth="1" min="4" max="4" width="18.86"/>
    <col customWidth="1" hidden="1" min="5" max="6" width="5.86"/>
    <col customWidth="1" min="7" max="7" width="15.29"/>
    <col customWidth="1" min="8" max="9" width="5.43"/>
    <col hidden="1" min="10" max="15" width="14.43"/>
  </cols>
  <sheetData>
    <row r="1">
      <c r="A1" s="2" t="s">
        <v>0</v>
      </c>
      <c r="E1" s="3"/>
      <c r="H1" s="4">
        <v>27.0</v>
      </c>
    </row>
    <row r="2">
      <c r="A2" s="9"/>
      <c r="H2" s="11" t="str">
        <f>BL3</f>
        <v/>
      </c>
    </row>
    <row r="3">
      <c r="A3" s="16" t="s">
        <v>28</v>
      </c>
      <c r="B3" s="17"/>
      <c r="C3" s="13"/>
      <c r="D3" s="16" t="s">
        <v>29</v>
      </c>
      <c r="E3" s="17"/>
      <c r="F3" s="17"/>
      <c r="G3" s="13"/>
      <c r="H3" s="14" t="s">
        <v>27</v>
      </c>
      <c r="I3" s="13"/>
      <c r="J3" s="138"/>
      <c r="K3" s="138"/>
      <c r="L3" s="138"/>
      <c r="M3" s="138"/>
    </row>
    <row r="4">
      <c r="A4" s="22"/>
      <c r="B4" s="23"/>
      <c r="C4" s="24"/>
      <c r="D4" s="23"/>
      <c r="E4" s="23"/>
      <c r="F4" s="23"/>
      <c r="G4" s="25"/>
      <c r="H4" s="23"/>
      <c r="I4" s="23"/>
      <c r="J4" s="138"/>
      <c r="K4" s="138"/>
      <c r="L4" s="138"/>
      <c r="M4" s="138"/>
    </row>
    <row r="5">
      <c r="A5" s="22"/>
      <c r="B5" s="23"/>
      <c r="C5" s="24"/>
      <c r="D5" s="31" t="s">
        <v>30</v>
      </c>
      <c r="E5" s="17"/>
      <c r="F5" s="17"/>
      <c r="G5" s="13"/>
      <c r="H5" s="23"/>
      <c r="I5" s="23"/>
      <c r="J5" s="138"/>
      <c r="K5" s="138"/>
      <c r="L5" s="138"/>
      <c r="M5" s="138"/>
    </row>
    <row r="6">
      <c r="A6" s="22"/>
      <c r="B6" s="23"/>
      <c r="C6" s="24"/>
      <c r="D6" s="31" t="s">
        <v>31</v>
      </c>
      <c r="E6" s="17"/>
      <c r="F6" s="17"/>
      <c r="G6" s="13"/>
      <c r="H6" s="23"/>
      <c r="I6" s="23"/>
      <c r="J6" s="139"/>
      <c r="K6" s="13"/>
      <c r="L6" s="139"/>
      <c r="M6" s="13"/>
    </row>
    <row r="7">
      <c r="A7" s="22">
        <v>1.0</v>
      </c>
      <c r="B7" s="34">
        <v>46185.08333333333</v>
      </c>
      <c r="C7" s="35">
        <v>46185.08333333333</v>
      </c>
      <c r="D7" s="36" t="s">
        <v>32</v>
      </c>
      <c r="E7" s="23">
        <v>0.0</v>
      </c>
      <c r="F7" s="23"/>
      <c r="G7" s="36" t="s">
        <v>33</v>
      </c>
      <c r="H7" s="37">
        <f t="shared" ref="H7:I7" si="1">INT((J7+L7+N7)/3)</f>
        <v>2</v>
      </c>
      <c r="I7" s="37">
        <f t="shared" si="1"/>
        <v>0</v>
      </c>
      <c r="J7" s="37">
        <v>2.0</v>
      </c>
      <c r="K7" s="140">
        <v>0.0</v>
      </c>
      <c r="L7" s="140">
        <v>2.0</v>
      </c>
      <c r="M7" s="140">
        <v>1.0</v>
      </c>
      <c r="N7" s="141">
        <v>2.0</v>
      </c>
      <c r="O7" s="141">
        <v>0.0</v>
      </c>
    </row>
    <row r="8">
      <c r="A8" s="22">
        <v>2.0</v>
      </c>
      <c r="B8" s="46">
        <v>46185.37499999999</v>
      </c>
      <c r="C8" s="47">
        <v>46185.37499999999</v>
      </c>
      <c r="D8" s="48" t="s">
        <v>34</v>
      </c>
      <c r="E8" s="23"/>
      <c r="F8" s="23"/>
      <c r="G8" s="48" t="s">
        <v>35</v>
      </c>
      <c r="H8" s="37">
        <f t="shared" ref="H8:I8" si="2">INT((J8+L8+N8)/3)</f>
        <v>1</v>
      </c>
      <c r="I8" s="37">
        <f t="shared" si="2"/>
        <v>1</v>
      </c>
      <c r="J8" s="37">
        <v>1.0</v>
      </c>
      <c r="K8" s="140">
        <v>1.0</v>
      </c>
      <c r="L8" s="140">
        <v>1.0</v>
      </c>
      <c r="M8" s="140">
        <v>1.0</v>
      </c>
      <c r="N8" s="141">
        <v>1.0</v>
      </c>
      <c r="O8" s="141">
        <v>1.0</v>
      </c>
    </row>
    <row r="9">
      <c r="A9" s="22">
        <v>3.0</v>
      </c>
      <c r="B9" s="46">
        <v>46186.08333333333</v>
      </c>
      <c r="C9" s="47">
        <v>46186.08333333333</v>
      </c>
      <c r="D9" s="48" t="s">
        <v>36</v>
      </c>
      <c r="E9" s="23"/>
      <c r="F9" s="23"/>
      <c r="G9" s="48" t="s">
        <v>37</v>
      </c>
      <c r="H9" s="37">
        <f t="shared" ref="H9:I9" si="3">INT((J9+L9+N9)/3)</f>
        <v>2</v>
      </c>
      <c r="I9" s="37">
        <f t="shared" si="3"/>
        <v>1</v>
      </c>
      <c r="J9" s="37">
        <v>2.0</v>
      </c>
      <c r="K9" s="140">
        <v>1.0</v>
      </c>
      <c r="L9" s="140">
        <v>2.0</v>
      </c>
      <c r="M9" s="140">
        <v>1.0</v>
      </c>
      <c r="N9" s="141">
        <v>2.0</v>
      </c>
      <c r="O9" s="141">
        <v>1.0</v>
      </c>
    </row>
    <row r="10">
      <c r="A10" s="22">
        <v>4.0</v>
      </c>
      <c r="B10" s="46">
        <v>46186.33333333333</v>
      </c>
      <c r="C10" s="47">
        <v>46186.33333333333</v>
      </c>
      <c r="D10" s="48" t="s">
        <v>38</v>
      </c>
      <c r="E10" s="23"/>
      <c r="F10" s="23"/>
      <c r="G10" s="48" t="s">
        <v>39</v>
      </c>
      <c r="H10" s="37">
        <f t="shared" ref="H10:I10" si="4">INT((J10+L10+N10)/3)</f>
        <v>2</v>
      </c>
      <c r="I10" s="37">
        <f t="shared" si="4"/>
        <v>0</v>
      </c>
      <c r="J10" s="37">
        <v>2.0</v>
      </c>
      <c r="K10" s="140">
        <v>1.0</v>
      </c>
      <c r="L10" s="140">
        <v>2.0</v>
      </c>
      <c r="M10" s="140">
        <v>0.0</v>
      </c>
      <c r="N10" s="141">
        <v>2.0</v>
      </c>
      <c r="O10" s="141">
        <v>1.0</v>
      </c>
    </row>
    <row r="11">
      <c r="A11" s="22">
        <v>5.0</v>
      </c>
      <c r="B11" s="46">
        <v>46187.08333333333</v>
      </c>
      <c r="C11" s="47">
        <v>46187.08333333333</v>
      </c>
      <c r="D11" s="48" t="s">
        <v>40</v>
      </c>
      <c r="E11" s="23"/>
      <c r="F11" s="23"/>
      <c r="G11" s="48" t="s">
        <v>41</v>
      </c>
      <c r="H11" s="37">
        <f t="shared" ref="H11:I11" si="5">INT((J11+L11+N11)/3)</f>
        <v>0</v>
      </c>
      <c r="I11" s="37">
        <f t="shared" si="5"/>
        <v>2</v>
      </c>
      <c r="J11" s="37">
        <v>0.0</v>
      </c>
      <c r="K11" s="140">
        <v>2.0</v>
      </c>
      <c r="L11" s="140">
        <v>0.0</v>
      </c>
      <c r="M11" s="140">
        <v>2.0</v>
      </c>
      <c r="N11" s="141">
        <v>0.0</v>
      </c>
      <c r="O11" s="141">
        <v>2.0</v>
      </c>
    </row>
    <row r="12">
      <c r="A12" s="22">
        <v>6.0</v>
      </c>
      <c r="B12" s="46">
        <v>46187.20833333333</v>
      </c>
      <c r="C12" s="47">
        <v>46187.20833333333</v>
      </c>
      <c r="D12" s="48" t="s">
        <v>42</v>
      </c>
      <c r="E12" s="23"/>
      <c r="F12" s="23"/>
      <c r="G12" s="48" t="s">
        <v>43</v>
      </c>
      <c r="H12" s="37">
        <f t="shared" ref="H12:I12" si="6">INT((J12+L12+N12)/3)</f>
        <v>2</v>
      </c>
      <c r="I12" s="37">
        <f t="shared" si="6"/>
        <v>0</v>
      </c>
      <c r="J12" s="37">
        <v>2.0</v>
      </c>
      <c r="K12" s="140">
        <v>1.0</v>
      </c>
      <c r="L12" s="140">
        <v>2.0</v>
      </c>
      <c r="M12" s="140">
        <v>1.0</v>
      </c>
      <c r="N12" s="141">
        <v>3.0</v>
      </c>
      <c r="O12" s="141">
        <v>0.0</v>
      </c>
    </row>
    <row r="13">
      <c r="A13" s="22">
        <v>7.0</v>
      </c>
      <c r="B13" s="46">
        <v>46187.33333333333</v>
      </c>
      <c r="C13" s="47">
        <v>46187.33333333333</v>
      </c>
      <c r="D13" s="48" t="s">
        <v>44</v>
      </c>
      <c r="E13" s="23"/>
      <c r="F13" s="23"/>
      <c r="G13" s="48" t="s">
        <v>45</v>
      </c>
      <c r="H13" s="37">
        <f t="shared" ref="H13:I13" si="7">INT((J13+L13+N13)/3)</f>
        <v>0</v>
      </c>
      <c r="I13" s="37">
        <f t="shared" si="7"/>
        <v>2</v>
      </c>
      <c r="J13" s="37">
        <v>0.0</v>
      </c>
      <c r="K13" s="140">
        <v>2.0</v>
      </c>
      <c r="L13" s="140">
        <v>0.0</v>
      </c>
      <c r="M13" s="140">
        <v>2.0</v>
      </c>
      <c r="N13" s="141">
        <v>0.0</v>
      </c>
      <c r="O13" s="141">
        <v>3.0</v>
      </c>
    </row>
    <row r="14">
      <c r="A14" s="22">
        <v>8.0</v>
      </c>
      <c r="B14" s="46">
        <v>46187.45833333333</v>
      </c>
      <c r="C14" s="47">
        <v>46187.45833333333</v>
      </c>
      <c r="D14" s="48" t="s">
        <v>46</v>
      </c>
      <c r="E14" s="23"/>
      <c r="F14" s="23"/>
      <c r="G14" s="48" t="s">
        <v>47</v>
      </c>
      <c r="H14" s="37">
        <f t="shared" ref="H14:I14" si="8">INT((J14+L14+N14)/3)</f>
        <v>1</v>
      </c>
      <c r="I14" s="37">
        <f t="shared" si="8"/>
        <v>1</v>
      </c>
      <c r="J14" s="37">
        <v>1.0</v>
      </c>
      <c r="K14" s="140">
        <v>1.0</v>
      </c>
      <c r="L14" s="140">
        <v>1.0</v>
      </c>
      <c r="M14" s="140">
        <v>1.0</v>
      </c>
      <c r="N14" s="141">
        <v>1.0</v>
      </c>
      <c r="O14" s="141">
        <v>2.0</v>
      </c>
    </row>
    <row r="15">
      <c r="A15" s="22">
        <v>9.0</v>
      </c>
      <c r="B15" s="46">
        <v>46187.99999999999</v>
      </c>
      <c r="C15" s="47">
        <v>46187.99999999999</v>
      </c>
      <c r="D15" s="48" t="s">
        <v>48</v>
      </c>
      <c r="E15" s="23"/>
      <c r="F15" s="23"/>
      <c r="G15" s="48" t="s">
        <v>49</v>
      </c>
      <c r="H15" s="37">
        <f t="shared" ref="H15:I15" si="9">INT((J15+L15+N15)/3)</f>
        <v>4</v>
      </c>
      <c r="I15" s="37">
        <f t="shared" si="9"/>
        <v>0</v>
      </c>
      <c r="J15" s="37">
        <v>4.0</v>
      </c>
      <c r="K15" s="140">
        <v>0.0</v>
      </c>
      <c r="L15" s="140">
        <v>4.0</v>
      </c>
      <c r="M15" s="140">
        <v>0.0</v>
      </c>
      <c r="N15" s="141">
        <v>4.0</v>
      </c>
      <c r="O15" s="141">
        <v>0.0</v>
      </c>
    </row>
    <row r="16">
      <c r="A16" s="22">
        <v>10.0</v>
      </c>
      <c r="B16" s="46">
        <v>46188.12499999999</v>
      </c>
      <c r="C16" s="47">
        <v>46188.12499999999</v>
      </c>
      <c r="D16" s="48" t="s">
        <v>50</v>
      </c>
      <c r="E16" s="23"/>
      <c r="F16" s="23"/>
      <c r="G16" s="48" t="s">
        <v>51</v>
      </c>
      <c r="H16" s="37">
        <f t="shared" ref="H16:I16" si="10">INT((J16+L16+N16)/3)</f>
        <v>2</v>
      </c>
      <c r="I16" s="37">
        <f t="shared" si="10"/>
        <v>1</v>
      </c>
      <c r="J16" s="37">
        <v>2.0</v>
      </c>
      <c r="K16" s="140">
        <v>1.0</v>
      </c>
      <c r="L16" s="140">
        <v>2.0</v>
      </c>
      <c r="M16" s="140">
        <v>1.0</v>
      </c>
      <c r="N16" s="141">
        <v>2.0</v>
      </c>
      <c r="O16" s="141">
        <v>1.0</v>
      </c>
    </row>
    <row r="17">
      <c r="A17" s="22">
        <v>11.0</v>
      </c>
      <c r="B17" s="46">
        <v>46188.24999999999</v>
      </c>
      <c r="C17" s="47">
        <v>46188.24999999999</v>
      </c>
      <c r="D17" s="48" t="s">
        <v>52</v>
      </c>
      <c r="E17" s="23"/>
      <c r="F17" s="23"/>
      <c r="G17" s="48" t="s">
        <v>53</v>
      </c>
      <c r="H17" s="37">
        <f t="shared" ref="H17:I17" si="11">INT((J17+L17+N17)/3)</f>
        <v>1</v>
      </c>
      <c r="I17" s="37">
        <f t="shared" si="11"/>
        <v>1</v>
      </c>
      <c r="J17" s="37">
        <v>1.0</v>
      </c>
      <c r="K17" s="140">
        <v>1.0</v>
      </c>
      <c r="L17" s="140">
        <v>1.0</v>
      </c>
      <c r="M17" s="140">
        <v>1.0</v>
      </c>
      <c r="N17" s="141">
        <v>2.0</v>
      </c>
      <c r="O17" s="141">
        <v>1.0</v>
      </c>
    </row>
    <row r="18">
      <c r="A18" s="22">
        <v>12.0</v>
      </c>
      <c r="B18" s="46">
        <v>46188.37499999999</v>
      </c>
      <c r="C18" s="47">
        <v>46188.37499999999</v>
      </c>
      <c r="D18" s="48" t="s">
        <v>54</v>
      </c>
      <c r="E18" s="23"/>
      <c r="F18" s="23"/>
      <c r="G18" s="48" t="s">
        <v>55</v>
      </c>
      <c r="H18" s="37">
        <f t="shared" ref="H18:I18" si="12">INT((J18+L18+N18)/3)</f>
        <v>1</v>
      </c>
      <c r="I18" s="37">
        <f t="shared" si="12"/>
        <v>0</v>
      </c>
      <c r="J18" s="37">
        <v>1.0</v>
      </c>
      <c r="K18" s="140">
        <v>0.0</v>
      </c>
      <c r="L18" s="140">
        <v>2.0</v>
      </c>
      <c r="M18" s="140">
        <v>0.0</v>
      </c>
      <c r="N18" s="141">
        <v>1.0</v>
      </c>
      <c r="O18" s="141">
        <v>1.0</v>
      </c>
    </row>
    <row r="19">
      <c r="A19" s="22">
        <v>13.0</v>
      </c>
      <c r="B19" s="34">
        <v>46188.95833333333</v>
      </c>
      <c r="C19" s="49">
        <v>46188.95833333333</v>
      </c>
      <c r="D19" s="36" t="s">
        <v>56</v>
      </c>
      <c r="E19" s="23"/>
      <c r="F19" s="23"/>
      <c r="G19" s="36" t="s">
        <v>57</v>
      </c>
      <c r="H19" s="37">
        <f t="shared" ref="H19:I19" si="13">INT((J19+L19+N19)/3)</f>
        <v>3</v>
      </c>
      <c r="I19" s="37">
        <f t="shared" si="13"/>
        <v>0</v>
      </c>
      <c r="J19" s="37">
        <v>3.0</v>
      </c>
      <c r="K19" s="140">
        <v>0.0</v>
      </c>
      <c r="L19" s="140">
        <v>3.0</v>
      </c>
      <c r="M19" s="140">
        <v>0.0</v>
      </c>
      <c r="N19" s="141">
        <v>3.0</v>
      </c>
      <c r="O19" s="141">
        <v>0.0</v>
      </c>
    </row>
    <row r="20">
      <c r="A20" s="22">
        <v>14.0</v>
      </c>
      <c r="B20" s="46">
        <v>46189.08333333333</v>
      </c>
      <c r="C20" s="51">
        <v>46189.08333333333</v>
      </c>
      <c r="D20" s="48" t="s">
        <v>58</v>
      </c>
      <c r="E20" s="23"/>
      <c r="F20" s="23"/>
      <c r="G20" s="48" t="s">
        <v>59</v>
      </c>
      <c r="H20" s="37">
        <f t="shared" ref="H20:I20" si="14">INT((J20+L20+N20)/3)</f>
        <v>2</v>
      </c>
      <c r="I20" s="37">
        <f t="shared" si="14"/>
        <v>0</v>
      </c>
      <c r="J20" s="37">
        <v>2.0</v>
      </c>
      <c r="K20" s="140">
        <v>0.0</v>
      </c>
      <c r="L20" s="140">
        <v>2.0</v>
      </c>
      <c r="M20" s="140">
        <v>1.0</v>
      </c>
      <c r="N20" s="141">
        <v>2.0</v>
      </c>
      <c r="O20" s="141">
        <v>0.0</v>
      </c>
    </row>
    <row r="21">
      <c r="A21" s="22">
        <v>15.0</v>
      </c>
      <c r="B21" s="46">
        <v>46189.20833333333</v>
      </c>
      <c r="C21" s="51">
        <v>46189.20833333333</v>
      </c>
      <c r="D21" s="48" t="s">
        <v>60</v>
      </c>
      <c r="E21" s="23"/>
      <c r="F21" s="23"/>
      <c r="G21" s="48" t="s">
        <v>61</v>
      </c>
      <c r="H21" s="37">
        <f t="shared" ref="H21:I21" si="15">INT((J21+L21+N21)/3)</f>
        <v>0</v>
      </c>
      <c r="I21" s="37">
        <f t="shared" si="15"/>
        <v>2</v>
      </c>
      <c r="J21" s="37">
        <v>0.0</v>
      </c>
      <c r="K21" s="140">
        <v>2.0</v>
      </c>
      <c r="L21" s="140">
        <v>0.0</v>
      </c>
      <c r="M21" s="140">
        <v>2.0</v>
      </c>
      <c r="N21" s="141">
        <v>1.0</v>
      </c>
      <c r="O21" s="141">
        <v>2.0</v>
      </c>
    </row>
    <row r="22">
      <c r="A22" s="22">
        <v>16.0</v>
      </c>
      <c r="B22" s="34">
        <v>46189.33333333333</v>
      </c>
      <c r="C22" s="49">
        <v>46189.33333333333</v>
      </c>
      <c r="D22" s="36" t="s">
        <v>62</v>
      </c>
      <c r="E22" s="23"/>
      <c r="F22" s="23"/>
      <c r="G22" s="36" t="s">
        <v>63</v>
      </c>
      <c r="H22" s="37">
        <f t="shared" ref="H22:I22" si="16">INT((J22+L22+N22)/3)</f>
        <v>1</v>
      </c>
      <c r="I22" s="37">
        <f t="shared" si="16"/>
        <v>0</v>
      </c>
      <c r="J22" s="37">
        <v>2.0</v>
      </c>
      <c r="K22" s="140">
        <v>0.0</v>
      </c>
      <c r="L22" s="140">
        <v>2.0</v>
      </c>
      <c r="M22" s="140">
        <v>0.0</v>
      </c>
      <c r="N22" s="141">
        <v>1.0</v>
      </c>
      <c r="O22" s="141">
        <v>1.0</v>
      </c>
    </row>
    <row r="23">
      <c r="A23" s="22">
        <v>17.0</v>
      </c>
      <c r="B23" s="34">
        <v>46190.08333333333</v>
      </c>
      <c r="C23" s="49">
        <v>46190.08333333333</v>
      </c>
      <c r="D23" s="36" t="s">
        <v>64</v>
      </c>
      <c r="E23" s="23"/>
      <c r="F23" s="23"/>
      <c r="G23" s="36" t="s">
        <v>65</v>
      </c>
      <c r="H23" s="37">
        <f t="shared" ref="H23:I23" si="17">INT((J23+L23+N23)/3)</f>
        <v>2</v>
      </c>
      <c r="I23" s="37">
        <f t="shared" si="17"/>
        <v>1</v>
      </c>
      <c r="J23" s="37">
        <v>2.0</v>
      </c>
      <c r="K23" s="140">
        <v>1.0</v>
      </c>
      <c r="L23" s="140">
        <v>2.0</v>
      </c>
      <c r="M23" s="140">
        <v>1.0</v>
      </c>
      <c r="N23" s="141">
        <v>3.0</v>
      </c>
      <c r="O23" s="141">
        <v>1.0</v>
      </c>
    </row>
    <row r="24">
      <c r="A24" s="22">
        <v>18.0</v>
      </c>
      <c r="B24" s="34">
        <v>46190.20833333333</v>
      </c>
      <c r="C24" s="49">
        <v>46190.20833333333</v>
      </c>
      <c r="D24" s="36" t="s">
        <v>66</v>
      </c>
      <c r="E24" s="23"/>
      <c r="F24" s="23"/>
      <c r="G24" s="36" t="s">
        <v>67</v>
      </c>
      <c r="H24" s="37">
        <f t="shared" ref="H24:I24" si="18">INT((J24+L24+N24)/3)</f>
        <v>0</v>
      </c>
      <c r="I24" s="37">
        <f t="shared" si="18"/>
        <v>2</v>
      </c>
      <c r="J24" s="37">
        <v>0.0</v>
      </c>
      <c r="K24" s="140">
        <v>2.0</v>
      </c>
      <c r="L24" s="140">
        <v>0.0</v>
      </c>
      <c r="M24" s="140">
        <v>2.0</v>
      </c>
      <c r="N24" s="141">
        <v>0.0</v>
      </c>
      <c r="O24" s="141">
        <v>2.0</v>
      </c>
    </row>
    <row r="25">
      <c r="A25" s="22">
        <v>19.0</v>
      </c>
      <c r="B25" s="34">
        <v>46190.33333333333</v>
      </c>
      <c r="C25" s="49">
        <v>46190.33333333333</v>
      </c>
      <c r="D25" s="36" t="s">
        <v>68</v>
      </c>
      <c r="E25" s="23"/>
      <c r="F25" s="23"/>
      <c r="G25" s="36" t="s">
        <v>69</v>
      </c>
      <c r="H25" s="37">
        <f t="shared" ref="H25:I25" si="19">INT((J25+L25+N25)/3)</f>
        <v>3</v>
      </c>
      <c r="I25" s="37">
        <f t="shared" si="19"/>
        <v>0</v>
      </c>
      <c r="J25" s="37">
        <v>3.0</v>
      </c>
      <c r="K25" s="140">
        <v>1.0</v>
      </c>
      <c r="L25" s="140">
        <v>3.0</v>
      </c>
      <c r="M25" s="140">
        <v>0.0</v>
      </c>
      <c r="N25" s="141">
        <v>3.0</v>
      </c>
      <c r="O25" s="141">
        <v>0.0</v>
      </c>
    </row>
    <row r="26">
      <c r="A26" s="22">
        <v>20.0</v>
      </c>
      <c r="B26" s="34">
        <v>46190.45833333333</v>
      </c>
      <c r="C26" s="49">
        <v>46190.45833333333</v>
      </c>
      <c r="D26" s="36" t="s">
        <v>70</v>
      </c>
      <c r="E26" s="23"/>
      <c r="F26" s="23"/>
      <c r="G26" s="36" t="s">
        <v>71</v>
      </c>
      <c r="H26" s="37">
        <f t="shared" ref="H26:I26" si="20">INT((J26+L26+N26)/3)</f>
        <v>1</v>
      </c>
      <c r="I26" s="37">
        <f t="shared" si="20"/>
        <v>0</v>
      </c>
      <c r="J26" s="37">
        <v>2.0</v>
      </c>
      <c r="K26" s="140">
        <v>0.0</v>
      </c>
      <c r="L26" s="140">
        <v>2.0</v>
      </c>
      <c r="M26" s="140">
        <v>0.0</v>
      </c>
      <c r="N26" s="141">
        <v>0.0</v>
      </c>
      <c r="O26" s="141">
        <v>2.0</v>
      </c>
    </row>
    <row r="27">
      <c r="A27" s="22">
        <v>21.0</v>
      </c>
      <c r="B27" s="34">
        <v>46190.99999999999</v>
      </c>
      <c r="C27" s="49">
        <v>46190.99999999999</v>
      </c>
      <c r="D27" s="36" t="s">
        <v>72</v>
      </c>
      <c r="E27" s="23"/>
      <c r="F27" s="23"/>
      <c r="G27" s="36" t="s">
        <v>73</v>
      </c>
      <c r="H27" s="37">
        <f t="shared" ref="H27:I27" si="21">INT((J27+L27+N27)/3)</f>
        <v>2</v>
      </c>
      <c r="I27" s="37">
        <f t="shared" si="21"/>
        <v>0</v>
      </c>
      <c r="J27" s="37">
        <v>3.0</v>
      </c>
      <c r="K27" s="140">
        <v>0.0</v>
      </c>
      <c r="L27" s="140">
        <v>3.0</v>
      </c>
      <c r="M27" s="140">
        <v>1.0</v>
      </c>
      <c r="N27" s="141">
        <v>2.0</v>
      </c>
      <c r="O27" s="141">
        <v>0.0</v>
      </c>
    </row>
    <row r="28">
      <c r="A28" s="22">
        <v>22.0</v>
      </c>
      <c r="B28" s="34">
        <v>46191.12499999999</v>
      </c>
      <c r="C28" s="49">
        <v>46191.12499999999</v>
      </c>
      <c r="D28" s="36" t="s">
        <v>74</v>
      </c>
      <c r="E28" s="23"/>
      <c r="F28" s="23"/>
      <c r="G28" s="36" t="s">
        <v>75</v>
      </c>
      <c r="H28" s="37">
        <f t="shared" ref="H28:I28" si="22">INT((J28+L28+N28)/3)</f>
        <v>2</v>
      </c>
      <c r="I28" s="37">
        <f t="shared" si="22"/>
        <v>1</v>
      </c>
      <c r="J28" s="37">
        <v>2.0</v>
      </c>
      <c r="K28" s="140">
        <v>1.0</v>
      </c>
      <c r="L28" s="140">
        <v>2.0</v>
      </c>
      <c r="M28" s="140">
        <v>1.0</v>
      </c>
      <c r="N28" s="141">
        <v>2.0</v>
      </c>
      <c r="O28" s="141">
        <v>1.0</v>
      </c>
    </row>
    <row r="29">
      <c r="A29" s="22">
        <v>23.0</v>
      </c>
      <c r="B29" s="34">
        <v>46191.24999999999</v>
      </c>
      <c r="C29" s="49">
        <v>46191.24999999999</v>
      </c>
      <c r="D29" s="36" t="s">
        <v>76</v>
      </c>
      <c r="E29" s="23"/>
      <c r="F29" s="23"/>
      <c r="G29" s="36" t="s">
        <v>77</v>
      </c>
      <c r="H29" s="37">
        <f t="shared" ref="H29:I29" si="23">INT((J29+L29+N29)/3)</f>
        <v>1</v>
      </c>
      <c r="I29" s="37">
        <f t="shared" si="23"/>
        <v>0</v>
      </c>
      <c r="J29" s="37">
        <v>2.0</v>
      </c>
      <c r="K29" s="140">
        <v>1.0</v>
      </c>
      <c r="L29" s="140">
        <v>1.0</v>
      </c>
      <c r="M29" s="140">
        <v>0.0</v>
      </c>
      <c r="N29" s="141">
        <v>1.0</v>
      </c>
      <c r="O29" s="141">
        <v>1.0</v>
      </c>
    </row>
    <row r="30">
      <c r="A30" s="22">
        <v>24.0</v>
      </c>
      <c r="B30" s="34">
        <v>46191.37499999999</v>
      </c>
      <c r="C30" s="49">
        <v>46191.37499999999</v>
      </c>
      <c r="D30" s="36" t="s">
        <v>78</v>
      </c>
      <c r="E30" s="23"/>
      <c r="F30" s="23"/>
      <c r="G30" s="36" t="s">
        <v>79</v>
      </c>
      <c r="H30" s="37">
        <f t="shared" ref="H30:I30" si="24">INT((J30+L30+N30)/3)</f>
        <v>0</v>
      </c>
      <c r="I30" s="37">
        <f t="shared" si="24"/>
        <v>2</v>
      </c>
      <c r="J30" s="37">
        <v>0.0</v>
      </c>
      <c r="K30" s="140">
        <v>2.0</v>
      </c>
      <c r="L30" s="140">
        <v>1.0</v>
      </c>
      <c r="M30" s="140">
        <v>2.0</v>
      </c>
      <c r="N30" s="141">
        <v>0.0</v>
      </c>
      <c r="O30" s="141">
        <v>2.0</v>
      </c>
    </row>
    <row r="31">
      <c r="A31" s="22">
        <v>25.0</v>
      </c>
      <c r="B31" s="34">
        <v>46191.95833333333</v>
      </c>
      <c r="C31" s="49">
        <v>46191.95833333333</v>
      </c>
      <c r="D31" s="36" t="s">
        <v>35</v>
      </c>
      <c r="E31" s="23"/>
      <c r="F31" s="23"/>
      <c r="G31" s="36" t="s">
        <v>33</v>
      </c>
      <c r="H31" s="37">
        <f t="shared" ref="H31:I31" si="25">INT((J31+L31+N31)/3)</f>
        <v>1</v>
      </c>
      <c r="I31" s="37">
        <f t="shared" si="25"/>
        <v>0</v>
      </c>
      <c r="J31" s="37">
        <v>2.0</v>
      </c>
      <c r="K31" s="140">
        <v>0.0</v>
      </c>
      <c r="L31" s="140">
        <v>2.0</v>
      </c>
      <c r="M31" s="140">
        <v>0.0</v>
      </c>
      <c r="N31" s="141">
        <v>1.0</v>
      </c>
      <c r="O31" s="141">
        <v>2.0</v>
      </c>
    </row>
    <row r="32">
      <c r="A32" s="22">
        <v>26.0</v>
      </c>
      <c r="B32" s="34">
        <v>46192.08333333333</v>
      </c>
      <c r="C32" s="49">
        <v>46192.08333333333</v>
      </c>
      <c r="D32" s="36" t="s">
        <v>41</v>
      </c>
      <c r="E32" s="23"/>
      <c r="F32" s="23"/>
      <c r="G32" s="36" t="s">
        <v>37</v>
      </c>
      <c r="H32" s="37">
        <f t="shared" ref="H32:I32" si="26">INT((J32+L32+N32)/3)</f>
        <v>2</v>
      </c>
      <c r="I32" s="37">
        <f t="shared" si="26"/>
        <v>0</v>
      </c>
      <c r="J32" s="37">
        <v>2.0</v>
      </c>
      <c r="K32" s="140">
        <v>1.0</v>
      </c>
      <c r="L32" s="140">
        <v>2.0</v>
      </c>
      <c r="M32" s="140">
        <v>1.0</v>
      </c>
      <c r="N32" s="141">
        <v>2.0</v>
      </c>
      <c r="O32" s="141">
        <v>0.0</v>
      </c>
    </row>
    <row r="33">
      <c r="A33" s="22">
        <v>27.0</v>
      </c>
      <c r="B33" s="34">
        <v>46192.20833333333</v>
      </c>
      <c r="C33" s="49">
        <v>46192.20833333333</v>
      </c>
      <c r="D33" s="36" t="s">
        <v>36</v>
      </c>
      <c r="E33" s="23"/>
      <c r="F33" s="23"/>
      <c r="G33" s="36" t="s">
        <v>40</v>
      </c>
      <c r="H33" s="37">
        <f t="shared" ref="H33:I33" si="27">INT((J33+L33+N33)/3)</f>
        <v>1</v>
      </c>
      <c r="I33" s="37">
        <f t="shared" si="27"/>
        <v>0</v>
      </c>
      <c r="J33" s="37">
        <v>2.0</v>
      </c>
      <c r="K33" s="140">
        <v>0.0</v>
      </c>
      <c r="L33" s="140">
        <v>2.0</v>
      </c>
      <c r="M33" s="140">
        <v>0.0</v>
      </c>
      <c r="N33" s="141">
        <v>1.0</v>
      </c>
      <c r="O33" s="141">
        <v>1.0</v>
      </c>
    </row>
    <row r="34">
      <c r="A34" s="22">
        <v>28.0</v>
      </c>
      <c r="B34" s="34">
        <v>46192.33333333333</v>
      </c>
      <c r="C34" s="49">
        <v>46192.33333333333</v>
      </c>
      <c r="D34" s="36" t="s">
        <v>32</v>
      </c>
      <c r="E34" s="23"/>
      <c r="F34" s="23"/>
      <c r="G34" s="36" t="s">
        <v>34</v>
      </c>
      <c r="H34" s="37">
        <f t="shared" ref="H34:I34" si="28">INT((J34+L34+N34)/3)</f>
        <v>1</v>
      </c>
      <c r="I34" s="37">
        <f t="shared" si="28"/>
        <v>1</v>
      </c>
      <c r="J34" s="37">
        <v>1.0</v>
      </c>
      <c r="K34" s="140">
        <v>1.0</v>
      </c>
      <c r="L34" s="140">
        <v>1.0</v>
      </c>
      <c r="M34" s="140">
        <v>1.0</v>
      </c>
      <c r="N34" s="141">
        <v>2.0</v>
      </c>
      <c r="O34" s="141">
        <v>1.0</v>
      </c>
    </row>
    <row r="35">
      <c r="A35" s="22">
        <v>29.0</v>
      </c>
      <c r="B35" s="34">
        <v>46193.08333333333</v>
      </c>
      <c r="C35" s="49">
        <v>46193.08333333333</v>
      </c>
      <c r="D35" s="36" t="s">
        <v>38</v>
      </c>
      <c r="E35" s="23"/>
      <c r="F35" s="23"/>
      <c r="G35" s="36" t="s">
        <v>46</v>
      </c>
      <c r="H35" s="37">
        <f t="shared" ref="H35:I35" si="29">INT((J35+L35+N35)/3)</f>
        <v>2</v>
      </c>
      <c r="I35" s="37">
        <f t="shared" si="29"/>
        <v>1</v>
      </c>
      <c r="J35" s="37">
        <v>2.0</v>
      </c>
      <c r="K35" s="140">
        <v>1.0</v>
      </c>
      <c r="L35" s="140">
        <v>2.0</v>
      </c>
      <c r="M35" s="140">
        <v>1.0</v>
      </c>
      <c r="N35" s="141">
        <v>2.0</v>
      </c>
      <c r="O35" s="141">
        <v>1.0</v>
      </c>
    </row>
    <row r="36">
      <c r="A36" s="22">
        <v>30.0</v>
      </c>
      <c r="B36" s="34">
        <v>46193.20833333333</v>
      </c>
      <c r="C36" s="49">
        <v>46193.20833333333</v>
      </c>
      <c r="D36" s="36" t="s">
        <v>45</v>
      </c>
      <c r="E36" s="23"/>
      <c r="F36" s="23"/>
      <c r="G36" s="36" t="s">
        <v>43</v>
      </c>
      <c r="H36" s="37">
        <f t="shared" ref="H36:I36" si="30">INT((J36+L36+N36)/3)</f>
        <v>1</v>
      </c>
      <c r="I36" s="37">
        <f t="shared" si="30"/>
        <v>1</v>
      </c>
      <c r="J36" s="37">
        <v>1.0</v>
      </c>
      <c r="K36" s="140">
        <v>1.0</v>
      </c>
      <c r="L36" s="140">
        <v>1.0</v>
      </c>
      <c r="M36" s="140">
        <v>2.0</v>
      </c>
      <c r="N36" s="141">
        <v>1.0</v>
      </c>
      <c r="O36" s="141">
        <v>2.0</v>
      </c>
    </row>
    <row r="37">
      <c r="A37" s="22">
        <v>31.0</v>
      </c>
      <c r="B37" s="34">
        <v>46193.31249999999</v>
      </c>
      <c r="C37" s="49">
        <v>46193.31249999999</v>
      </c>
      <c r="D37" s="36" t="s">
        <v>42</v>
      </c>
      <c r="E37" s="23"/>
      <c r="F37" s="23"/>
      <c r="G37" s="36" t="s">
        <v>44</v>
      </c>
      <c r="H37" s="37">
        <f t="shared" ref="H37:I37" si="31">INT((J37+L37+N37)/3)</f>
        <v>3</v>
      </c>
      <c r="I37" s="37">
        <f t="shared" si="31"/>
        <v>0</v>
      </c>
      <c r="J37" s="37">
        <v>4.0</v>
      </c>
      <c r="K37" s="140">
        <v>0.0</v>
      </c>
      <c r="L37" s="140">
        <v>4.0</v>
      </c>
      <c r="M37" s="140">
        <v>0.0</v>
      </c>
      <c r="N37" s="141">
        <v>3.0</v>
      </c>
      <c r="O37" s="141">
        <v>0.0</v>
      </c>
    </row>
    <row r="38">
      <c r="A38" s="22">
        <v>32.0</v>
      </c>
      <c r="B38" s="34">
        <v>46193.416666666664</v>
      </c>
      <c r="C38" s="49">
        <v>46193.416666666664</v>
      </c>
      <c r="D38" s="36" t="s">
        <v>47</v>
      </c>
      <c r="E38" s="23"/>
      <c r="F38" s="23"/>
      <c r="G38" s="36" t="s">
        <v>39</v>
      </c>
      <c r="H38" s="37">
        <f t="shared" ref="H38:I38" si="32">INT((J38+L38+N38)/3)</f>
        <v>2</v>
      </c>
      <c r="I38" s="37">
        <f t="shared" si="32"/>
        <v>1</v>
      </c>
      <c r="J38" s="37">
        <v>2.0</v>
      </c>
      <c r="K38" s="140">
        <v>1.0</v>
      </c>
      <c r="L38" s="140">
        <v>2.0</v>
      </c>
      <c r="M38" s="140">
        <v>1.0</v>
      </c>
      <c r="N38" s="141">
        <v>2.0</v>
      </c>
      <c r="O38" s="141">
        <v>1.0</v>
      </c>
    </row>
    <row r="39">
      <c r="A39" s="22">
        <v>33.0</v>
      </c>
      <c r="B39" s="34">
        <v>46193.99999999999</v>
      </c>
      <c r="C39" s="49">
        <v>46193.99999999999</v>
      </c>
      <c r="D39" s="36" t="s">
        <v>50</v>
      </c>
      <c r="E39" s="23"/>
      <c r="F39" s="23"/>
      <c r="G39" s="36" t="s">
        <v>54</v>
      </c>
      <c r="H39" s="37">
        <f t="shared" ref="H39:I39" si="33">INT((J39+L39+N39)/3)</f>
        <v>1</v>
      </c>
      <c r="I39" s="37">
        <f t="shared" si="33"/>
        <v>0</v>
      </c>
      <c r="J39" s="37">
        <v>2.0</v>
      </c>
      <c r="K39" s="140">
        <v>0.0</v>
      </c>
      <c r="L39" s="140">
        <v>1.0</v>
      </c>
      <c r="M39" s="140">
        <v>1.0</v>
      </c>
      <c r="N39" s="141">
        <v>2.0</v>
      </c>
      <c r="O39" s="141">
        <v>1.0</v>
      </c>
    </row>
    <row r="40">
      <c r="A40" s="22">
        <v>34.0</v>
      </c>
      <c r="B40" s="34">
        <v>46194.12499999999</v>
      </c>
      <c r="C40" s="49">
        <v>46194.12499999999</v>
      </c>
      <c r="D40" s="36" t="s">
        <v>48</v>
      </c>
      <c r="E40" s="23"/>
      <c r="F40" s="23"/>
      <c r="G40" s="36" t="s">
        <v>52</v>
      </c>
      <c r="H40" s="37">
        <f t="shared" ref="H40:I40" si="34">INT((J40+L40+N40)/3)</f>
        <v>2</v>
      </c>
      <c r="I40" s="37">
        <f t="shared" si="34"/>
        <v>0</v>
      </c>
      <c r="J40" s="37">
        <v>2.0</v>
      </c>
      <c r="K40" s="140">
        <v>0.0</v>
      </c>
      <c r="L40" s="140">
        <v>2.0</v>
      </c>
      <c r="M40" s="140">
        <v>0.0</v>
      </c>
      <c r="N40" s="141">
        <v>3.0</v>
      </c>
      <c r="O40" s="141">
        <v>1.0</v>
      </c>
    </row>
    <row r="41">
      <c r="A41" s="22">
        <v>35.0</v>
      </c>
      <c r="B41" s="34">
        <v>46194.291666666664</v>
      </c>
      <c r="C41" s="49">
        <v>46194.291666666664</v>
      </c>
      <c r="D41" s="36" t="s">
        <v>53</v>
      </c>
      <c r="E41" s="23"/>
      <c r="F41" s="23"/>
      <c r="G41" s="36" t="s">
        <v>49</v>
      </c>
      <c r="H41" s="37">
        <f t="shared" ref="H41:I41" si="35">INT((J41+L41+N41)/3)</f>
        <v>2</v>
      </c>
      <c r="I41" s="37">
        <f t="shared" si="35"/>
        <v>0</v>
      </c>
      <c r="J41" s="37">
        <v>3.0</v>
      </c>
      <c r="K41" s="140">
        <v>0.0</v>
      </c>
      <c r="L41" s="140">
        <v>3.0</v>
      </c>
      <c r="M41" s="140">
        <v>0.0</v>
      </c>
      <c r="N41" s="141">
        <v>1.0</v>
      </c>
      <c r="O41" s="141">
        <v>1.0</v>
      </c>
    </row>
    <row r="42">
      <c r="A42" s="22">
        <v>36.0</v>
      </c>
      <c r="B42" s="34">
        <v>46194.45833333333</v>
      </c>
      <c r="C42" s="49">
        <v>46194.45833333333</v>
      </c>
      <c r="D42" s="36" t="s">
        <v>55</v>
      </c>
      <c r="E42" s="23"/>
      <c r="F42" s="23"/>
      <c r="G42" s="36" t="s">
        <v>51</v>
      </c>
      <c r="H42" s="37">
        <f t="shared" ref="H42:I42" si="36">INT((J42+L42+N42)/3)</f>
        <v>0</v>
      </c>
      <c r="I42" s="37">
        <f t="shared" si="36"/>
        <v>1</v>
      </c>
      <c r="J42" s="37">
        <v>1.0</v>
      </c>
      <c r="K42" s="140">
        <v>1.0</v>
      </c>
      <c r="L42" s="140">
        <v>1.0</v>
      </c>
      <c r="M42" s="140">
        <v>2.0</v>
      </c>
      <c r="N42" s="141">
        <v>0.0</v>
      </c>
      <c r="O42" s="141">
        <v>1.0</v>
      </c>
    </row>
    <row r="43">
      <c r="A43" s="22">
        <v>37.0</v>
      </c>
      <c r="B43" s="53">
        <v>46194.95833333333</v>
      </c>
      <c r="C43" s="54">
        <v>46194.95833333333</v>
      </c>
      <c r="D43" s="55" t="s">
        <v>56</v>
      </c>
      <c r="E43" s="23"/>
      <c r="F43" s="23"/>
      <c r="G43" s="55" t="s">
        <v>60</v>
      </c>
      <c r="H43" s="37">
        <f t="shared" ref="H43:I43" si="37">INT((J43+L43+N43)/3)</f>
        <v>2</v>
      </c>
      <c r="I43" s="37">
        <f t="shared" si="37"/>
        <v>0</v>
      </c>
      <c r="J43" s="37">
        <v>3.0</v>
      </c>
      <c r="K43" s="140">
        <v>0.0</v>
      </c>
      <c r="L43" s="140">
        <v>3.0</v>
      </c>
      <c r="M43" s="140">
        <v>0.0</v>
      </c>
      <c r="N43" s="141">
        <v>2.0</v>
      </c>
      <c r="O43" s="141">
        <v>0.0</v>
      </c>
    </row>
    <row r="44">
      <c r="A44" s="22">
        <v>38.0</v>
      </c>
      <c r="B44" s="53">
        <v>46195.08333333333</v>
      </c>
      <c r="C44" s="54">
        <v>46195.08333333333</v>
      </c>
      <c r="D44" s="55" t="s">
        <v>58</v>
      </c>
      <c r="E44" s="23"/>
      <c r="F44" s="23"/>
      <c r="G44" s="55" t="s">
        <v>62</v>
      </c>
      <c r="H44" s="37">
        <f t="shared" ref="H44:I44" si="38">INT((J44+L44+N44)/3)</f>
        <v>1</v>
      </c>
      <c r="I44" s="37">
        <f t="shared" si="38"/>
        <v>0</v>
      </c>
      <c r="J44" s="37">
        <v>2.0</v>
      </c>
      <c r="K44" s="140">
        <v>1.0</v>
      </c>
      <c r="L44" s="140">
        <v>2.0</v>
      </c>
      <c r="M44" s="140">
        <v>0.0</v>
      </c>
      <c r="N44" s="141">
        <v>1.0</v>
      </c>
      <c r="O44" s="141">
        <v>1.0</v>
      </c>
    </row>
    <row r="45">
      <c r="A45" s="22">
        <v>39.0</v>
      </c>
      <c r="B45" s="56">
        <v>46195.20833333333</v>
      </c>
      <c r="C45" s="57">
        <v>46195.20833333333</v>
      </c>
      <c r="D45" s="58" t="s">
        <v>61</v>
      </c>
      <c r="E45" s="23"/>
      <c r="F45" s="23"/>
      <c r="G45" s="58" t="s">
        <v>57</v>
      </c>
      <c r="H45" s="37">
        <f t="shared" ref="H45:I45" si="39">INT((J45+L45+N45)/3)</f>
        <v>2</v>
      </c>
      <c r="I45" s="37">
        <f t="shared" si="39"/>
        <v>0</v>
      </c>
      <c r="J45" s="37">
        <v>3.0</v>
      </c>
      <c r="K45" s="140">
        <v>0.0</v>
      </c>
      <c r="L45" s="140">
        <v>2.0</v>
      </c>
      <c r="M45" s="140">
        <v>0.0</v>
      </c>
      <c r="N45" s="141">
        <v>2.0</v>
      </c>
      <c r="O45" s="141">
        <v>0.0</v>
      </c>
    </row>
    <row r="46">
      <c r="A46" s="22">
        <v>40.0</v>
      </c>
      <c r="B46" s="56">
        <v>46195.33333333333</v>
      </c>
      <c r="C46" s="57">
        <v>46195.33333333333</v>
      </c>
      <c r="D46" s="58" t="s">
        <v>63</v>
      </c>
      <c r="E46" s="23"/>
      <c r="F46" s="23"/>
      <c r="G46" s="58" t="s">
        <v>59</v>
      </c>
      <c r="H46" s="37">
        <f t="shared" ref="H46:I46" si="40">INT((J46+L46+N46)/3)</f>
        <v>0</v>
      </c>
      <c r="I46" s="37">
        <f t="shared" si="40"/>
        <v>1</v>
      </c>
      <c r="J46" s="37">
        <v>0.0</v>
      </c>
      <c r="K46" s="140">
        <v>1.0</v>
      </c>
      <c r="L46" s="140">
        <v>0.0</v>
      </c>
      <c r="M46" s="140">
        <v>2.0</v>
      </c>
      <c r="N46" s="141">
        <v>0.0</v>
      </c>
      <c r="O46" s="141">
        <v>1.0</v>
      </c>
    </row>
    <row r="47">
      <c r="A47" s="22">
        <v>41.0</v>
      </c>
      <c r="B47" s="56">
        <v>46195.99999999999</v>
      </c>
      <c r="C47" s="57">
        <v>46195.99999999999</v>
      </c>
      <c r="D47" s="58" t="s">
        <v>68</v>
      </c>
      <c r="E47" s="23"/>
      <c r="F47" s="23"/>
      <c r="G47" s="58" t="s">
        <v>70</v>
      </c>
      <c r="H47" s="37">
        <f t="shared" ref="H47:I47" si="41">INT((J47+L47+N47)/3)</f>
        <v>2</v>
      </c>
      <c r="I47" s="37">
        <f t="shared" si="41"/>
        <v>0</v>
      </c>
      <c r="J47" s="37">
        <v>2.0</v>
      </c>
      <c r="K47" s="140">
        <v>1.0</v>
      </c>
      <c r="L47" s="140">
        <v>2.0</v>
      </c>
      <c r="M47" s="140">
        <v>1.0</v>
      </c>
      <c r="N47" s="141">
        <v>2.0</v>
      </c>
      <c r="O47" s="141">
        <v>0.0</v>
      </c>
    </row>
    <row r="48">
      <c r="A48" s="22">
        <v>42.0</v>
      </c>
      <c r="B48" s="56">
        <v>46196.166666666664</v>
      </c>
      <c r="C48" s="57">
        <v>46196.166666666664</v>
      </c>
      <c r="D48" s="58" t="s">
        <v>64</v>
      </c>
      <c r="E48" s="23"/>
      <c r="F48" s="23"/>
      <c r="G48" s="58" t="s">
        <v>66</v>
      </c>
      <c r="H48" s="37">
        <f t="shared" ref="H48:I48" si="42">INT((J48+L48+N48)/3)</f>
        <v>2</v>
      </c>
      <c r="I48" s="37">
        <f t="shared" si="42"/>
        <v>0</v>
      </c>
      <c r="J48" s="37">
        <v>3.0</v>
      </c>
      <c r="K48" s="140">
        <v>0.0</v>
      </c>
      <c r="L48" s="140">
        <v>3.0</v>
      </c>
      <c r="M48" s="140">
        <v>0.0</v>
      </c>
      <c r="N48" s="141">
        <v>2.0</v>
      </c>
      <c r="O48" s="141">
        <v>0.0</v>
      </c>
    </row>
    <row r="49">
      <c r="A49" s="22">
        <v>43.0</v>
      </c>
      <c r="B49" s="56">
        <v>46196.291666666664</v>
      </c>
      <c r="C49" s="57">
        <v>46196.291666666664</v>
      </c>
      <c r="D49" s="58" t="s">
        <v>67</v>
      </c>
      <c r="E49" s="23"/>
      <c r="F49" s="23"/>
      <c r="G49" s="58" t="s">
        <v>65</v>
      </c>
      <c r="H49" s="37">
        <f t="shared" ref="H49:I49" si="43">INT((J49+L49+N49)/3)</f>
        <v>1</v>
      </c>
      <c r="I49" s="37">
        <f t="shared" si="43"/>
        <v>1</v>
      </c>
      <c r="J49" s="37">
        <v>1.0</v>
      </c>
      <c r="K49" s="140">
        <v>1.0</v>
      </c>
      <c r="L49" s="140">
        <v>1.0</v>
      </c>
      <c r="M49" s="140">
        <v>1.0</v>
      </c>
      <c r="N49" s="141">
        <v>1.0</v>
      </c>
      <c r="O49" s="141">
        <v>1.0</v>
      </c>
    </row>
    <row r="50">
      <c r="A50" s="22">
        <v>44.0</v>
      </c>
      <c r="B50" s="56">
        <v>46196.416666666664</v>
      </c>
      <c r="C50" s="57">
        <v>46196.416666666664</v>
      </c>
      <c r="D50" s="58" t="s">
        <v>71</v>
      </c>
      <c r="E50" s="23"/>
      <c r="F50" s="23"/>
      <c r="G50" s="61" t="s">
        <v>69</v>
      </c>
      <c r="H50" s="37">
        <f t="shared" ref="H50:I50" si="44">INT((J50+L50+N50)/3)</f>
        <v>0</v>
      </c>
      <c r="I50" s="37">
        <f t="shared" si="44"/>
        <v>1</v>
      </c>
      <c r="J50" s="37">
        <v>0.0</v>
      </c>
      <c r="K50" s="140">
        <v>2.0</v>
      </c>
      <c r="L50" s="140">
        <v>0.0</v>
      </c>
      <c r="M50" s="140">
        <v>2.0</v>
      </c>
      <c r="N50" s="141">
        <v>0.0</v>
      </c>
      <c r="O50" s="141">
        <v>1.0</v>
      </c>
    </row>
    <row r="51">
      <c r="A51" s="22">
        <v>45.0</v>
      </c>
      <c r="B51" s="56">
        <v>46196.99999999999</v>
      </c>
      <c r="C51" s="57">
        <v>46196.99999999999</v>
      </c>
      <c r="D51" s="58" t="s">
        <v>72</v>
      </c>
      <c r="E51" s="23"/>
      <c r="F51" s="23"/>
      <c r="G51" s="62" t="s">
        <v>78</v>
      </c>
      <c r="H51" s="37">
        <f t="shared" ref="H51:I51" si="45">INT((J51+L51+N51)/3)</f>
        <v>2</v>
      </c>
      <c r="I51" s="37">
        <f t="shared" si="45"/>
        <v>0</v>
      </c>
      <c r="J51" s="37">
        <v>3.0</v>
      </c>
      <c r="K51" s="140">
        <v>0.0</v>
      </c>
      <c r="L51" s="140">
        <v>3.0</v>
      </c>
      <c r="M51" s="140">
        <v>0.0</v>
      </c>
      <c r="N51" s="141">
        <v>2.0</v>
      </c>
      <c r="O51" s="141">
        <v>1.0</v>
      </c>
    </row>
    <row r="52">
      <c r="A52" s="22">
        <v>46.0</v>
      </c>
      <c r="B52" s="56">
        <v>46197.12499999999</v>
      </c>
      <c r="C52" s="57">
        <v>46197.12499999999</v>
      </c>
      <c r="D52" s="58" t="s">
        <v>74</v>
      </c>
      <c r="E52" s="23"/>
      <c r="F52" s="23"/>
      <c r="G52" s="58" t="s">
        <v>76</v>
      </c>
      <c r="H52" s="37">
        <f t="shared" ref="H52:I52" si="46">INT((J52+L52+N52)/3)</f>
        <v>2</v>
      </c>
      <c r="I52" s="37">
        <f t="shared" si="46"/>
        <v>0</v>
      </c>
      <c r="J52" s="37">
        <v>2.0</v>
      </c>
      <c r="K52" s="140">
        <v>0.0</v>
      </c>
      <c r="L52" s="140">
        <v>2.0</v>
      </c>
      <c r="M52" s="140">
        <v>0.0</v>
      </c>
      <c r="N52" s="141">
        <v>2.0</v>
      </c>
      <c r="O52" s="141">
        <v>0.0</v>
      </c>
    </row>
    <row r="53">
      <c r="A53" s="22">
        <v>47.0</v>
      </c>
      <c r="B53" s="56">
        <v>46197.24999999999</v>
      </c>
      <c r="C53" s="57">
        <v>46197.24999999999</v>
      </c>
      <c r="D53" s="58" t="s">
        <v>77</v>
      </c>
      <c r="E53" s="23"/>
      <c r="F53" s="23"/>
      <c r="G53" s="58" t="s">
        <v>75</v>
      </c>
      <c r="H53" s="37">
        <f t="shared" ref="H53:I53" si="47">INT((J53+L53+N53)/3)</f>
        <v>0</v>
      </c>
      <c r="I53" s="37">
        <f t="shared" si="47"/>
        <v>1</v>
      </c>
      <c r="J53" s="37">
        <v>1.0</v>
      </c>
      <c r="K53" s="140">
        <v>2.0</v>
      </c>
      <c r="L53" s="140">
        <v>0.0</v>
      </c>
      <c r="M53" s="140">
        <v>2.0</v>
      </c>
      <c r="N53" s="141">
        <v>0.0</v>
      </c>
      <c r="O53" s="141">
        <v>1.0</v>
      </c>
    </row>
    <row r="54">
      <c r="A54" s="22">
        <v>48.0</v>
      </c>
      <c r="B54" s="56">
        <v>46197.37499999999</v>
      </c>
      <c r="C54" s="57">
        <v>46197.37499999999</v>
      </c>
      <c r="D54" s="58" t="s">
        <v>79</v>
      </c>
      <c r="E54" s="23"/>
      <c r="F54" s="23"/>
      <c r="G54" s="58" t="s">
        <v>73</v>
      </c>
      <c r="H54" s="37">
        <f t="shared" ref="H54:I54" si="48">INT((J54+L54+N54)/3)</f>
        <v>2</v>
      </c>
      <c r="I54" s="37">
        <f t="shared" si="48"/>
        <v>0</v>
      </c>
      <c r="J54" s="37">
        <v>3.0</v>
      </c>
      <c r="K54" s="140">
        <v>1.0</v>
      </c>
      <c r="L54" s="140">
        <v>2.0</v>
      </c>
      <c r="M54" s="140">
        <v>0.0</v>
      </c>
      <c r="N54" s="141">
        <v>2.0</v>
      </c>
      <c r="O54" s="141">
        <v>0.0</v>
      </c>
    </row>
    <row r="55">
      <c r="A55" s="22">
        <v>49.0</v>
      </c>
      <c r="B55" s="56">
        <v>46198.08333333333</v>
      </c>
      <c r="C55" s="57">
        <v>46198.08333333333</v>
      </c>
      <c r="D55" s="58" t="s">
        <v>41</v>
      </c>
      <c r="E55" s="23"/>
      <c r="F55" s="23"/>
      <c r="G55" s="58" t="s">
        <v>36</v>
      </c>
      <c r="H55" s="37">
        <f t="shared" ref="H55:I55" si="49">INT((J55+L55+N55)/3)</f>
        <v>1</v>
      </c>
      <c r="I55" s="37">
        <f t="shared" si="49"/>
        <v>0</v>
      </c>
      <c r="J55" s="37">
        <v>1.0</v>
      </c>
      <c r="K55" s="140">
        <v>1.0</v>
      </c>
      <c r="L55" s="140">
        <v>1.0</v>
      </c>
      <c r="M55" s="140">
        <v>1.0</v>
      </c>
      <c r="N55" s="141">
        <v>1.0</v>
      </c>
      <c r="O55" s="141">
        <v>0.0</v>
      </c>
    </row>
    <row r="56">
      <c r="A56" s="22">
        <v>50.0</v>
      </c>
      <c r="B56" s="56">
        <v>46198.08333333333</v>
      </c>
      <c r="C56" s="57">
        <v>46198.08333333333</v>
      </c>
      <c r="D56" s="58" t="s">
        <v>37</v>
      </c>
      <c r="E56" s="23"/>
      <c r="F56" s="23"/>
      <c r="G56" s="58" t="s">
        <v>40</v>
      </c>
      <c r="H56" s="37">
        <f t="shared" ref="H56:I56" si="50">INT((J56+L56+N56)/3)</f>
        <v>1</v>
      </c>
      <c r="I56" s="37">
        <f t="shared" si="50"/>
        <v>1</v>
      </c>
      <c r="J56" s="37">
        <v>2.0</v>
      </c>
      <c r="K56" s="140">
        <v>1.0</v>
      </c>
      <c r="L56" s="140">
        <v>2.0</v>
      </c>
      <c r="M56" s="140">
        <v>1.0</v>
      </c>
      <c r="N56" s="141">
        <v>1.0</v>
      </c>
      <c r="O56" s="141">
        <v>2.0</v>
      </c>
    </row>
    <row r="57">
      <c r="A57" s="22">
        <v>51.0</v>
      </c>
      <c r="B57" s="56">
        <v>46198.20833333333</v>
      </c>
      <c r="C57" s="57">
        <v>46198.20833333333</v>
      </c>
      <c r="D57" s="58" t="s">
        <v>45</v>
      </c>
      <c r="E57" s="23"/>
      <c r="F57" s="23"/>
      <c r="G57" s="58" t="s">
        <v>42</v>
      </c>
      <c r="H57" s="37">
        <f t="shared" ref="H57:I57" si="51">INT((J57+L57+N57)/3)</f>
        <v>0</v>
      </c>
      <c r="I57" s="37">
        <f t="shared" si="51"/>
        <v>2</v>
      </c>
      <c r="J57" s="37">
        <v>0.0</v>
      </c>
      <c r="K57" s="140">
        <v>2.0</v>
      </c>
      <c r="L57" s="140">
        <v>0.0</v>
      </c>
      <c r="M57" s="140">
        <v>2.0</v>
      </c>
      <c r="N57" s="141">
        <v>0.0</v>
      </c>
      <c r="O57" s="141">
        <v>3.0</v>
      </c>
    </row>
    <row r="58">
      <c r="A58" s="22">
        <v>52.0</v>
      </c>
      <c r="B58" s="56">
        <v>46198.20833333333</v>
      </c>
      <c r="C58" s="57">
        <v>46198.20833333333</v>
      </c>
      <c r="D58" s="58" t="s">
        <v>43</v>
      </c>
      <c r="E58" s="23"/>
      <c r="F58" s="23"/>
      <c r="G58" s="58" t="s">
        <v>44</v>
      </c>
      <c r="H58" s="37">
        <f t="shared" ref="H58:I58" si="52">INT((J58+L58+N58)/3)</f>
        <v>2</v>
      </c>
      <c r="I58" s="37">
        <f t="shared" si="52"/>
        <v>0</v>
      </c>
      <c r="J58" s="37">
        <v>2.0</v>
      </c>
      <c r="K58" s="140">
        <v>0.0</v>
      </c>
      <c r="L58" s="140">
        <v>3.0</v>
      </c>
      <c r="M58" s="140">
        <v>0.0</v>
      </c>
      <c r="N58" s="141">
        <v>2.0</v>
      </c>
      <c r="O58" s="141">
        <v>1.0</v>
      </c>
    </row>
    <row r="59">
      <c r="A59" s="22">
        <v>53.0</v>
      </c>
      <c r="B59" s="64">
        <v>46198.33333333333</v>
      </c>
      <c r="C59" s="65">
        <v>46198.33333333333</v>
      </c>
      <c r="D59" s="55" t="s">
        <v>35</v>
      </c>
      <c r="E59" s="23"/>
      <c r="F59" s="23"/>
      <c r="G59" s="55" t="s">
        <v>32</v>
      </c>
      <c r="H59" s="37">
        <f t="shared" ref="H59:I59" si="53">INT((J59+L59+N59)/3)</f>
        <v>1</v>
      </c>
      <c r="I59" s="37">
        <f t="shared" si="53"/>
        <v>2</v>
      </c>
      <c r="J59" s="37">
        <v>1.0</v>
      </c>
      <c r="K59" s="140">
        <v>2.0</v>
      </c>
      <c r="L59" s="140">
        <v>1.0</v>
      </c>
      <c r="M59" s="140">
        <v>2.0</v>
      </c>
      <c r="N59" s="141">
        <v>1.0</v>
      </c>
      <c r="O59" s="141">
        <v>2.0</v>
      </c>
    </row>
    <row r="60">
      <c r="A60" s="22">
        <v>54.0</v>
      </c>
      <c r="B60" s="64">
        <v>46198.33333333333</v>
      </c>
      <c r="C60" s="65">
        <v>46198.33333333333</v>
      </c>
      <c r="D60" s="55" t="s">
        <v>33</v>
      </c>
      <c r="E60" s="23"/>
      <c r="F60" s="23"/>
      <c r="G60" s="55" t="s">
        <v>34</v>
      </c>
      <c r="H60" s="37">
        <f t="shared" ref="H60:I60" si="54">INT((J60+L60+N60)/3)</f>
        <v>1</v>
      </c>
      <c r="I60" s="37">
        <f t="shared" si="54"/>
        <v>1</v>
      </c>
      <c r="J60" s="37">
        <v>1.0</v>
      </c>
      <c r="K60" s="140">
        <v>2.0</v>
      </c>
      <c r="L60" s="140">
        <v>1.0</v>
      </c>
      <c r="M60" s="140">
        <v>2.0</v>
      </c>
      <c r="N60" s="141">
        <v>1.0</v>
      </c>
      <c r="O60" s="141">
        <v>1.0</v>
      </c>
    </row>
    <row r="61">
      <c r="A61" s="22">
        <v>55.0</v>
      </c>
      <c r="B61" s="64">
        <v>46199.12499999999</v>
      </c>
      <c r="C61" s="65">
        <v>46199.12499999999</v>
      </c>
      <c r="D61" s="55" t="s">
        <v>49</v>
      </c>
      <c r="E61" s="23"/>
      <c r="F61" s="23"/>
      <c r="G61" s="55" t="s">
        <v>52</v>
      </c>
      <c r="H61" s="37">
        <f t="shared" ref="H61:I61" si="55">INT((J61+L61+N61)/3)</f>
        <v>0</v>
      </c>
      <c r="I61" s="37">
        <f t="shared" si="55"/>
        <v>2</v>
      </c>
      <c r="J61" s="37">
        <v>0.0</v>
      </c>
      <c r="K61" s="140">
        <v>2.0</v>
      </c>
      <c r="L61" s="140">
        <v>0.0</v>
      </c>
      <c r="M61" s="140">
        <v>3.0</v>
      </c>
      <c r="N61" s="141">
        <v>0.0</v>
      </c>
      <c r="O61" s="141">
        <v>2.0</v>
      </c>
    </row>
    <row r="62">
      <c r="A62" s="22">
        <v>56.0</v>
      </c>
      <c r="B62" s="64">
        <v>46199.12499999999</v>
      </c>
      <c r="C62" s="65">
        <v>46199.12499999999</v>
      </c>
      <c r="D62" s="55" t="s">
        <v>53</v>
      </c>
      <c r="E62" s="23"/>
      <c r="F62" s="23"/>
      <c r="G62" s="55" t="s">
        <v>48</v>
      </c>
      <c r="H62" s="37">
        <f t="shared" ref="H62:I62" si="56">INT((J62+L62+N62)/3)</f>
        <v>1</v>
      </c>
      <c r="I62" s="37">
        <f t="shared" si="56"/>
        <v>2</v>
      </c>
      <c r="J62" s="37">
        <v>1.0</v>
      </c>
      <c r="K62" s="140">
        <v>2.0</v>
      </c>
      <c r="L62" s="140">
        <v>1.0</v>
      </c>
      <c r="M62" s="140">
        <v>2.0</v>
      </c>
      <c r="N62" s="141">
        <v>1.0</v>
      </c>
      <c r="O62" s="141">
        <v>2.0</v>
      </c>
    </row>
    <row r="63">
      <c r="A63" s="22">
        <v>57.0</v>
      </c>
      <c r="B63" s="64">
        <v>46199.24999999999</v>
      </c>
      <c r="C63" s="65">
        <v>46199.24999999999</v>
      </c>
      <c r="D63" s="55" t="s">
        <v>51</v>
      </c>
      <c r="E63" s="23"/>
      <c r="F63" s="23"/>
      <c r="G63" s="55" t="s">
        <v>54</v>
      </c>
      <c r="H63" s="37">
        <f t="shared" ref="H63:I63" si="57">INT((J63+L63+N63)/3)</f>
        <v>1</v>
      </c>
      <c r="I63" s="37">
        <f t="shared" si="57"/>
        <v>1</v>
      </c>
      <c r="J63" s="37">
        <v>1.0</v>
      </c>
      <c r="K63" s="140">
        <v>1.0</v>
      </c>
      <c r="L63" s="140">
        <v>1.0</v>
      </c>
      <c r="M63" s="140">
        <v>1.0</v>
      </c>
      <c r="N63" s="141">
        <v>2.0</v>
      </c>
      <c r="O63" s="141">
        <v>1.0</v>
      </c>
    </row>
    <row r="64">
      <c r="A64" s="22">
        <v>58.0</v>
      </c>
      <c r="B64" s="64">
        <v>46199.24999999999</v>
      </c>
      <c r="C64" s="65">
        <v>46199.24999999999</v>
      </c>
      <c r="D64" s="55" t="s">
        <v>55</v>
      </c>
      <c r="E64" s="23"/>
      <c r="F64" s="23"/>
      <c r="G64" s="55" t="s">
        <v>50</v>
      </c>
      <c r="H64" s="37">
        <f t="shared" ref="H64:I64" si="58">INT((J64+L64+N64)/3)</f>
        <v>0</v>
      </c>
      <c r="I64" s="37">
        <f t="shared" si="58"/>
        <v>2</v>
      </c>
      <c r="J64" s="37">
        <v>0.0</v>
      </c>
      <c r="K64" s="140">
        <v>2.0</v>
      </c>
      <c r="L64" s="140">
        <v>0.0</v>
      </c>
      <c r="M64" s="140">
        <v>2.0</v>
      </c>
      <c r="N64" s="141">
        <v>1.0</v>
      </c>
      <c r="O64" s="141">
        <v>2.0</v>
      </c>
    </row>
    <row r="65">
      <c r="A65" s="22">
        <v>59.0</v>
      </c>
      <c r="B65" s="64">
        <v>46199.37499999999</v>
      </c>
      <c r="C65" s="65">
        <v>46199.37499999999</v>
      </c>
      <c r="D65" s="55" t="s">
        <v>47</v>
      </c>
      <c r="E65" s="23"/>
      <c r="F65" s="23"/>
      <c r="G65" s="55" t="s">
        <v>38</v>
      </c>
      <c r="H65" s="37">
        <f t="shared" ref="H65:I65" si="59">INT((J65+L65+N65)/3)</f>
        <v>1</v>
      </c>
      <c r="I65" s="37">
        <f t="shared" si="59"/>
        <v>1</v>
      </c>
      <c r="J65" s="37">
        <v>1.0</v>
      </c>
      <c r="K65" s="140">
        <v>1.0</v>
      </c>
      <c r="L65" s="140">
        <v>1.0</v>
      </c>
      <c r="M65" s="140">
        <v>1.0</v>
      </c>
      <c r="N65" s="141">
        <v>1.0</v>
      </c>
      <c r="O65" s="141">
        <v>2.0</v>
      </c>
    </row>
    <row r="66">
      <c r="A66" s="22">
        <v>60.0</v>
      </c>
      <c r="B66" s="64">
        <v>46199.37499999999</v>
      </c>
      <c r="C66" s="65">
        <v>46199.37499999999</v>
      </c>
      <c r="D66" s="55" t="s">
        <v>39</v>
      </c>
      <c r="E66" s="23"/>
      <c r="F66" s="23"/>
      <c r="G66" s="55" t="s">
        <v>46</v>
      </c>
      <c r="H66" s="37">
        <f t="shared" ref="H66:I66" si="60">INT((J66+L66+N66)/3)</f>
        <v>1</v>
      </c>
      <c r="I66" s="37">
        <f t="shared" si="60"/>
        <v>0</v>
      </c>
      <c r="J66" s="37">
        <v>1.0</v>
      </c>
      <c r="K66" s="140">
        <v>1.0</v>
      </c>
      <c r="L66" s="140">
        <v>1.0</v>
      </c>
      <c r="M66" s="140">
        <v>0.0</v>
      </c>
      <c r="N66" s="141">
        <v>1.0</v>
      </c>
      <c r="O66" s="141">
        <v>1.0</v>
      </c>
    </row>
    <row r="67">
      <c r="A67" s="22">
        <v>61.0</v>
      </c>
      <c r="B67" s="64">
        <v>46200.08333333333</v>
      </c>
      <c r="C67" s="65">
        <v>46200.08333333333</v>
      </c>
      <c r="D67" s="55" t="s">
        <v>67</v>
      </c>
      <c r="E67" s="23"/>
      <c r="F67" s="23"/>
      <c r="G67" s="55" t="s">
        <v>64</v>
      </c>
      <c r="H67" s="37">
        <f t="shared" ref="H67:I67" si="61">INT((J67+L67+N67)/3)</f>
        <v>1</v>
      </c>
      <c r="I67" s="37">
        <f t="shared" si="61"/>
        <v>2</v>
      </c>
      <c r="J67" s="37">
        <v>1.0</v>
      </c>
      <c r="K67" s="140">
        <v>2.0</v>
      </c>
      <c r="L67" s="140">
        <v>1.0</v>
      </c>
      <c r="M67" s="140">
        <v>2.0</v>
      </c>
      <c r="N67" s="141">
        <v>1.0</v>
      </c>
      <c r="O67" s="141">
        <v>2.0</v>
      </c>
    </row>
    <row r="68">
      <c r="A68" s="22">
        <v>62.0</v>
      </c>
      <c r="B68" s="64">
        <v>46200.08333333333</v>
      </c>
      <c r="C68" s="65">
        <v>46200.08333333333</v>
      </c>
      <c r="D68" s="55" t="s">
        <v>65</v>
      </c>
      <c r="E68" s="23"/>
      <c r="F68" s="23"/>
      <c r="G68" s="55" t="s">
        <v>66</v>
      </c>
      <c r="H68" s="37">
        <f t="shared" ref="H68:I68" si="62">INT((J68+L68+N68)/3)</f>
        <v>1</v>
      </c>
      <c r="I68" s="37">
        <f t="shared" si="62"/>
        <v>0</v>
      </c>
      <c r="J68" s="37">
        <v>2.0</v>
      </c>
      <c r="K68" s="140">
        <v>0.0</v>
      </c>
      <c r="L68" s="140">
        <v>2.0</v>
      </c>
      <c r="M68" s="140">
        <v>0.0</v>
      </c>
      <c r="N68" s="141">
        <v>1.0</v>
      </c>
      <c r="O68" s="141">
        <v>1.0</v>
      </c>
    </row>
    <row r="69">
      <c r="A69" s="22">
        <v>63.0</v>
      </c>
      <c r="B69" s="64">
        <v>46200.291666666664</v>
      </c>
      <c r="C69" s="65">
        <v>46200.291666666664</v>
      </c>
      <c r="D69" s="55" t="s">
        <v>57</v>
      </c>
      <c r="E69" s="23"/>
      <c r="F69" s="23"/>
      <c r="G69" s="55" t="s">
        <v>60</v>
      </c>
      <c r="H69" s="37">
        <f t="shared" ref="H69:I69" si="63">INT((J69+L69+N69)/3)</f>
        <v>0</v>
      </c>
      <c r="I69" s="37">
        <f t="shared" si="63"/>
        <v>1</v>
      </c>
      <c r="J69" s="37">
        <v>1.0</v>
      </c>
      <c r="K69" s="140">
        <v>1.0</v>
      </c>
      <c r="L69" s="140">
        <v>1.0</v>
      </c>
      <c r="M69" s="140">
        <v>1.0</v>
      </c>
      <c r="N69" s="141">
        <v>0.0</v>
      </c>
      <c r="O69" s="141">
        <v>1.0</v>
      </c>
    </row>
    <row r="70">
      <c r="A70" s="22">
        <v>64.0</v>
      </c>
      <c r="B70" s="64">
        <v>46200.291666666664</v>
      </c>
      <c r="C70" s="65">
        <v>46200.291666666664</v>
      </c>
      <c r="D70" s="55" t="s">
        <v>61</v>
      </c>
      <c r="E70" s="23"/>
      <c r="F70" s="23"/>
      <c r="G70" s="55" t="s">
        <v>56</v>
      </c>
      <c r="H70" s="37">
        <f t="shared" ref="H70:I70" si="64">INT((J70+L70+N70)/3)</f>
        <v>1</v>
      </c>
      <c r="I70" s="37">
        <f t="shared" si="64"/>
        <v>1</v>
      </c>
      <c r="J70" s="37">
        <v>1.0</v>
      </c>
      <c r="K70" s="140">
        <v>2.0</v>
      </c>
      <c r="L70" s="140">
        <v>1.0</v>
      </c>
      <c r="M70" s="140">
        <v>2.0</v>
      </c>
      <c r="N70" s="141">
        <v>2.0</v>
      </c>
      <c r="O70" s="141">
        <v>1.0</v>
      </c>
    </row>
    <row r="71">
      <c r="A71" s="22">
        <v>65.0</v>
      </c>
      <c r="B71" s="64">
        <v>46200.416666666664</v>
      </c>
      <c r="C71" s="65">
        <v>46200.416666666664</v>
      </c>
      <c r="D71" s="55" t="s">
        <v>59</v>
      </c>
      <c r="E71" s="23"/>
      <c r="F71" s="23"/>
      <c r="G71" s="55" t="s">
        <v>62</v>
      </c>
      <c r="H71" s="37">
        <f t="shared" ref="H71:I71" si="65">INT((J71+L71+N71)/3)</f>
        <v>1</v>
      </c>
      <c r="I71" s="37">
        <f t="shared" si="65"/>
        <v>1</v>
      </c>
      <c r="J71" s="37">
        <v>1.0</v>
      </c>
      <c r="K71" s="140">
        <v>1.0</v>
      </c>
      <c r="L71" s="140">
        <v>1.0</v>
      </c>
      <c r="M71" s="140">
        <v>1.0</v>
      </c>
      <c r="N71" s="141">
        <v>1.0</v>
      </c>
      <c r="O71" s="141">
        <v>1.0</v>
      </c>
    </row>
    <row r="72">
      <c r="A72" s="22">
        <v>66.0</v>
      </c>
      <c r="B72" s="64">
        <v>46200.416666666664</v>
      </c>
      <c r="C72" s="65">
        <v>46200.416666666664</v>
      </c>
      <c r="D72" s="55" t="s">
        <v>63</v>
      </c>
      <c r="E72" s="23"/>
      <c r="F72" s="23"/>
      <c r="G72" s="55" t="s">
        <v>58</v>
      </c>
      <c r="H72" s="37">
        <f t="shared" ref="H72:I72" si="66">INT((J72+L72+N72)/3)</f>
        <v>0</v>
      </c>
      <c r="I72" s="37">
        <f t="shared" si="66"/>
        <v>2</v>
      </c>
      <c r="J72" s="37">
        <v>0.0</v>
      </c>
      <c r="K72" s="140">
        <v>3.0</v>
      </c>
      <c r="L72" s="140">
        <v>0.0</v>
      </c>
      <c r="M72" s="140">
        <v>3.0</v>
      </c>
      <c r="N72" s="141">
        <v>0.0</v>
      </c>
      <c r="O72" s="141">
        <v>2.0</v>
      </c>
    </row>
    <row r="73">
      <c r="A73" s="22">
        <v>67.0</v>
      </c>
      <c r="B73" s="64">
        <v>46201.166666666664</v>
      </c>
      <c r="C73" s="65">
        <v>46201.166666666664</v>
      </c>
      <c r="D73" s="55" t="s">
        <v>77</v>
      </c>
      <c r="E73" s="23"/>
      <c r="F73" s="23"/>
      <c r="G73" s="55" t="s">
        <v>74</v>
      </c>
      <c r="H73" s="37">
        <f t="shared" ref="H73:I73" si="67">INT((J73+L73+N73)/3)</f>
        <v>0</v>
      </c>
      <c r="I73" s="37">
        <f t="shared" si="67"/>
        <v>2</v>
      </c>
      <c r="J73" s="37">
        <v>0.0</v>
      </c>
      <c r="K73" s="140">
        <v>2.0</v>
      </c>
      <c r="L73" s="140">
        <v>0.0</v>
      </c>
      <c r="M73" s="140">
        <v>3.0</v>
      </c>
      <c r="N73" s="141">
        <v>0.0</v>
      </c>
      <c r="O73" s="141">
        <v>2.0</v>
      </c>
    </row>
    <row r="74">
      <c r="A74" s="22">
        <v>68.0</v>
      </c>
      <c r="B74" s="64">
        <v>46201.166666666664</v>
      </c>
      <c r="C74" s="65">
        <v>46201.166666666664</v>
      </c>
      <c r="D74" s="55" t="s">
        <v>75</v>
      </c>
      <c r="E74" s="23"/>
      <c r="F74" s="23"/>
      <c r="G74" s="55" t="s">
        <v>76</v>
      </c>
      <c r="H74" s="37">
        <f t="shared" ref="H74:I74" si="68">INT((J74+L74+N74)/3)</f>
        <v>1</v>
      </c>
      <c r="I74" s="37">
        <f t="shared" si="68"/>
        <v>0</v>
      </c>
      <c r="J74" s="37">
        <v>2.0</v>
      </c>
      <c r="K74" s="140">
        <v>1.0</v>
      </c>
      <c r="L74" s="140">
        <v>2.0</v>
      </c>
      <c r="M74" s="140">
        <v>0.0</v>
      </c>
      <c r="N74" s="141">
        <v>1.0</v>
      </c>
      <c r="O74" s="141">
        <v>1.0</v>
      </c>
    </row>
    <row r="75">
      <c r="A75" s="22">
        <v>69.0</v>
      </c>
      <c r="B75" s="64">
        <v>46201.27083333333</v>
      </c>
      <c r="C75" s="65">
        <v>46201.27083333333</v>
      </c>
      <c r="D75" s="55" t="s">
        <v>79</v>
      </c>
      <c r="E75" s="23"/>
      <c r="F75" s="23"/>
      <c r="G75" s="55" t="s">
        <v>72</v>
      </c>
      <c r="H75" s="37">
        <f t="shared" ref="H75:I75" si="69">INT((J75+L75+N75)/3)</f>
        <v>1</v>
      </c>
      <c r="I75" s="37">
        <f t="shared" si="69"/>
        <v>1</v>
      </c>
      <c r="J75" s="37">
        <v>1.0</v>
      </c>
      <c r="K75" s="140">
        <v>1.0</v>
      </c>
      <c r="L75" s="140">
        <v>1.0</v>
      </c>
      <c r="M75" s="140">
        <v>2.0</v>
      </c>
      <c r="N75" s="141">
        <v>2.0</v>
      </c>
      <c r="O75" s="141">
        <v>1.0</v>
      </c>
    </row>
    <row r="76">
      <c r="A76" s="22">
        <v>70.0</v>
      </c>
      <c r="B76" s="64">
        <v>46201.27083333333</v>
      </c>
      <c r="C76" s="65">
        <v>46201.27083333333</v>
      </c>
      <c r="D76" s="55" t="s">
        <v>73</v>
      </c>
      <c r="E76" s="23"/>
      <c r="F76" s="23"/>
      <c r="G76" s="55" t="s">
        <v>78</v>
      </c>
      <c r="H76" s="37">
        <f t="shared" ref="H76:I76" si="70">INT((J76+L76+N76)/3)</f>
        <v>1</v>
      </c>
      <c r="I76" s="37">
        <f t="shared" si="70"/>
        <v>1</v>
      </c>
      <c r="J76" s="37">
        <v>2.0</v>
      </c>
      <c r="K76" s="140">
        <v>1.0</v>
      </c>
      <c r="L76" s="140">
        <v>1.0</v>
      </c>
      <c r="M76" s="140">
        <v>1.0</v>
      </c>
      <c r="N76" s="141">
        <v>1.0</v>
      </c>
      <c r="O76" s="141">
        <v>1.0</v>
      </c>
    </row>
    <row r="77">
      <c r="A77" s="22">
        <v>71.0</v>
      </c>
      <c r="B77" s="64">
        <v>46201.37499999999</v>
      </c>
      <c r="C77" s="65">
        <v>46201.37499999999</v>
      </c>
      <c r="D77" s="55" t="s">
        <v>69</v>
      </c>
      <c r="E77" s="23"/>
      <c r="F77" s="23"/>
      <c r="G77" s="55" t="s">
        <v>70</v>
      </c>
      <c r="H77" s="37">
        <f t="shared" ref="H77:I77" si="71">INT((J77+L77+N77)/3)</f>
        <v>1</v>
      </c>
      <c r="I77" s="37">
        <f t="shared" si="71"/>
        <v>1</v>
      </c>
      <c r="J77" s="37">
        <v>1.0</v>
      </c>
      <c r="K77" s="140">
        <v>2.0</v>
      </c>
      <c r="L77" s="140">
        <v>1.0</v>
      </c>
      <c r="M77" s="140">
        <v>1.0</v>
      </c>
      <c r="N77" s="141">
        <v>2.0</v>
      </c>
      <c r="O77" s="141">
        <v>1.0</v>
      </c>
    </row>
    <row r="78">
      <c r="A78" s="22">
        <v>72.0</v>
      </c>
      <c r="B78" s="64">
        <v>46201.37499999999</v>
      </c>
      <c r="C78" s="65">
        <v>46201.37499999999</v>
      </c>
      <c r="D78" s="55" t="s">
        <v>71</v>
      </c>
      <c r="E78" s="23"/>
      <c r="F78" s="23"/>
      <c r="G78" s="55" t="s">
        <v>68</v>
      </c>
      <c r="H78" s="37">
        <f t="shared" ref="H78:I78" si="72">INT((J78+L78+N78)/3)</f>
        <v>0</v>
      </c>
      <c r="I78" s="37">
        <f t="shared" si="72"/>
        <v>3</v>
      </c>
      <c r="J78" s="37">
        <v>0.0</v>
      </c>
      <c r="K78" s="140">
        <v>3.0</v>
      </c>
      <c r="L78" s="140">
        <v>0.0</v>
      </c>
      <c r="M78" s="140">
        <v>4.0</v>
      </c>
      <c r="N78" s="141">
        <v>0.0</v>
      </c>
      <c r="O78" s="141">
        <v>2.0</v>
      </c>
    </row>
    <row r="79">
      <c r="A79" s="22"/>
      <c r="B79" s="70" t="s">
        <v>80</v>
      </c>
      <c r="C79" s="65"/>
      <c r="D79" s="55"/>
      <c r="E79" s="23"/>
      <c r="F79" s="23"/>
      <c r="G79" s="55"/>
      <c r="H79" s="37"/>
      <c r="I79" s="37"/>
    </row>
    <row r="80">
      <c r="A80" s="71">
        <v>73.0</v>
      </c>
      <c r="B80" s="64">
        <v>46202.08333333333</v>
      </c>
      <c r="C80" s="65">
        <v>46202.08333333333</v>
      </c>
      <c r="D80" s="55" t="s">
        <v>81</v>
      </c>
      <c r="E80" s="23"/>
      <c r="F80" s="23"/>
      <c r="G80" s="55" t="s">
        <v>81</v>
      </c>
      <c r="H80" s="37">
        <v>1.0</v>
      </c>
      <c r="I80" s="37">
        <v>1.0</v>
      </c>
    </row>
    <row r="81">
      <c r="A81" s="71">
        <v>74.0</v>
      </c>
      <c r="B81" s="64">
        <v>46202.99999999999</v>
      </c>
      <c r="C81" s="65">
        <v>46202.99999999999</v>
      </c>
      <c r="D81" s="55" t="s">
        <v>81</v>
      </c>
      <c r="E81" s="23"/>
      <c r="F81" s="23"/>
      <c r="G81" s="55" t="s">
        <v>81</v>
      </c>
      <c r="H81" s="37">
        <v>1.0</v>
      </c>
      <c r="I81" s="37">
        <v>1.0</v>
      </c>
    </row>
    <row r="82">
      <c r="A82" s="71">
        <v>75.0</v>
      </c>
      <c r="B82" s="64">
        <v>46203.14583333333</v>
      </c>
      <c r="C82" s="65">
        <v>46203.14583333333</v>
      </c>
      <c r="D82" s="55" t="s">
        <v>81</v>
      </c>
      <c r="E82" s="23"/>
      <c r="F82" s="23"/>
      <c r="G82" s="55" t="s">
        <v>81</v>
      </c>
      <c r="H82" s="37">
        <v>1.0</v>
      </c>
      <c r="I82" s="37">
        <v>1.0</v>
      </c>
    </row>
    <row r="83">
      <c r="A83" s="71">
        <v>76.0</v>
      </c>
      <c r="B83" s="64">
        <v>46203.33333333333</v>
      </c>
      <c r="C83" s="65">
        <v>46203.33333333333</v>
      </c>
      <c r="D83" s="55" t="s">
        <v>81</v>
      </c>
      <c r="E83" s="23"/>
      <c r="F83" s="23"/>
      <c r="G83" s="55" t="s">
        <v>81</v>
      </c>
      <c r="H83" s="37">
        <v>1.0</v>
      </c>
      <c r="I83" s="37">
        <v>1.0</v>
      </c>
    </row>
    <row r="84">
      <c r="A84" s="71">
        <v>77.0</v>
      </c>
      <c r="B84" s="64">
        <v>46203.99999999999</v>
      </c>
      <c r="C84" s="65">
        <v>46203.99999999999</v>
      </c>
      <c r="D84" s="55" t="s">
        <v>81</v>
      </c>
      <c r="E84" s="23"/>
      <c r="F84" s="23"/>
      <c r="G84" s="55" t="s">
        <v>81</v>
      </c>
      <c r="H84" s="37">
        <v>1.0</v>
      </c>
      <c r="I84" s="37">
        <v>1.0</v>
      </c>
    </row>
    <row r="85">
      <c r="A85" s="71">
        <v>78.0</v>
      </c>
      <c r="B85" s="64">
        <v>46204.166666666664</v>
      </c>
      <c r="C85" s="65">
        <v>46204.166666666664</v>
      </c>
      <c r="D85" s="55" t="s">
        <v>81</v>
      </c>
      <c r="E85" s="23"/>
      <c r="F85" s="23"/>
      <c r="G85" s="55" t="s">
        <v>81</v>
      </c>
      <c r="H85" s="37">
        <v>1.0</v>
      </c>
      <c r="I85" s="37">
        <v>1.0</v>
      </c>
    </row>
    <row r="86">
      <c r="A86" s="71">
        <v>79.0</v>
      </c>
      <c r="B86" s="64">
        <v>46204.33333333333</v>
      </c>
      <c r="C86" s="65">
        <v>46204.33333333333</v>
      </c>
      <c r="D86" s="55" t="s">
        <v>81</v>
      </c>
      <c r="E86" s="23"/>
      <c r="F86" s="23"/>
      <c r="G86" s="55" t="s">
        <v>81</v>
      </c>
      <c r="H86" s="37">
        <v>1.0</v>
      </c>
      <c r="I86" s="37">
        <v>1.0</v>
      </c>
    </row>
    <row r="87">
      <c r="A87" s="71">
        <v>80.0</v>
      </c>
      <c r="B87" s="64">
        <v>46204.95833333333</v>
      </c>
      <c r="C87" s="65">
        <v>46204.95833333333</v>
      </c>
      <c r="D87" s="55" t="s">
        <v>81</v>
      </c>
      <c r="E87" s="23"/>
      <c r="F87" s="23"/>
      <c r="G87" s="55" t="s">
        <v>81</v>
      </c>
      <c r="H87" s="37">
        <v>1.0</v>
      </c>
      <c r="I87" s="37">
        <v>1.0</v>
      </c>
    </row>
    <row r="88">
      <c r="A88" s="71">
        <v>81.0</v>
      </c>
      <c r="B88" s="64">
        <v>46205.12499999999</v>
      </c>
      <c r="C88" s="65">
        <v>46205.12499999999</v>
      </c>
      <c r="D88" s="55" t="s">
        <v>81</v>
      </c>
      <c r="E88" s="23"/>
      <c r="F88" s="23"/>
      <c r="G88" s="55" t="s">
        <v>81</v>
      </c>
      <c r="H88" s="37">
        <v>1.0</v>
      </c>
      <c r="I88" s="37">
        <v>1.0</v>
      </c>
    </row>
    <row r="89">
      <c r="A89" s="71">
        <v>82.0</v>
      </c>
      <c r="B89" s="64">
        <v>46205.291666666664</v>
      </c>
      <c r="C89" s="65">
        <v>46205.291666666664</v>
      </c>
      <c r="D89" s="55" t="s">
        <v>81</v>
      </c>
      <c r="E89" s="23"/>
      <c r="F89" s="23"/>
      <c r="G89" s="55" t="s">
        <v>81</v>
      </c>
      <c r="H89" s="37">
        <v>1.0</v>
      </c>
      <c r="I89" s="37">
        <v>1.0</v>
      </c>
    </row>
    <row r="90">
      <c r="A90" s="71">
        <v>83.0</v>
      </c>
      <c r="B90" s="64">
        <v>46206.08333333333</v>
      </c>
      <c r="C90" s="65">
        <v>46206.08333333333</v>
      </c>
      <c r="D90" s="55" t="s">
        <v>81</v>
      </c>
      <c r="E90" s="23"/>
      <c r="F90" s="23"/>
      <c r="G90" s="55" t="s">
        <v>81</v>
      </c>
      <c r="H90" s="37">
        <v>1.0</v>
      </c>
      <c r="I90" s="37">
        <v>1.0</v>
      </c>
    </row>
    <row r="91">
      <c r="A91" s="71">
        <v>84.0</v>
      </c>
      <c r="B91" s="64">
        <v>46206.24999999999</v>
      </c>
      <c r="C91" s="65">
        <v>46206.24999999999</v>
      </c>
      <c r="D91" s="55" t="s">
        <v>81</v>
      </c>
      <c r="E91" s="23"/>
      <c r="F91" s="23"/>
      <c r="G91" s="55" t="s">
        <v>81</v>
      </c>
      <c r="H91" s="37">
        <v>1.0</v>
      </c>
      <c r="I91" s="37">
        <v>1.0</v>
      </c>
    </row>
    <row r="92">
      <c r="A92" s="71">
        <v>85.0</v>
      </c>
      <c r="B92" s="64">
        <v>46206.416666666664</v>
      </c>
      <c r="C92" s="65">
        <v>46206.416666666664</v>
      </c>
      <c r="D92" s="55" t="s">
        <v>81</v>
      </c>
      <c r="E92" s="23"/>
      <c r="F92" s="23"/>
      <c r="G92" s="55" t="s">
        <v>81</v>
      </c>
      <c r="H92" s="37">
        <v>1.0</v>
      </c>
      <c r="I92" s="37">
        <v>1.0</v>
      </c>
    </row>
    <row r="93">
      <c r="A93" s="71">
        <v>86.0</v>
      </c>
      <c r="B93" s="64">
        <v>46207.041666666664</v>
      </c>
      <c r="C93" s="65">
        <v>46207.041666666664</v>
      </c>
      <c r="D93" s="55" t="s">
        <v>81</v>
      </c>
      <c r="E93" s="23"/>
      <c r="F93" s="23"/>
      <c r="G93" s="55" t="s">
        <v>81</v>
      </c>
      <c r="H93" s="37">
        <v>1.0</v>
      </c>
      <c r="I93" s="37">
        <v>1.0</v>
      </c>
    </row>
    <row r="94">
      <c r="A94" s="71">
        <v>87.0</v>
      </c>
      <c r="B94" s="64">
        <v>46207.20833333333</v>
      </c>
      <c r="C94" s="65">
        <v>46207.20833333333</v>
      </c>
      <c r="D94" s="55" t="s">
        <v>81</v>
      </c>
      <c r="E94" s="23"/>
      <c r="F94" s="23"/>
      <c r="G94" s="55" t="s">
        <v>81</v>
      </c>
      <c r="H94" s="37">
        <v>1.0</v>
      </c>
      <c r="I94" s="37">
        <v>1.0</v>
      </c>
    </row>
    <row r="95">
      <c r="A95" s="71">
        <v>88.0</v>
      </c>
      <c r="B95" s="64">
        <v>46207.354166666664</v>
      </c>
      <c r="C95" s="65">
        <v>46207.354166666664</v>
      </c>
      <c r="D95" s="55" t="s">
        <v>81</v>
      </c>
      <c r="E95" s="23"/>
      <c r="F95" s="23"/>
      <c r="G95" s="55" t="s">
        <v>81</v>
      </c>
      <c r="H95" s="37">
        <v>1.0</v>
      </c>
      <c r="I95" s="37">
        <v>1.0</v>
      </c>
    </row>
    <row r="96">
      <c r="A96" s="73"/>
      <c r="B96" s="70" t="s">
        <v>82</v>
      </c>
      <c r="C96" s="74"/>
      <c r="D96" s="55"/>
      <c r="E96" s="23"/>
      <c r="F96" s="23"/>
      <c r="G96" s="55"/>
      <c r="H96" s="37"/>
      <c r="I96" s="37"/>
    </row>
    <row r="97">
      <c r="A97" s="71">
        <v>89.0</v>
      </c>
      <c r="B97" s="64">
        <v>46207.99999999999</v>
      </c>
      <c r="C97" s="65">
        <v>46207.99999999999</v>
      </c>
      <c r="D97" s="55" t="s">
        <v>81</v>
      </c>
      <c r="E97" s="23"/>
      <c r="F97" s="23"/>
      <c r="G97" s="55" t="s">
        <v>81</v>
      </c>
      <c r="H97" s="37">
        <v>1.0</v>
      </c>
      <c r="I97" s="37">
        <v>1.0</v>
      </c>
    </row>
    <row r="98">
      <c r="A98" s="71">
        <v>90.0</v>
      </c>
      <c r="B98" s="64">
        <v>46208.166666666664</v>
      </c>
      <c r="C98" s="65">
        <v>46208.166666666664</v>
      </c>
      <c r="D98" s="55" t="s">
        <v>81</v>
      </c>
      <c r="E98" s="23"/>
      <c r="F98" s="23"/>
      <c r="G98" s="55" t="s">
        <v>81</v>
      </c>
      <c r="H98" s="37">
        <v>1.0</v>
      </c>
      <c r="I98" s="37">
        <v>1.0</v>
      </c>
    </row>
    <row r="99">
      <c r="A99" s="71">
        <v>91.0</v>
      </c>
      <c r="B99" s="64">
        <v>46209.12499999999</v>
      </c>
      <c r="C99" s="65">
        <v>46209.12499999999</v>
      </c>
      <c r="D99" s="55" t="s">
        <v>81</v>
      </c>
      <c r="E99" s="23"/>
      <c r="F99" s="23"/>
      <c r="G99" s="55" t="s">
        <v>81</v>
      </c>
      <c r="H99" s="37">
        <v>1.0</v>
      </c>
      <c r="I99" s="37">
        <v>1.0</v>
      </c>
    </row>
    <row r="100">
      <c r="A100" s="71">
        <v>92.0</v>
      </c>
      <c r="B100" s="64">
        <v>46209.291666666664</v>
      </c>
      <c r="C100" s="65">
        <v>46209.291666666664</v>
      </c>
      <c r="D100" s="55" t="s">
        <v>81</v>
      </c>
      <c r="E100" s="23"/>
      <c r="F100" s="23"/>
      <c r="G100" s="55" t="s">
        <v>81</v>
      </c>
      <c r="H100" s="37">
        <v>1.0</v>
      </c>
      <c r="I100" s="37">
        <v>1.0</v>
      </c>
    </row>
    <row r="101">
      <c r="A101" s="71">
        <v>93.0</v>
      </c>
      <c r="B101" s="64">
        <v>46210.08333333333</v>
      </c>
      <c r="C101" s="65">
        <v>46210.08333333333</v>
      </c>
      <c r="D101" s="55" t="s">
        <v>81</v>
      </c>
      <c r="E101" s="23"/>
      <c r="F101" s="23"/>
      <c r="G101" s="55" t="s">
        <v>81</v>
      </c>
      <c r="H101" s="37">
        <v>1.0</v>
      </c>
      <c r="I101" s="37">
        <v>1.0</v>
      </c>
    </row>
    <row r="102">
      <c r="A102" s="71">
        <v>94.0</v>
      </c>
      <c r="B102" s="64">
        <v>46210.291666666664</v>
      </c>
      <c r="C102" s="65">
        <v>46210.291666666664</v>
      </c>
      <c r="D102" s="55" t="s">
        <v>81</v>
      </c>
      <c r="E102" s="23"/>
      <c r="F102" s="23"/>
      <c r="G102" s="55" t="s">
        <v>81</v>
      </c>
      <c r="H102" s="37">
        <v>1.0</v>
      </c>
      <c r="I102" s="37">
        <v>1.0</v>
      </c>
    </row>
    <row r="103">
      <c r="A103" s="71">
        <v>95.0</v>
      </c>
      <c r="B103" s="64">
        <v>46210.95833333333</v>
      </c>
      <c r="C103" s="65">
        <v>46210.95833333333</v>
      </c>
      <c r="D103" s="55" t="s">
        <v>81</v>
      </c>
      <c r="E103" s="23"/>
      <c r="F103" s="23"/>
      <c r="G103" s="55" t="s">
        <v>81</v>
      </c>
      <c r="H103" s="37">
        <v>1.0</v>
      </c>
      <c r="I103" s="37">
        <v>1.0</v>
      </c>
    </row>
    <row r="104">
      <c r="A104" s="71">
        <v>96.0</v>
      </c>
      <c r="B104" s="64">
        <v>46211.12499999999</v>
      </c>
      <c r="C104" s="65">
        <v>46211.12499999999</v>
      </c>
      <c r="D104" s="55" t="s">
        <v>81</v>
      </c>
      <c r="E104" s="23"/>
      <c r="F104" s="23"/>
      <c r="G104" s="55" t="s">
        <v>81</v>
      </c>
      <c r="H104" s="37">
        <v>1.0</v>
      </c>
      <c r="I104" s="37">
        <v>1.0</v>
      </c>
    </row>
    <row r="105">
      <c r="A105" s="76"/>
      <c r="B105" s="77" t="s">
        <v>83</v>
      </c>
      <c r="C105" s="74"/>
      <c r="D105" s="55"/>
      <c r="E105" s="23"/>
      <c r="F105" s="23"/>
      <c r="G105" s="55"/>
      <c r="H105" s="37"/>
      <c r="I105" s="37"/>
    </row>
    <row r="106">
      <c r="A106" s="71">
        <v>97.0</v>
      </c>
      <c r="B106" s="64">
        <v>46213.12499999999</v>
      </c>
      <c r="C106" s="65">
        <v>46213.12499999999</v>
      </c>
      <c r="D106" s="55" t="s">
        <v>81</v>
      </c>
      <c r="E106" s="23"/>
      <c r="F106" s="23"/>
      <c r="G106" s="55" t="s">
        <v>81</v>
      </c>
      <c r="H106" s="37">
        <v>1.0</v>
      </c>
      <c r="I106" s="37">
        <v>1.0</v>
      </c>
    </row>
    <row r="107">
      <c r="A107" s="71">
        <v>98.0</v>
      </c>
      <c r="B107" s="64">
        <v>46214.08333333333</v>
      </c>
      <c r="C107" s="65">
        <v>46214.08333333333</v>
      </c>
      <c r="D107" s="55" t="s">
        <v>81</v>
      </c>
      <c r="E107" s="23"/>
      <c r="F107" s="23"/>
      <c r="G107" s="55" t="s">
        <v>81</v>
      </c>
      <c r="H107" s="37">
        <v>1.0</v>
      </c>
      <c r="I107" s="37">
        <v>1.0</v>
      </c>
    </row>
    <row r="108">
      <c r="A108" s="71">
        <v>99.0</v>
      </c>
      <c r="B108" s="64">
        <v>46215.166666666664</v>
      </c>
      <c r="C108" s="65">
        <v>46215.166666666664</v>
      </c>
      <c r="D108" s="55" t="s">
        <v>81</v>
      </c>
      <c r="E108" s="23"/>
      <c r="F108" s="23"/>
      <c r="G108" s="55" t="s">
        <v>81</v>
      </c>
      <c r="H108" s="37">
        <v>1.0</v>
      </c>
      <c r="I108" s="37">
        <v>1.0</v>
      </c>
    </row>
    <row r="109">
      <c r="A109" s="71">
        <v>100.0</v>
      </c>
      <c r="B109" s="64">
        <v>46215.33333333333</v>
      </c>
      <c r="C109" s="65">
        <v>46215.33333333333</v>
      </c>
      <c r="D109" s="55" t="s">
        <v>81</v>
      </c>
      <c r="E109" s="23"/>
      <c r="F109" s="23"/>
      <c r="G109" s="55" t="s">
        <v>81</v>
      </c>
      <c r="H109" s="37">
        <v>1.0</v>
      </c>
      <c r="I109" s="37">
        <v>1.0</v>
      </c>
    </row>
    <row r="110">
      <c r="A110" s="76"/>
      <c r="B110" s="70" t="s">
        <v>84</v>
      </c>
      <c r="C110" s="74"/>
      <c r="D110" s="55"/>
      <c r="E110" s="23"/>
      <c r="F110" s="23"/>
      <c r="G110" s="55"/>
      <c r="H110" s="37"/>
      <c r="I110" s="37"/>
    </row>
    <row r="111">
      <c r="A111" s="71">
        <v>101.0</v>
      </c>
      <c r="B111" s="64">
        <v>46218.08333333333</v>
      </c>
      <c r="C111" s="65">
        <v>46218.08333333333</v>
      </c>
      <c r="D111" s="55" t="s">
        <v>81</v>
      </c>
      <c r="E111" s="23"/>
      <c r="F111" s="23"/>
      <c r="G111" s="55" t="s">
        <v>81</v>
      </c>
      <c r="H111" s="37">
        <v>1.0</v>
      </c>
      <c r="I111" s="37">
        <v>1.0</v>
      </c>
    </row>
    <row r="112">
      <c r="A112" s="71">
        <v>102.0</v>
      </c>
      <c r="B112" s="64">
        <v>46219.08333333333</v>
      </c>
      <c r="C112" s="65">
        <v>46219.08333333333</v>
      </c>
      <c r="D112" s="55" t="s">
        <v>81</v>
      </c>
      <c r="E112" s="23"/>
      <c r="F112" s="23"/>
      <c r="G112" s="55" t="s">
        <v>81</v>
      </c>
      <c r="H112" s="37">
        <v>1.0</v>
      </c>
      <c r="I112" s="37">
        <v>1.0</v>
      </c>
    </row>
    <row r="113">
      <c r="A113" s="22"/>
      <c r="B113" s="70" t="s">
        <v>85</v>
      </c>
      <c r="C113" s="65"/>
      <c r="D113" s="55"/>
      <c r="E113" s="23"/>
      <c r="F113" s="23"/>
      <c r="G113" s="55"/>
      <c r="H113" s="37">
        <v>1.0</v>
      </c>
      <c r="I113" s="37">
        <v>1.0</v>
      </c>
    </row>
    <row r="114">
      <c r="A114" s="71">
        <v>103.0</v>
      </c>
      <c r="B114" s="79">
        <v>46222.166666666664</v>
      </c>
      <c r="C114" s="80">
        <v>46222.166666666664</v>
      </c>
      <c r="D114" s="81" t="s">
        <v>81</v>
      </c>
      <c r="E114" s="23"/>
      <c r="F114" s="82"/>
      <c r="G114" s="81" t="s">
        <v>81</v>
      </c>
      <c r="H114" s="37">
        <v>1.0</v>
      </c>
      <c r="I114" s="37">
        <v>1.0</v>
      </c>
    </row>
    <row r="115">
      <c r="A115" s="71"/>
      <c r="B115" s="83" t="s">
        <v>86</v>
      </c>
      <c r="C115" s="80"/>
      <c r="D115" s="86"/>
      <c r="E115" s="23"/>
      <c r="F115" s="87"/>
      <c r="G115" s="88"/>
      <c r="H115" s="37">
        <v>1.0</v>
      </c>
      <c r="I115" s="37">
        <v>1.0</v>
      </c>
    </row>
    <row r="116">
      <c r="A116" s="90">
        <v>104.0</v>
      </c>
      <c r="B116" s="79">
        <v>46223.08333333333</v>
      </c>
      <c r="C116" s="80">
        <v>46223.08333333333</v>
      </c>
      <c r="D116" s="86" t="s">
        <v>81</v>
      </c>
      <c r="E116" s="23"/>
      <c r="F116" s="59"/>
      <c r="G116" s="88" t="s">
        <v>81</v>
      </c>
      <c r="H116" s="37">
        <v>1.0</v>
      </c>
      <c r="I116" s="37">
        <v>1.0</v>
      </c>
    </row>
    <row r="117">
      <c r="A117" s="8"/>
      <c r="B117" s="89"/>
      <c r="C117" s="91"/>
      <c r="D117" s="78"/>
      <c r="E117" s="8"/>
      <c r="F117" s="92"/>
      <c r="G117" s="91"/>
      <c r="H117" s="15"/>
      <c r="I117" s="15"/>
    </row>
    <row r="118">
      <c r="A118" s="8"/>
      <c r="B118" s="89"/>
      <c r="C118" s="91"/>
      <c r="D118" s="78"/>
      <c r="E118" s="8"/>
      <c r="F118" s="92"/>
      <c r="G118" s="91"/>
      <c r="H118" s="15"/>
      <c r="I118" s="15"/>
    </row>
    <row r="119">
      <c r="A119" s="8"/>
      <c r="B119" s="91"/>
      <c r="C119" s="91"/>
      <c r="D119" s="78"/>
      <c r="E119" s="8"/>
      <c r="F119" s="92"/>
      <c r="G119" s="91"/>
      <c r="H119" s="15"/>
      <c r="I119" s="15"/>
    </row>
    <row r="120">
      <c r="A120" s="8"/>
      <c r="B120" s="91"/>
      <c r="C120" s="91"/>
      <c r="D120" s="78"/>
      <c r="E120" s="8"/>
      <c r="F120" s="92"/>
      <c r="G120" s="91"/>
      <c r="H120" s="15"/>
      <c r="I120" s="15"/>
    </row>
    <row r="121">
      <c r="A121" s="8"/>
      <c r="B121" s="91"/>
      <c r="C121" s="91"/>
      <c r="D121" s="78"/>
      <c r="E121" s="8"/>
      <c r="F121" s="92"/>
      <c r="G121" s="91"/>
      <c r="H121" s="15"/>
      <c r="I121" s="15"/>
    </row>
    <row r="122">
      <c r="A122" s="8"/>
      <c r="B122" s="91"/>
      <c r="C122" s="91"/>
      <c r="D122" s="78"/>
      <c r="E122" s="92"/>
      <c r="F122" s="92"/>
      <c r="G122" s="91"/>
      <c r="H122" s="15"/>
      <c r="I122" s="15"/>
    </row>
    <row r="123">
      <c r="A123" s="8"/>
      <c r="B123" s="91"/>
      <c r="C123" s="91"/>
      <c r="D123" s="78"/>
      <c r="E123" s="92"/>
      <c r="F123" s="92"/>
      <c r="G123" s="91"/>
      <c r="H123" s="15"/>
      <c r="I123" s="15"/>
    </row>
    <row r="124">
      <c r="A124" s="8"/>
      <c r="B124" s="91"/>
      <c r="C124" s="91"/>
      <c r="D124" s="78"/>
      <c r="E124" s="92"/>
      <c r="F124" s="92"/>
      <c r="G124" s="91"/>
      <c r="H124" s="15"/>
      <c r="I124" s="15"/>
    </row>
    <row r="125">
      <c r="A125" s="28"/>
      <c r="E125" s="94"/>
      <c r="G125" s="94"/>
      <c r="H125" s="15"/>
      <c r="I125" s="15"/>
    </row>
    <row r="126">
      <c r="A126" s="95"/>
      <c r="D126" s="9"/>
      <c r="E126" s="94"/>
      <c r="G126" s="11"/>
      <c r="H126" s="15"/>
      <c r="I126" s="15"/>
    </row>
    <row r="127">
      <c r="D127" s="9"/>
      <c r="E127" s="94"/>
      <c r="G127" s="94"/>
      <c r="H127" s="15"/>
      <c r="I127" s="15"/>
    </row>
    <row r="128">
      <c r="A128" s="78" t="s">
        <v>98</v>
      </c>
      <c r="B128" s="96"/>
      <c r="C128" s="96"/>
      <c r="D128" s="9"/>
      <c r="E128" s="94"/>
      <c r="G128" s="11"/>
      <c r="H128" s="15"/>
      <c r="I128" s="15"/>
    </row>
    <row r="129">
      <c r="A129" s="78"/>
      <c r="B129" s="96"/>
      <c r="C129" s="96"/>
      <c r="D129" s="9"/>
      <c r="E129" s="94"/>
      <c r="G129" s="94"/>
      <c r="H129" s="15"/>
      <c r="I129" s="15"/>
    </row>
    <row r="130">
      <c r="A130" s="28" t="s">
        <v>99</v>
      </c>
      <c r="H130" s="8"/>
      <c r="I130" s="8"/>
    </row>
    <row r="131">
      <c r="H131" s="15"/>
      <c r="I131" s="15"/>
    </row>
    <row r="132">
      <c r="A132" s="107" t="s">
        <v>100</v>
      </c>
      <c r="B132" s="17"/>
      <c r="C132" s="17"/>
      <c r="D132" s="13"/>
      <c r="E132" s="108"/>
      <c r="F132" s="13"/>
      <c r="G132" s="109" t="s">
        <v>102</v>
      </c>
      <c r="H132" s="68"/>
      <c r="I132" s="68"/>
    </row>
    <row r="133">
      <c r="A133" s="110" t="s">
        <v>104</v>
      </c>
      <c r="B133" s="17"/>
      <c r="C133" s="17"/>
      <c r="D133" s="111" t="s">
        <v>105</v>
      </c>
      <c r="E133" s="112"/>
      <c r="F133" s="13"/>
      <c r="G133" s="113">
        <v>5000.0</v>
      </c>
      <c r="H133" s="15"/>
      <c r="I133" s="15"/>
    </row>
    <row r="134">
      <c r="A134" s="110" t="s">
        <v>106</v>
      </c>
      <c r="B134" s="17"/>
      <c r="C134" s="17"/>
      <c r="D134" s="111" t="s">
        <v>107</v>
      </c>
      <c r="E134" s="112"/>
      <c r="F134" s="13"/>
      <c r="G134" s="113">
        <v>7500.0</v>
      </c>
      <c r="H134" s="15"/>
      <c r="I134" s="15"/>
    </row>
    <row r="135">
      <c r="A135" s="110" t="s">
        <v>108</v>
      </c>
      <c r="B135" s="17"/>
      <c r="C135" s="17"/>
      <c r="D135" s="111" t="s">
        <v>109</v>
      </c>
      <c r="E135" s="112"/>
      <c r="F135" s="13"/>
      <c r="G135" s="113">
        <v>10000.0</v>
      </c>
      <c r="H135" s="15"/>
      <c r="I135" s="15"/>
    </row>
    <row r="136">
      <c r="A136" s="110" t="s">
        <v>110</v>
      </c>
      <c r="B136" s="17"/>
      <c r="C136" s="17"/>
      <c r="D136" s="111" t="s">
        <v>111</v>
      </c>
      <c r="E136" s="112"/>
      <c r="F136" s="13"/>
      <c r="G136" s="113">
        <v>12500.0</v>
      </c>
      <c r="H136" s="15"/>
      <c r="I136" s="15"/>
    </row>
    <row r="137">
      <c r="A137" s="114" t="s">
        <v>112</v>
      </c>
      <c r="B137" s="17"/>
      <c r="C137" s="17"/>
      <c r="D137" s="115" t="s">
        <v>113</v>
      </c>
      <c r="E137" s="112"/>
      <c r="F137" s="13"/>
      <c r="G137" s="113">
        <v>15000.0</v>
      </c>
      <c r="H137" s="15"/>
      <c r="I137" s="15"/>
    </row>
    <row r="138">
      <c r="A138" s="114" t="s">
        <v>114</v>
      </c>
      <c r="B138" s="17"/>
      <c r="C138" s="17"/>
      <c r="D138" s="13"/>
      <c r="E138" s="112"/>
      <c r="F138" s="13"/>
      <c r="G138" s="113">
        <v>25000.0</v>
      </c>
      <c r="H138" s="15"/>
      <c r="I138" s="15"/>
    </row>
    <row r="139">
      <c r="A139" s="142" t="s">
        <v>115</v>
      </c>
      <c r="H139" s="15"/>
      <c r="I139" s="15"/>
    </row>
    <row r="140">
      <c r="A140" s="91"/>
      <c r="B140" s="91"/>
      <c r="C140" s="91"/>
      <c r="D140" s="78"/>
      <c r="E140" s="15"/>
      <c r="F140" s="15"/>
      <c r="G140" s="91"/>
      <c r="H140" s="15"/>
      <c r="I140" s="15"/>
    </row>
    <row r="141">
      <c r="A141" s="91"/>
      <c r="B141" s="91"/>
      <c r="C141" s="91"/>
      <c r="D141" s="78"/>
      <c r="E141" s="15"/>
      <c r="F141" s="15"/>
      <c r="G141" s="91"/>
      <c r="H141" s="15"/>
      <c r="I141" s="15"/>
    </row>
    <row r="142">
      <c r="A142" s="91"/>
      <c r="B142" s="91"/>
      <c r="C142" s="91"/>
      <c r="D142" s="78"/>
      <c r="E142" s="15"/>
      <c r="F142" s="15"/>
      <c r="G142" s="91"/>
      <c r="H142" s="15"/>
      <c r="I142" s="15"/>
    </row>
    <row r="143">
      <c r="A143" s="91"/>
      <c r="B143" s="91"/>
      <c r="C143" s="91"/>
      <c r="D143" s="78"/>
      <c r="E143" s="15"/>
      <c r="F143" s="15"/>
      <c r="G143" s="91"/>
      <c r="H143" s="15"/>
      <c r="I143" s="15"/>
    </row>
    <row r="144">
      <c r="A144" s="91"/>
      <c r="B144" s="91"/>
      <c r="C144" s="91"/>
      <c r="D144" s="78"/>
      <c r="E144" s="15"/>
      <c r="F144" s="15"/>
      <c r="G144" s="91"/>
      <c r="H144" s="15"/>
      <c r="I144" s="15"/>
    </row>
    <row r="145">
      <c r="A145" s="91"/>
      <c r="B145" s="91"/>
      <c r="C145" s="91"/>
      <c r="D145" s="78"/>
      <c r="E145" s="15"/>
      <c r="F145" s="15"/>
      <c r="G145" s="91"/>
      <c r="H145" s="15"/>
      <c r="I145" s="15"/>
    </row>
    <row r="146">
      <c r="A146" s="91"/>
      <c r="B146" s="91"/>
      <c r="C146" s="91"/>
      <c r="D146" s="78"/>
      <c r="E146" s="15"/>
      <c r="F146" s="15"/>
      <c r="G146" s="91"/>
      <c r="H146" s="15"/>
      <c r="I146" s="15"/>
    </row>
    <row r="147">
      <c r="A147" s="91"/>
      <c r="B147" s="91"/>
      <c r="C147" s="91"/>
      <c r="D147" s="78"/>
      <c r="E147" s="15"/>
      <c r="F147" s="15"/>
      <c r="G147" s="91"/>
      <c r="H147" s="15"/>
      <c r="I147" s="15"/>
    </row>
    <row r="148">
      <c r="A148" s="91"/>
      <c r="B148" s="91"/>
      <c r="C148" s="91"/>
      <c r="D148" s="78"/>
      <c r="E148" s="15"/>
      <c r="F148" s="15"/>
      <c r="G148" s="91"/>
      <c r="H148" s="15"/>
      <c r="I148" s="15"/>
    </row>
    <row r="149">
      <c r="A149" s="91"/>
      <c r="B149" s="91"/>
      <c r="C149" s="91"/>
      <c r="D149" s="78"/>
      <c r="E149" s="15"/>
      <c r="F149" s="15"/>
      <c r="G149" s="91"/>
      <c r="H149" s="15"/>
      <c r="I149" s="15"/>
    </row>
    <row r="150">
      <c r="A150" s="91"/>
      <c r="B150" s="91"/>
      <c r="C150" s="91"/>
      <c r="D150" s="78"/>
      <c r="E150" s="15"/>
      <c r="F150" s="15"/>
      <c r="G150" s="91"/>
      <c r="H150" s="15"/>
      <c r="I150" s="15"/>
    </row>
    <row r="151">
      <c r="A151" s="91"/>
      <c r="B151" s="91"/>
      <c r="C151" s="91"/>
      <c r="D151" s="78"/>
      <c r="E151" s="15"/>
      <c r="F151" s="15"/>
      <c r="G151" s="91"/>
      <c r="H151" s="15"/>
      <c r="I151" s="15"/>
    </row>
    <row r="152">
      <c r="A152" s="91"/>
      <c r="B152" s="91"/>
      <c r="C152" s="91"/>
      <c r="D152" s="78"/>
      <c r="E152" s="15"/>
      <c r="F152" s="15"/>
      <c r="G152" s="91"/>
      <c r="H152" s="15"/>
      <c r="I152" s="15"/>
    </row>
    <row r="153">
      <c r="A153" s="91"/>
      <c r="B153" s="91"/>
      <c r="C153" s="91"/>
      <c r="D153" s="78"/>
      <c r="E153" s="15"/>
      <c r="F153" s="15"/>
      <c r="G153" s="91"/>
      <c r="H153" s="15"/>
      <c r="I153" s="15"/>
    </row>
    <row r="154">
      <c r="A154" s="91"/>
      <c r="B154" s="91"/>
      <c r="C154" s="91"/>
      <c r="D154" s="78"/>
      <c r="E154" s="15"/>
      <c r="F154" s="15"/>
      <c r="G154" s="91"/>
      <c r="H154" s="15"/>
      <c r="I154" s="15"/>
    </row>
    <row r="155">
      <c r="A155" s="91"/>
      <c r="B155" s="91"/>
      <c r="C155" s="91"/>
      <c r="D155" s="78"/>
      <c r="E155" s="15"/>
      <c r="F155" s="15"/>
      <c r="G155" s="91"/>
      <c r="H155" s="15"/>
      <c r="I155" s="15"/>
    </row>
    <row r="156">
      <c r="A156" s="91"/>
      <c r="B156" s="91"/>
      <c r="C156" s="91"/>
      <c r="D156" s="78"/>
      <c r="E156" s="15"/>
      <c r="F156" s="15"/>
      <c r="G156" s="91"/>
      <c r="H156" s="15"/>
      <c r="I156" s="15"/>
    </row>
    <row r="157">
      <c r="A157" s="91"/>
      <c r="B157" s="91"/>
      <c r="C157" s="91"/>
      <c r="D157" s="78"/>
      <c r="E157" s="15"/>
      <c r="F157" s="15"/>
      <c r="G157" s="91"/>
      <c r="H157" s="15"/>
      <c r="I157" s="15"/>
    </row>
    <row r="158">
      <c r="A158" s="91"/>
      <c r="B158" s="91"/>
      <c r="C158" s="91"/>
      <c r="D158" s="78"/>
      <c r="E158" s="15"/>
      <c r="F158" s="15"/>
      <c r="G158" s="91"/>
      <c r="H158" s="15"/>
      <c r="I158" s="15"/>
    </row>
    <row r="159">
      <c r="A159" s="91"/>
      <c r="B159" s="91"/>
      <c r="C159" s="91"/>
      <c r="D159" s="78"/>
      <c r="E159" s="15"/>
      <c r="F159" s="15"/>
      <c r="G159" s="91"/>
      <c r="H159" s="15"/>
      <c r="I159" s="15"/>
    </row>
    <row r="160">
      <c r="A160" s="91"/>
      <c r="B160" s="91"/>
      <c r="C160" s="91"/>
      <c r="D160" s="78"/>
      <c r="E160" s="15"/>
      <c r="F160" s="15"/>
      <c r="G160" s="91"/>
      <c r="H160" s="15"/>
      <c r="I160" s="15"/>
    </row>
    <row r="161">
      <c r="A161" s="91"/>
      <c r="B161" s="91"/>
      <c r="C161" s="91"/>
      <c r="D161" s="78"/>
      <c r="E161" s="15"/>
      <c r="F161" s="15"/>
      <c r="G161" s="91"/>
      <c r="H161" s="15"/>
      <c r="I161" s="15"/>
    </row>
    <row r="162">
      <c r="A162" s="91"/>
      <c r="B162" s="91"/>
      <c r="C162" s="91"/>
      <c r="D162" s="78"/>
      <c r="E162" s="15"/>
      <c r="F162" s="15"/>
      <c r="G162" s="91"/>
      <c r="H162" s="15"/>
      <c r="I162" s="15"/>
    </row>
    <row r="163">
      <c r="A163" s="91"/>
      <c r="B163" s="91"/>
      <c r="C163" s="91"/>
      <c r="D163" s="78"/>
      <c r="E163" s="15"/>
      <c r="F163" s="15"/>
      <c r="G163" s="91"/>
      <c r="H163" s="15"/>
      <c r="I163" s="15"/>
    </row>
    <row r="164">
      <c r="A164" s="91"/>
      <c r="B164" s="91"/>
      <c r="C164" s="91"/>
      <c r="D164" s="78"/>
      <c r="E164" s="15"/>
      <c r="F164" s="15"/>
      <c r="G164" s="91"/>
      <c r="H164" s="15"/>
      <c r="I164" s="15"/>
    </row>
    <row r="165">
      <c r="A165" s="91"/>
      <c r="B165" s="91"/>
      <c r="C165" s="91"/>
      <c r="D165" s="78"/>
      <c r="E165" s="15"/>
      <c r="F165" s="15"/>
      <c r="G165" s="91"/>
      <c r="H165" s="15"/>
      <c r="I165" s="15"/>
    </row>
    <row r="166">
      <c r="A166" s="91"/>
      <c r="B166" s="91"/>
      <c r="C166" s="91"/>
      <c r="D166" s="78"/>
      <c r="E166" s="15"/>
      <c r="F166" s="15"/>
      <c r="G166" s="91"/>
      <c r="H166" s="15"/>
      <c r="I166" s="15"/>
    </row>
    <row r="167">
      <c r="A167" s="91"/>
      <c r="B167" s="91"/>
      <c r="C167" s="91"/>
      <c r="D167" s="78"/>
      <c r="E167" s="15"/>
      <c r="F167" s="15"/>
      <c r="G167" s="91"/>
      <c r="H167" s="15"/>
      <c r="I167" s="15"/>
    </row>
    <row r="168">
      <c r="A168" s="91"/>
      <c r="B168" s="91"/>
      <c r="C168" s="91"/>
      <c r="D168" s="78"/>
      <c r="E168" s="15"/>
      <c r="F168" s="15"/>
      <c r="G168" s="91"/>
      <c r="H168" s="15"/>
      <c r="I168" s="15"/>
    </row>
    <row r="169">
      <c r="A169" s="91"/>
      <c r="B169" s="91"/>
      <c r="C169" s="91"/>
      <c r="D169" s="78"/>
      <c r="E169" s="15"/>
      <c r="F169" s="15"/>
      <c r="G169" s="91"/>
      <c r="H169" s="15"/>
      <c r="I169" s="15"/>
    </row>
    <row r="170">
      <c r="A170" s="91"/>
      <c r="B170" s="91"/>
      <c r="C170" s="91"/>
      <c r="D170" s="78"/>
      <c r="E170" s="15"/>
      <c r="F170" s="15"/>
      <c r="G170" s="91"/>
      <c r="H170" s="15"/>
      <c r="I170" s="15"/>
    </row>
    <row r="171">
      <c r="A171" s="91"/>
      <c r="B171" s="91"/>
      <c r="C171" s="91"/>
      <c r="D171" s="78"/>
      <c r="E171" s="15"/>
      <c r="F171" s="15"/>
      <c r="G171" s="91"/>
      <c r="H171" s="15"/>
      <c r="I171" s="15"/>
    </row>
    <row r="172">
      <c r="A172" s="91"/>
      <c r="B172" s="91"/>
      <c r="C172" s="91"/>
      <c r="D172" s="78"/>
      <c r="E172" s="15"/>
      <c r="F172" s="15"/>
      <c r="G172" s="91"/>
      <c r="H172" s="15"/>
      <c r="I172" s="15"/>
    </row>
    <row r="173">
      <c r="A173" s="91"/>
      <c r="B173" s="91"/>
      <c r="C173" s="91"/>
      <c r="D173" s="78"/>
      <c r="E173" s="15"/>
      <c r="F173" s="15"/>
      <c r="G173" s="91"/>
      <c r="H173" s="15"/>
      <c r="I173" s="15"/>
    </row>
    <row r="174">
      <c r="A174" s="91"/>
      <c r="B174" s="91"/>
      <c r="C174" s="91"/>
      <c r="D174" s="78"/>
      <c r="E174" s="15"/>
      <c r="F174" s="15"/>
      <c r="G174" s="91"/>
      <c r="H174" s="15"/>
      <c r="I174" s="15"/>
    </row>
    <row r="175">
      <c r="A175" s="91"/>
      <c r="B175" s="91"/>
      <c r="C175" s="91"/>
      <c r="D175" s="78"/>
      <c r="E175" s="15"/>
      <c r="F175" s="15"/>
      <c r="G175" s="91"/>
      <c r="H175" s="15"/>
      <c r="I175" s="15"/>
    </row>
    <row r="176">
      <c r="A176" s="91"/>
      <c r="B176" s="91"/>
      <c r="C176" s="91"/>
      <c r="D176" s="78"/>
      <c r="E176" s="15"/>
      <c r="F176" s="15"/>
      <c r="G176" s="91"/>
      <c r="H176" s="15"/>
      <c r="I176" s="15"/>
    </row>
    <row r="177">
      <c r="A177" s="91"/>
      <c r="B177" s="91"/>
      <c r="C177" s="91"/>
      <c r="D177" s="78"/>
      <c r="E177" s="15"/>
      <c r="F177" s="15"/>
      <c r="G177" s="91"/>
      <c r="H177" s="15"/>
      <c r="I177" s="15"/>
    </row>
    <row r="178">
      <c r="A178" s="91"/>
      <c r="B178" s="91"/>
      <c r="C178" s="91"/>
      <c r="D178" s="78"/>
      <c r="E178" s="15"/>
      <c r="F178" s="15"/>
      <c r="G178" s="91"/>
      <c r="H178" s="15"/>
      <c r="I178" s="15"/>
    </row>
    <row r="179">
      <c r="A179" s="91"/>
      <c r="B179" s="91"/>
      <c r="C179" s="91"/>
      <c r="D179" s="78"/>
      <c r="E179" s="15"/>
      <c r="F179" s="15"/>
      <c r="G179" s="91"/>
      <c r="H179" s="15"/>
      <c r="I179" s="15"/>
    </row>
    <row r="180">
      <c r="A180" s="91"/>
      <c r="B180" s="91"/>
      <c r="C180" s="91"/>
      <c r="D180" s="78"/>
      <c r="E180" s="15"/>
      <c r="F180" s="15"/>
      <c r="G180" s="91"/>
      <c r="H180" s="15"/>
      <c r="I180" s="15"/>
    </row>
    <row r="181">
      <c r="A181" s="91"/>
      <c r="B181" s="91"/>
      <c r="C181" s="91"/>
      <c r="D181" s="78"/>
      <c r="E181" s="15"/>
      <c r="F181" s="15"/>
      <c r="G181" s="91"/>
      <c r="H181" s="15"/>
      <c r="I181" s="15"/>
    </row>
    <row r="182">
      <c r="A182" s="91"/>
      <c r="B182" s="91"/>
      <c r="C182" s="91"/>
      <c r="D182" s="78"/>
      <c r="E182" s="15"/>
      <c r="F182" s="15"/>
      <c r="G182" s="91"/>
      <c r="H182" s="15"/>
      <c r="I182" s="15"/>
    </row>
    <row r="183">
      <c r="A183" s="91"/>
      <c r="B183" s="91"/>
      <c r="C183" s="91"/>
      <c r="D183" s="78"/>
      <c r="E183" s="15"/>
      <c r="F183" s="15"/>
      <c r="G183" s="91"/>
      <c r="H183" s="15"/>
      <c r="I183" s="15"/>
    </row>
    <row r="184">
      <c r="A184" s="91"/>
      <c r="B184" s="91"/>
      <c r="C184" s="91"/>
      <c r="D184" s="78"/>
      <c r="E184" s="15"/>
      <c r="F184" s="15"/>
      <c r="G184" s="91"/>
      <c r="H184" s="15"/>
      <c r="I184" s="15"/>
    </row>
    <row r="185">
      <c r="A185" s="91"/>
      <c r="B185" s="91"/>
      <c r="C185" s="91"/>
      <c r="D185" s="78"/>
      <c r="E185" s="15"/>
      <c r="F185" s="15"/>
      <c r="G185" s="91"/>
      <c r="H185" s="15"/>
      <c r="I185" s="15"/>
    </row>
    <row r="186">
      <c r="A186" s="91"/>
      <c r="B186" s="91"/>
      <c r="C186" s="91"/>
      <c r="D186" s="78"/>
      <c r="E186" s="15"/>
      <c r="F186" s="15"/>
      <c r="G186" s="91"/>
      <c r="H186" s="15"/>
      <c r="I186" s="15"/>
    </row>
    <row r="187">
      <c r="A187" s="91"/>
      <c r="B187" s="91"/>
      <c r="C187" s="91"/>
      <c r="D187" s="78"/>
      <c r="E187" s="15"/>
      <c r="F187" s="15"/>
      <c r="G187" s="91"/>
      <c r="H187" s="15"/>
      <c r="I187" s="15"/>
    </row>
    <row r="188">
      <c r="A188" s="91"/>
      <c r="B188" s="91"/>
      <c r="C188" s="91"/>
      <c r="D188" s="78"/>
      <c r="E188" s="15"/>
      <c r="F188" s="15"/>
      <c r="G188" s="91"/>
      <c r="H188" s="15"/>
      <c r="I188" s="15"/>
    </row>
    <row r="189">
      <c r="A189" s="91"/>
      <c r="B189" s="91"/>
      <c r="C189" s="91"/>
      <c r="D189" s="78"/>
      <c r="E189" s="15"/>
      <c r="F189" s="15"/>
      <c r="G189" s="91"/>
      <c r="H189" s="15"/>
      <c r="I189" s="15"/>
    </row>
    <row r="190">
      <c r="A190" s="91"/>
      <c r="B190" s="91"/>
      <c r="C190" s="91"/>
      <c r="D190" s="78"/>
      <c r="E190" s="15"/>
      <c r="F190" s="15"/>
      <c r="G190" s="91"/>
      <c r="H190" s="15"/>
      <c r="I190" s="15"/>
    </row>
    <row r="191">
      <c r="A191" s="91"/>
      <c r="B191" s="91"/>
      <c r="C191" s="91"/>
      <c r="D191" s="78"/>
      <c r="E191" s="15"/>
      <c r="F191" s="15"/>
      <c r="G191" s="91"/>
      <c r="H191" s="15"/>
      <c r="I191" s="15"/>
    </row>
    <row r="192">
      <c r="A192" s="91"/>
      <c r="B192" s="91"/>
      <c r="C192" s="91"/>
      <c r="D192" s="78"/>
      <c r="E192" s="15"/>
      <c r="F192" s="15"/>
      <c r="G192" s="91"/>
      <c r="H192" s="15"/>
      <c r="I192" s="15"/>
    </row>
    <row r="193">
      <c r="A193" s="91"/>
      <c r="B193" s="91"/>
      <c r="C193" s="91"/>
      <c r="D193" s="78"/>
      <c r="E193" s="15"/>
      <c r="F193" s="15"/>
      <c r="G193" s="91"/>
      <c r="H193" s="15"/>
      <c r="I193" s="15"/>
    </row>
    <row r="194">
      <c r="A194" s="91"/>
      <c r="B194" s="91"/>
      <c r="C194" s="91"/>
      <c r="D194" s="78"/>
      <c r="E194" s="15"/>
      <c r="F194" s="15"/>
      <c r="G194" s="91"/>
      <c r="H194" s="15"/>
      <c r="I194" s="15"/>
    </row>
    <row r="195">
      <c r="A195" s="91"/>
      <c r="B195" s="91"/>
      <c r="C195" s="91"/>
      <c r="D195" s="78"/>
      <c r="E195" s="15"/>
      <c r="F195" s="15"/>
      <c r="G195" s="91"/>
      <c r="H195" s="15"/>
      <c r="I195" s="15"/>
    </row>
    <row r="196">
      <c r="A196" s="91"/>
      <c r="B196" s="91"/>
      <c r="C196" s="91"/>
      <c r="D196" s="78"/>
      <c r="E196" s="15"/>
      <c r="F196" s="15"/>
      <c r="G196" s="91"/>
      <c r="H196" s="15"/>
      <c r="I196" s="15"/>
    </row>
    <row r="197">
      <c r="A197" s="91"/>
      <c r="B197" s="91"/>
      <c r="C197" s="91"/>
      <c r="D197" s="78"/>
      <c r="E197" s="15"/>
      <c r="F197" s="15"/>
      <c r="G197" s="91"/>
      <c r="H197" s="15"/>
      <c r="I197" s="15"/>
    </row>
    <row r="198">
      <c r="A198" s="91"/>
      <c r="B198" s="91"/>
      <c r="C198" s="91"/>
      <c r="D198" s="78"/>
      <c r="E198" s="15"/>
      <c r="F198" s="15"/>
      <c r="G198" s="91"/>
      <c r="H198" s="15"/>
      <c r="I198" s="15"/>
    </row>
    <row r="199">
      <c r="A199" s="91"/>
      <c r="B199" s="91"/>
      <c r="C199" s="91"/>
      <c r="D199" s="78"/>
      <c r="E199" s="15"/>
      <c r="F199" s="15"/>
      <c r="G199" s="91"/>
      <c r="H199" s="15"/>
      <c r="I199" s="15"/>
    </row>
    <row r="200">
      <c r="A200" s="91"/>
      <c r="B200" s="91"/>
      <c r="C200" s="91"/>
      <c r="D200" s="78"/>
      <c r="E200" s="15"/>
      <c r="F200" s="15"/>
      <c r="G200" s="91"/>
      <c r="H200" s="15"/>
      <c r="I200" s="15"/>
    </row>
    <row r="201">
      <c r="A201" s="91"/>
      <c r="B201" s="91"/>
      <c r="C201" s="91"/>
      <c r="D201" s="78"/>
      <c r="E201" s="15"/>
      <c r="F201" s="15"/>
      <c r="G201" s="91"/>
      <c r="H201" s="15"/>
      <c r="I201" s="15"/>
    </row>
    <row r="202">
      <c r="A202" s="91"/>
      <c r="B202" s="91"/>
      <c r="C202" s="91"/>
      <c r="D202" s="78"/>
      <c r="E202" s="15"/>
      <c r="F202" s="15"/>
      <c r="G202" s="91"/>
      <c r="H202" s="15"/>
      <c r="I202" s="15"/>
    </row>
    <row r="203">
      <c r="A203" s="91"/>
      <c r="B203" s="91"/>
      <c r="C203" s="91"/>
      <c r="D203" s="78"/>
      <c r="E203" s="15"/>
      <c r="F203" s="15"/>
      <c r="G203" s="91"/>
      <c r="H203" s="15"/>
      <c r="I203" s="15"/>
    </row>
    <row r="204">
      <c r="A204" s="91"/>
      <c r="B204" s="91"/>
      <c r="C204" s="91"/>
      <c r="D204" s="78"/>
      <c r="E204" s="15"/>
      <c r="F204" s="15"/>
      <c r="G204" s="91"/>
      <c r="H204" s="15"/>
      <c r="I204" s="15"/>
    </row>
    <row r="205">
      <c r="A205" s="91"/>
      <c r="B205" s="91"/>
      <c r="C205" s="91"/>
      <c r="D205" s="78"/>
      <c r="E205" s="15"/>
      <c r="F205" s="15"/>
      <c r="G205" s="91"/>
      <c r="H205" s="15"/>
      <c r="I205" s="15"/>
    </row>
    <row r="206">
      <c r="A206" s="91"/>
      <c r="B206" s="91"/>
      <c r="C206" s="91"/>
      <c r="D206" s="78"/>
      <c r="E206" s="15"/>
      <c r="F206" s="15"/>
      <c r="G206" s="91"/>
      <c r="H206" s="15"/>
      <c r="I206" s="15"/>
    </row>
    <row r="207">
      <c r="A207" s="91"/>
      <c r="B207" s="91"/>
      <c r="C207" s="91"/>
      <c r="D207" s="78"/>
      <c r="E207" s="15"/>
      <c r="F207" s="15"/>
      <c r="G207" s="91"/>
      <c r="H207" s="15"/>
      <c r="I207" s="15"/>
    </row>
    <row r="208">
      <c r="A208" s="91"/>
      <c r="B208" s="91"/>
      <c r="C208" s="91"/>
      <c r="D208" s="78"/>
      <c r="E208" s="15"/>
      <c r="F208" s="15"/>
      <c r="G208" s="91"/>
      <c r="H208" s="15"/>
      <c r="I208" s="15"/>
    </row>
    <row r="209">
      <c r="A209" s="91"/>
      <c r="B209" s="91"/>
      <c r="C209" s="91"/>
      <c r="D209" s="78"/>
      <c r="E209" s="15"/>
      <c r="F209" s="15"/>
      <c r="G209" s="91"/>
      <c r="H209" s="15"/>
      <c r="I209" s="15"/>
    </row>
    <row r="210">
      <c r="A210" s="91"/>
      <c r="B210" s="91"/>
      <c r="C210" s="91"/>
      <c r="D210" s="78"/>
      <c r="E210" s="15"/>
      <c r="F210" s="15"/>
      <c r="G210" s="91"/>
      <c r="H210" s="15"/>
      <c r="I210" s="15"/>
    </row>
    <row r="211">
      <c r="A211" s="91"/>
      <c r="B211" s="91"/>
      <c r="C211" s="91"/>
      <c r="D211" s="78"/>
      <c r="E211" s="15"/>
      <c r="F211" s="15"/>
      <c r="G211" s="91"/>
      <c r="H211" s="15"/>
      <c r="I211" s="15"/>
    </row>
    <row r="212">
      <c r="A212" s="91"/>
      <c r="B212" s="91"/>
      <c r="C212" s="91"/>
      <c r="D212" s="78"/>
      <c r="E212" s="15"/>
      <c r="F212" s="15"/>
      <c r="G212" s="91"/>
      <c r="H212" s="15"/>
      <c r="I212" s="15"/>
    </row>
    <row r="213">
      <c r="A213" s="91"/>
      <c r="B213" s="91"/>
      <c r="C213" s="91"/>
      <c r="D213" s="78"/>
      <c r="E213" s="15"/>
      <c r="F213" s="15"/>
      <c r="G213" s="91"/>
      <c r="H213" s="15"/>
      <c r="I213" s="15"/>
    </row>
    <row r="214">
      <c r="A214" s="91"/>
      <c r="B214" s="91"/>
      <c r="C214" s="91"/>
      <c r="D214" s="78"/>
      <c r="E214" s="15"/>
      <c r="F214" s="15"/>
      <c r="G214" s="91"/>
      <c r="H214" s="15"/>
      <c r="I214" s="15"/>
    </row>
    <row r="215">
      <c r="A215" s="91"/>
      <c r="B215" s="91"/>
      <c r="C215" s="91"/>
      <c r="D215" s="78"/>
      <c r="E215" s="15"/>
      <c r="F215" s="15"/>
      <c r="G215" s="91"/>
      <c r="H215" s="15"/>
      <c r="I215" s="15"/>
    </row>
    <row r="216">
      <c r="A216" s="91"/>
      <c r="B216" s="91"/>
      <c r="C216" s="91"/>
      <c r="D216" s="78"/>
      <c r="E216" s="15"/>
      <c r="F216" s="15"/>
      <c r="G216" s="91"/>
      <c r="H216" s="15"/>
      <c r="I216" s="15"/>
    </row>
    <row r="217">
      <c r="A217" s="91"/>
      <c r="B217" s="91"/>
      <c r="C217" s="91"/>
      <c r="D217" s="78"/>
      <c r="E217" s="15"/>
      <c r="F217" s="15"/>
      <c r="G217" s="91"/>
      <c r="H217" s="15"/>
      <c r="I217" s="15"/>
    </row>
    <row r="218">
      <c r="A218" s="91"/>
      <c r="B218" s="91"/>
      <c r="C218" s="91"/>
      <c r="D218" s="78"/>
      <c r="E218" s="15"/>
      <c r="F218" s="15"/>
      <c r="G218" s="91"/>
      <c r="H218" s="15"/>
      <c r="I218" s="15"/>
    </row>
    <row r="219">
      <c r="A219" s="91"/>
      <c r="B219" s="91"/>
      <c r="C219" s="91"/>
      <c r="D219" s="78"/>
      <c r="E219" s="15"/>
      <c r="F219" s="15"/>
      <c r="G219" s="91"/>
      <c r="H219" s="15"/>
      <c r="I219" s="15"/>
    </row>
    <row r="220">
      <c r="A220" s="91"/>
      <c r="B220" s="91"/>
      <c r="C220" s="91"/>
      <c r="D220" s="78"/>
      <c r="E220" s="15"/>
      <c r="F220" s="15"/>
      <c r="G220" s="91"/>
      <c r="H220" s="15"/>
      <c r="I220" s="15"/>
    </row>
    <row r="221">
      <c r="A221" s="91"/>
      <c r="B221" s="91"/>
      <c r="C221" s="91"/>
      <c r="D221" s="78"/>
      <c r="E221" s="15"/>
      <c r="F221" s="15"/>
      <c r="G221" s="91"/>
      <c r="H221" s="15"/>
      <c r="I221" s="15"/>
    </row>
    <row r="222">
      <c r="A222" s="91"/>
      <c r="B222" s="91"/>
      <c r="C222" s="91"/>
      <c r="D222" s="78"/>
      <c r="E222" s="15"/>
      <c r="F222" s="15"/>
      <c r="G222" s="91"/>
      <c r="H222" s="15"/>
      <c r="I222" s="15"/>
    </row>
    <row r="223">
      <c r="A223" s="91"/>
      <c r="B223" s="91"/>
      <c r="C223" s="91"/>
      <c r="D223" s="78"/>
      <c r="E223" s="15"/>
      <c r="F223" s="15"/>
      <c r="G223" s="91"/>
      <c r="H223" s="15"/>
      <c r="I223" s="15"/>
    </row>
    <row r="224">
      <c r="A224" s="91"/>
      <c r="B224" s="91"/>
      <c r="C224" s="91"/>
      <c r="D224" s="78"/>
      <c r="E224" s="15"/>
      <c r="F224" s="15"/>
      <c r="G224" s="91"/>
      <c r="H224" s="15"/>
      <c r="I224" s="15"/>
    </row>
    <row r="225">
      <c r="A225" s="91"/>
      <c r="B225" s="91"/>
      <c r="C225" s="91"/>
      <c r="D225" s="78"/>
      <c r="E225" s="15"/>
      <c r="F225" s="15"/>
      <c r="G225" s="91"/>
      <c r="H225" s="15"/>
      <c r="I225" s="15"/>
    </row>
    <row r="226">
      <c r="A226" s="91"/>
      <c r="B226" s="91"/>
      <c r="C226" s="91"/>
      <c r="D226" s="78"/>
      <c r="E226" s="15"/>
      <c r="F226" s="15"/>
      <c r="G226" s="91"/>
      <c r="H226" s="15"/>
      <c r="I226" s="15"/>
    </row>
    <row r="227">
      <c r="A227" s="91"/>
      <c r="B227" s="91"/>
      <c r="C227" s="91"/>
      <c r="D227" s="78"/>
      <c r="E227" s="15"/>
      <c r="F227" s="15"/>
      <c r="G227" s="91"/>
      <c r="H227" s="15"/>
      <c r="I227" s="15"/>
    </row>
    <row r="228">
      <c r="A228" s="91"/>
      <c r="B228" s="91"/>
      <c r="C228" s="91"/>
      <c r="D228" s="78"/>
      <c r="E228" s="15"/>
      <c r="F228" s="15"/>
      <c r="G228" s="91"/>
      <c r="H228" s="15"/>
      <c r="I228" s="15"/>
    </row>
    <row r="229">
      <c r="A229" s="91"/>
      <c r="B229" s="91"/>
      <c r="C229" s="91"/>
      <c r="D229" s="78"/>
      <c r="E229" s="15"/>
      <c r="F229" s="15"/>
      <c r="G229" s="91"/>
      <c r="H229" s="15"/>
      <c r="I229" s="15"/>
    </row>
    <row r="230">
      <c r="A230" s="91"/>
      <c r="B230" s="91"/>
      <c r="C230" s="91"/>
      <c r="D230" s="78"/>
      <c r="E230" s="15"/>
      <c r="F230" s="15"/>
      <c r="G230" s="91"/>
      <c r="H230" s="15"/>
      <c r="I230" s="15"/>
    </row>
    <row r="231">
      <c r="A231" s="91"/>
      <c r="B231" s="91"/>
      <c r="C231" s="91"/>
      <c r="D231" s="78"/>
      <c r="E231" s="15"/>
      <c r="F231" s="15"/>
      <c r="G231" s="91"/>
      <c r="H231" s="15"/>
      <c r="I231" s="15"/>
    </row>
    <row r="232">
      <c r="A232" s="91"/>
      <c r="B232" s="91"/>
      <c r="C232" s="91"/>
      <c r="D232" s="78"/>
      <c r="E232" s="15"/>
      <c r="F232" s="15"/>
      <c r="G232" s="91"/>
      <c r="H232" s="15"/>
      <c r="I232" s="15"/>
    </row>
    <row r="233">
      <c r="A233" s="91"/>
      <c r="B233" s="91"/>
      <c r="C233" s="91"/>
      <c r="D233" s="78"/>
      <c r="E233" s="15"/>
      <c r="F233" s="15"/>
      <c r="G233" s="91"/>
      <c r="H233" s="15"/>
      <c r="I233" s="15"/>
    </row>
    <row r="234">
      <c r="A234" s="91"/>
      <c r="B234" s="91"/>
      <c r="C234" s="91"/>
      <c r="D234" s="78"/>
      <c r="E234" s="15"/>
      <c r="F234" s="15"/>
      <c r="G234" s="91"/>
      <c r="H234" s="15"/>
      <c r="I234" s="15"/>
    </row>
    <row r="235">
      <c r="A235" s="91"/>
      <c r="B235" s="91"/>
      <c r="C235" s="91"/>
      <c r="D235" s="78"/>
      <c r="E235" s="15"/>
      <c r="F235" s="15"/>
      <c r="G235" s="91"/>
      <c r="H235" s="15"/>
      <c r="I235" s="15"/>
    </row>
    <row r="236">
      <c r="A236" s="91"/>
      <c r="B236" s="91"/>
      <c r="C236" s="91"/>
      <c r="D236" s="78"/>
      <c r="E236" s="15"/>
      <c r="F236" s="15"/>
      <c r="G236" s="91"/>
      <c r="H236" s="15"/>
      <c r="I236" s="15"/>
    </row>
    <row r="237">
      <c r="A237" s="91"/>
      <c r="B237" s="91"/>
      <c r="C237" s="91"/>
      <c r="D237" s="78"/>
      <c r="E237" s="15"/>
      <c r="F237" s="15"/>
      <c r="G237" s="91"/>
      <c r="H237" s="15"/>
      <c r="I237" s="15"/>
    </row>
    <row r="238">
      <c r="A238" s="91"/>
      <c r="B238" s="91"/>
      <c r="C238" s="91"/>
      <c r="D238" s="78"/>
      <c r="E238" s="15"/>
      <c r="F238" s="15"/>
      <c r="G238" s="91"/>
      <c r="H238" s="15"/>
      <c r="I238" s="15"/>
    </row>
    <row r="239">
      <c r="A239" s="91"/>
      <c r="B239" s="91"/>
      <c r="C239" s="91"/>
      <c r="D239" s="78"/>
      <c r="E239" s="15"/>
      <c r="F239" s="15"/>
      <c r="G239" s="91"/>
      <c r="H239" s="15"/>
      <c r="I239" s="15"/>
    </row>
    <row r="240">
      <c r="A240" s="91"/>
      <c r="B240" s="91"/>
      <c r="C240" s="91"/>
      <c r="D240" s="78"/>
      <c r="E240" s="15"/>
      <c r="F240" s="15"/>
      <c r="G240" s="91"/>
      <c r="H240" s="15"/>
      <c r="I240" s="15"/>
    </row>
    <row r="241">
      <c r="A241" s="91"/>
      <c r="B241" s="91"/>
      <c r="C241" s="91"/>
      <c r="D241" s="78"/>
      <c r="E241" s="15"/>
      <c r="F241" s="15"/>
      <c r="G241" s="91"/>
      <c r="H241" s="15"/>
      <c r="I241" s="15"/>
    </row>
    <row r="242">
      <c r="A242" s="91"/>
      <c r="B242" s="91"/>
      <c r="C242" s="91"/>
      <c r="D242" s="78"/>
      <c r="E242" s="15"/>
      <c r="F242" s="15"/>
      <c r="G242" s="91"/>
      <c r="H242" s="15"/>
      <c r="I242" s="15"/>
    </row>
    <row r="243">
      <c r="A243" s="91"/>
      <c r="B243" s="91"/>
      <c r="C243" s="91"/>
      <c r="D243" s="78"/>
      <c r="E243" s="15"/>
      <c r="F243" s="15"/>
      <c r="G243" s="91"/>
      <c r="H243" s="15"/>
      <c r="I243" s="15"/>
    </row>
    <row r="244">
      <c r="A244" s="91"/>
      <c r="B244" s="91"/>
      <c r="C244" s="91"/>
      <c r="D244" s="78"/>
      <c r="E244" s="15"/>
      <c r="F244" s="15"/>
      <c r="G244" s="91"/>
      <c r="H244" s="15"/>
      <c r="I244" s="15"/>
    </row>
    <row r="245">
      <c r="A245" s="91"/>
      <c r="B245" s="91"/>
      <c r="C245" s="91"/>
      <c r="D245" s="78"/>
      <c r="E245" s="15"/>
      <c r="F245" s="15"/>
      <c r="G245" s="91"/>
      <c r="H245" s="15"/>
      <c r="I245" s="15"/>
    </row>
    <row r="246">
      <c r="A246" s="91"/>
      <c r="B246" s="91"/>
      <c r="C246" s="91"/>
      <c r="D246" s="78"/>
      <c r="E246" s="15"/>
      <c r="F246" s="15"/>
      <c r="G246" s="91"/>
      <c r="H246" s="15"/>
      <c r="I246" s="15"/>
    </row>
    <row r="247">
      <c r="A247" s="91"/>
      <c r="B247" s="91"/>
      <c r="C247" s="91"/>
      <c r="D247" s="78"/>
      <c r="E247" s="15"/>
      <c r="F247" s="15"/>
      <c r="G247" s="91"/>
      <c r="H247" s="15"/>
      <c r="I247" s="15"/>
    </row>
    <row r="248">
      <c r="A248" s="91"/>
      <c r="B248" s="91"/>
      <c r="C248" s="91"/>
      <c r="D248" s="78"/>
      <c r="E248" s="15"/>
      <c r="F248" s="15"/>
      <c r="G248" s="91"/>
      <c r="H248" s="15"/>
      <c r="I248" s="15"/>
    </row>
    <row r="249">
      <c r="A249" s="91"/>
      <c r="B249" s="91"/>
      <c r="C249" s="91"/>
      <c r="D249" s="78"/>
      <c r="E249" s="15"/>
      <c r="F249" s="15"/>
      <c r="G249" s="91"/>
      <c r="H249" s="15"/>
      <c r="I249" s="15"/>
    </row>
    <row r="250">
      <c r="A250" s="91"/>
      <c r="B250" s="91"/>
      <c r="C250" s="91"/>
      <c r="D250" s="78"/>
      <c r="E250" s="15"/>
      <c r="F250" s="15"/>
      <c r="G250" s="91"/>
      <c r="H250" s="15"/>
      <c r="I250" s="15"/>
    </row>
    <row r="251">
      <c r="A251" s="91"/>
      <c r="B251" s="91"/>
      <c r="C251" s="91"/>
      <c r="D251" s="78"/>
      <c r="E251" s="15"/>
      <c r="F251" s="15"/>
      <c r="G251" s="91"/>
      <c r="H251" s="15"/>
      <c r="I251" s="15"/>
    </row>
    <row r="252">
      <c r="A252" s="91"/>
      <c r="B252" s="91"/>
      <c r="C252" s="91"/>
      <c r="D252" s="78"/>
      <c r="E252" s="15"/>
      <c r="F252" s="15"/>
      <c r="G252" s="91"/>
      <c r="H252" s="15"/>
      <c r="I252" s="15"/>
    </row>
    <row r="253">
      <c r="A253" s="91"/>
      <c r="B253" s="91"/>
      <c r="C253" s="91"/>
      <c r="D253" s="78"/>
      <c r="E253" s="15"/>
      <c r="F253" s="15"/>
      <c r="G253" s="91"/>
      <c r="H253" s="15"/>
      <c r="I253" s="15"/>
    </row>
    <row r="254">
      <c r="A254" s="91"/>
      <c r="B254" s="91"/>
      <c r="C254" s="91"/>
      <c r="D254" s="78"/>
      <c r="E254" s="15"/>
      <c r="F254" s="15"/>
      <c r="G254" s="91"/>
      <c r="H254" s="15"/>
      <c r="I254" s="15"/>
    </row>
    <row r="255">
      <c r="A255" s="91"/>
      <c r="B255" s="91"/>
      <c r="C255" s="91"/>
      <c r="D255" s="78"/>
      <c r="E255" s="15"/>
      <c r="F255" s="15"/>
      <c r="G255" s="91"/>
      <c r="H255" s="15"/>
      <c r="I255" s="15"/>
    </row>
    <row r="256">
      <c r="A256" s="91"/>
      <c r="B256" s="91"/>
      <c r="C256" s="91"/>
      <c r="D256" s="78"/>
      <c r="E256" s="15"/>
      <c r="F256" s="15"/>
      <c r="G256" s="91"/>
      <c r="H256" s="15"/>
      <c r="I256" s="15"/>
    </row>
    <row r="257">
      <c r="A257" s="91"/>
      <c r="B257" s="91"/>
      <c r="C257" s="91"/>
      <c r="D257" s="78"/>
      <c r="E257" s="15"/>
      <c r="F257" s="15"/>
      <c r="G257" s="91"/>
      <c r="H257" s="15"/>
      <c r="I257" s="15"/>
    </row>
    <row r="258">
      <c r="A258" s="91"/>
      <c r="B258" s="91"/>
      <c r="C258" s="91"/>
      <c r="D258" s="78"/>
      <c r="E258" s="15"/>
      <c r="F258" s="15"/>
      <c r="G258" s="91"/>
      <c r="H258" s="15"/>
      <c r="I258" s="15"/>
    </row>
    <row r="259">
      <c r="A259" s="91"/>
      <c r="B259" s="91"/>
      <c r="C259" s="91"/>
      <c r="D259" s="78"/>
      <c r="E259" s="15"/>
      <c r="F259" s="15"/>
      <c r="G259" s="91"/>
      <c r="H259" s="15"/>
      <c r="I259" s="15"/>
    </row>
    <row r="260">
      <c r="A260" s="91"/>
      <c r="B260" s="91"/>
      <c r="C260" s="91"/>
      <c r="D260" s="78"/>
      <c r="E260" s="15"/>
      <c r="F260" s="15"/>
      <c r="G260" s="91"/>
      <c r="H260" s="15"/>
      <c r="I260" s="15"/>
    </row>
    <row r="261">
      <c r="A261" s="91"/>
      <c r="B261" s="91"/>
      <c r="C261" s="91"/>
      <c r="D261" s="78"/>
      <c r="E261" s="15"/>
      <c r="F261" s="15"/>
      <c r="G261" s="91"/>
      <c r="H261" s="15"/>
      <c r="I261" s="15"/>
    </row>
    <row r="262">
      <c r="A262" s="91"/>
      <c r="B262" s="91"/>
      <c r="C262" s="91"/>
      <c r="D262" s="78"/>
      <c r="E262" s="15"/>
      <c r="F262" s="15"/>
      <c r="G262" s="91"/>
      <c r="H262" s="15"/>
      <c r="I262" s="15"/>
    </row>
    <row r="263">
      <c r="A263" s="91"/>
      <c r="B263" s="91"/>
      <c r="C263" s="91"/>
      <c r="D263" s="78"/>
      <c r="E263" s="15"/>
      <c r="F263" s="15"/>
      <c r="G263" s="91"/>
      <c r="H263" s="15"/>
      <c r="I263" s="15"/>
    </row>
    <row r="264">
      <c r="A264" s="91"/>
      <c r="B264" s="91"/>
      <c r="C264" s="91"/>
      <c r="D264" s="78"/>
      <c r="E264" s="15"/>
      <c r="F264" s="15"/>
      <c r="G264" s="91"/>
      <c r="H264" s="15"/>
      <c r="I264" s="15"/>
    </row>
    <row r="265">
      <c r="A265" s="91"/>
      <c r="B265" s="91"/>
      <c r="C265" s="91"/>
      <c r="D265" s="78"/>
      <c r="E265" s="15"/>
      <c r="F265" s="15"/>
      <c r="G265" s="91"/>
      <c r="H265" s="15"/>
      <c r="I265" s="15"/>
    </row>
    <row r="266">
      <c r="A266" s="91"/>
      <c r="B266" s="91"/>
      <c r="C266" s="91"/>
      <c r="D266" s="78"/>
      <c r="E266" s="15"/>
      <c r="F266" s="15"/>
      <c r="G266" s="91"/>
      <c r="H266" s="15"/>
      <c r="I266" s="15"/>
    </row>
    <row r="267">
      <c r="A267" s="91"/>
      <c r="B267" s="91"/>
      <c r="C267" s="91"/>
      <c r="D267" s="78"/>
      <c r="E267" s="15"/>
      <c r="F267" s="15"/>
      <c r="G267" s="91"/>
      <c r="H267" s="15"/>
      <c r="I267" s="15"/>
    </row>
    <row r="268">
      <c r="A268" s="91"/>
      <c r="B268" s="91"/>
      <c r="C268" s="91"/>
      <c r="D268" s="78"/>
      <c r="E268" s="15"/>
      <c r="F268" s="15"/>
      <c r="G268" s="91"/>
      <c r="H268" s="15"/>
      <c r="I268" s="15"/>
    </row>
    <row r="269">
      <c r="A269" s="91"/>
      <c r="B269" s="91"/>
      <c r="C269" s="91"/>
      <c r="D269" s="78"/>
      <c r="E269" s="15"/>
      <c r="F269" s="15"/>
      <c r="G269" s="91"/>
      <c r="H269" s="15"/>
      <c r="I269" s="15"/>
    </row>
    <row r="270">
      <c r="A270" s="91"/>
      <c r="B270" s="91"/>
      <c r="C270" s="91"/>
      <c r="D270" s="78"/>
      <c r="E270" s="15"/>
      <c r="F270" s="15"/>
      <c r="G270" s="91"/>
      <c r="H270" s="15"/>
      <c r="I270" s="15"/>
    </row>
    <row r="271">
      <c r="A271" s="91"/>
      <c r="B271" s="91"/>
      <c r="C271" s="91"/>
      <c r="D271" s="78"/>
      <c r="E271" s="15"/>
      <c r="F271" s="15"/>
      <c r="G271" s="91"/>
      <c r="H271" s="15"/>
      <c r="I271" s="15"/>
    </row>
    <row r="272">
      <c r="A272" s="91"/>
      <c r="B272" s="91"/>
      <c r="C272" s="91"/>
      <c r="D272" s="78"/>
      <c r="E272" s="15"/>
      <c r="F272" s="15"/>
      <c r="G272" s="91"/>
      <c r="H272" s="15"/>
      <c r="I272" s="15"/>
    </row>
    <row r="273">
      <c r="A273" s="91"/>
      <c r="B273" s="91"/>
      <c r="C273" s="91"/>
      <c r="D273" s="78"/>
      <c r="E273" s="15"/>
      <c r="F273" s="15"/>
      <c r="G273" s="91"/>
      <c r="H273" s="15"/>
      <c r="I273" s="15"/>
    </row>
    <row r="274">
      <c r="A274" s="91"/>
      <c r="B274" s="91"/>
      <c r="C274" s="91"/>
      <c r="D274" s="78"/>
      <c r="E274" s="15"/>
      <c r="F274" s="15"/>
      <c r="G274" s="91"/>
      <c r="H274" s="15"/>
      <c r="I274" s="15"/>
    </row>
    <row r="275">
      <c r="A275" s="91"/>
      <c r="B275" s="91"/>
      <c r="C275" s="91"/>
      <c r="D275" s="78"/>
      <c r="E275" s="15"/>
      <c r="F275" s="15"/>
      <c r="G275" s="91"/>
      <c r="H275" s="15"/>
      <c r="I275" s="15"/>
    </row>
    <row r="276">
      <c r="A276" s="91"/>
      <c r="B276" s="91"/>
      <c r="C276" s="91"/>
      <c r="D276" s="78"/>
      <c r="E276" s="15"/>
      <c r="F276" s="15"/>
      <c r="G276" s="91"/>
      <c r="H276" s="15"/>
      <c r="I276" s="15"/>
    </row>
    <row r="277">
      <c r="A277" s="91"/>
      <c r="B277" s="91"/>
      <c r="C277" s="91"/>
      <c r="D277" s="78"/>
      <c r="E277" s="15"/>
      <c r="F277" s="15"/>
      <c r="G277" s="91"/>
      <c r="H277" s="15"/>
      <c r="I277" s="15"/>
    </row>
    <row r="278">
      <c r="A278" s="91"/>
      <c r="B278" s="91"/>
      <c r="C278" s="91"/>
      <c r="D278" s="78"/>
      <c r="E278" s="15"/>
      <c r="F278" s="15"/>
      <c r="G278" s="91"/>
      <c r="H278" s="15"/>
      <c r="I278" s="15"/>
    </row>
    <row r="279">
      <c r="A279" s="91"/>
      <c r="B279" s="91"/>
      <c r="C279" s="91"/>
      <c r="D279" s="78"/>
      <c r="E279" s="15"/>
      <c r="F279" s="15"/>
      <c r="G279" s="91"/>
      <c r="H279" s="15"/>
      <c r="I279" s="15"/>
    </row>
    <row r="280">
      <c r="A280" s="91"/>
      <c r="B280" s="91"/>
      <c r="C280" s="91"/>
      <c r="D280" s="78"/>
      <c r="E280" s="15"/>
      <c r="F280" s="15"/>
      <c r="G280" s="91"/>
      <c r="H280" s="15"/>
      <c r="I280" s="15"/>
    </row>
    <row r="281">
      <c r="A281" s="91"/>
      <c r="B281" s="91"/>
      <c r="C281" s="91"/>
      <c r="D281" s="78"/>
      <c r="E281" s="15"/>
      <c r="F281" s="15"/>
      <c r="G281" s="91"/>
      <c r="H281" s="15"/>
      <c r="I281" s="15"/>
    </row>
    <row r="282">
      <c r="A282" s="91"/>
      <c r="B282" s="91"/>
      <c r="C282" s="91"/>
      <c r="D282" s="78"/>
      <c r="E282" s="15"/>
      <c r="F282" s="15"/>
      <c r="G282" s="91"/>
      <c r="H282" s="15"/>
      <c r="I282" s="15"/>
    </row>
    <row r="283">
      <c r="A283" s="91"/>
      <c r="B283" s="91"/>
      <c r="C283" s="91"/>
      <c r="D283" s="78"/>
      <c r="E283" s="15"/>
      <c r="F283" s="15"/>
      <c r="G283" s="91"/>
      <c r="H283" s="15"/>
      <c r="I283" s="15"/>
    </row>
    <row r="284">
      <c r="A284" s="91"/>
      <c r="B284" s="91"/>
      <c r="C284" s="91"/>
      <c r="D284" s="78"/>
      <c r="E284" s="15"/>
      <c r="F284" s="15"/>
      <c r="G284" s="91"/>
      <c r="H284" s="15"/>
      <c r="I284" s="15"/>
    </row>
    <row r="285">
      <c r="A285" s="91"/>
      <c r="B285" s="91"/>
      <c r="C285" s="91"/>
      <c r="D285" s="78"/>
      <c r="E285" s="15"/>
      <c r="F285" s="15"/>
      <c r="G285" s="91"/>
      <c r="H285" s="15"/>
      <c r="I285" s="15"/>
    </row>
    <row r="286">
      <c r="A286" s="91"/>
      <c r="B286" s="91"/>
      <c r="C286" s="91"/>
      <c r="D286" s="78"/>
      <c r="E286" s="15"/>
      <c r="F286" s="15"/>
      <c r="G286" s="91"/>
      <c r="H286" s="15"/>
      <c r="I286" s="15"/>
    </row>
    <row r="287">
      <c r="A287" s="91"/>
      <c r="B287" s="91"/>
      <c r="C287" s="91"/>
      <c r="D287" s="78"/>
      <c r="E287" s="15"/>
      <c r="F287" s="15"/>
      <c r="G287" s="91"/>
      <c r="H287" s="15"/>
      <c r="I287" s="15"/>
    </row>
    <row r="288">
      <c r="A288" s="91"/>
      <c r="B288" s="91"/>
      <c r="C288" s="91"/>
      <c r="D288" s="78"/>
      <c r="E288" s="15"/>
      <c r="F288" s="15"/>
      <c r="G288" s="91"/>
      <c r="H288" s="15"/>
      <c r="I288" s="15"/>
    </row>
    <row r="289">
      <c r="A289" s="91"/>
      <c r="B289" s="91"/>
      <c r="C289" s="91"/>
      <c r="D289" s="78"/>
      <c r="E289" s="15"/>
      <c r="F289" s="15"/>
      <c r="G289" s="91"/>
      <c r="H289" s="15"/>
      <c r="I289" s="15"/>
    </row>
    <row r="290">
      <c r="A290" s="91"/>
      <c r="B290" s="91"/>
      <c r="C290" s="91"/>
      <c r="D290" s="78"/>
      <c r="E290" s="15"/>
      <c r="F290" s="15"/>
      <c r="G290" s="91"/>
      <c r="H290" s="15"/>
      <c r="I290" s="15"/>
    </row>
    <row r="291">
      <c r="A291" s="91"/>
      <c r="B291" s="91"/>
      <c r="C291" s="91"/>
      <c r="D291" s="78"/>
      <c r="E291" s="15"/>
      <c r="F291" s="15"/>
      <c r="G291" s="91"/>
      <c r="H291" s="15"/>
      <c r="I291" s="15"/>
    </row>
    <row r="292">
      <c r="A292" s="91"/>
      <c r="B292" s="91"/>
      <c r="C292" s="91"/>
      <c r="D292" s="78"/>
      <c r="E292" s="15"/>
      <c r="F292" s="15"/>
      <c r="G292" s="91"/>
      <c r="H292" s="15"/>
      <c r="I292" s="15"/>
    </row>
    <row r="293">
      <c r="A293" s="91"/>
      <c r="B293" s="91"/>
      <c r="C293" s="91"/>
      <c r="D293" s="78"/>
      <c r="E293" s="15"/>
      <c r="F293" s="15"/>
      <c r="G293" s="91"/>
      <c r="H293" s="15"/>
      <c r="I293" s="15"/>
    </row>
    <row r="294">
      <c r="A294" s="91"/>
      <c r="B294" s="91"/>
      <c r="C294" s="91"/>
      <c r="D294" s="78"/>
      <c r="E294" s="15"/>
      <c r="F294" s="15"/>
      <c r="G294" s="91"/>
      <c r="H294" s="15"/>
      <c r="I294" s="15"/>
    </row>
    <row r="295">
      <c r="A295" s="91"/>
      <c r="B295" s="91"/>
      <c r="C295" s="91"/>
      <c r="D295" s="78"/>
      <c r="E295" s="15"/>
      <c r="F295" s="15"/>
      <c r="G295" s="91"/>
      <c r="H295" s="15"/>
      <c r="I295" s="15"/>
    </row>
    <row r="296">
      <c r="A296" s="91"/>
      <c r="B296" s="91"/>
      <c r="C296" s="91"/>
      <c r="D296" s="78"/>
      <c r="E296" s="15"/>
      <c r="F296" s="15"/>
      <c r="G296" s="91"/>
      <c r="H296" s="15"/>
      <c r="I296" s="15"/>
    </row>
    <row r="297">
      <c r="A297" s="91"/>
      <c r="B297" s="91"/>
      <c r="C297" s="91"/>
      <c r="D297" s="78"/>
      <c r="E297" s="15"/>
      <c r="F297" s="15"/>
      <c r="G297" s="91"/>
      <c r="H297" s="15"/>
      <c r="I297" s="15"/>
    </row>
    <row r="298">
      <c r="A298" s="91"/>
      <c r="B298" s="91"/>
      <c r="C298" s="91"/>
      <c r="D298" s="78"/>
      <c r="E298" s="15"/>
      <c r="F298" s="15"/>
      <c r="G298" s="91"/>
      <c r="H298" s="15"/>
      <c r="I298" s="15"/>
    </row>
    <row r="299">
      <c r="A299" s="91"/>
      <c r="B299" s="91"/>
      <c r="C299" s="91"/>
      <c r="D299" s="78"/>
      <c r="E299" s="15"/>
      <c r="F299" s="15"/>
      <c r="G299" s="91"/>
      <c r="H299" s="15"/>
      <c r="I299" s="15"/>
    </row>
    <row r="300">
      <c r="A300" s="91"/>
      <c r="B300" s="91"/>
      <c r="C300" s="91"/>
      <c r="D300" s="78"/>
      <c r="E300" s="15"/>
      <c r="F300" s="15"/>
      <c r="G300" s="91"/>
      <c r="H300" s="15"/>
      <c r="I300" s="15"/>
    </row>
    <row r="301">
      <c r="A301" s="91"/>
      <c r="B301" s="91"/>
      <c r="C301" s="91"/>
      <c r="D301" s="78"/>
      <c r="E301" s="15"/>
      <c r="F301" s="15"/>
      <c r="G301" s="91"/>
      <c r="H301" s="15"/>
      <c r="I301" s="15"/>
    </row>
    <row r="302">
      <c r="A302" s="91"/>
      <c r="B302" s="91"/>
      <c r="C302" s="91"/>
      <c r="D302" s="78"/>
      <c r="E302" s="15"/>
      <c r="F302" s="15"/>
      <c r="G302" s="91"/>
      <c r="H302" s="15"/>
      <c r="I302" s="15"/>
    </row>
    <row r="303">
      <c r="A303" s="91"/>
      <c r="B303" s="91"/>
      <c r="C303" s="91"/>
      <c r="D303" s="78"/>
      <c r="E303" s="15"/>
      <c r="F303" s="15"/>
      <c r="G303" s="91"/>
      <c r="H303" s="15"/>
      <c r="I303" s="15"/>
    </row>
    <row r="304">
      <c r="A304" s="91"/>
      <c r="B304" s="91"/>
      <c r="C304" s="91"/>
      <c r="D304" s="78"/>
      <c r="E304" s="15"/>
      <c r="F304" s="15"/>
      <c r="G304" s="91"/>
      <c r="H304" s="15"/>
      <c r="I304" s="15"/>
    </row>
    <row r="305">
      <c r="A305" s="91"/>
      <c r="B305" s="91"/>
      <c r="C305" s="91"/>
      <c r="D305" s="78"/>
      <c r="E305" s="15"/>
      <c r="F305" s="15"/>
      <c r="G305" s="91"/>
      <c r="H305" s="15"/>
      <c r="I305" s="15"/>
    </row>
    <row r="306">
      <c r="A306" s="91"/>
      <c r="B306" s="91"/>
      <c r="C306" s="91"/>
      <c r="D306" s="78"/>
      <c r="E306" s="15"/>
      <c r="F306" s="15"/>
      <c r="G306" s="91"/>
      <c r="H306" s="15"/>
      <c r="I306" s="15"/>
    </row>
    <row r="307">
      <c r="A307" s="91"/>
      <c r="B307" s="91"/>
      <c r="C307" s="91"/>
      <c r="D307" s="78"/>
      <c r="E307" s="15"/>
      <c r="F307" s="15"/>
      <c r="G307" s="91"/>
      <c r="H307" s="15"/>
      <c r="I307" s="15"/>
    </row>
    <row r="308">
      <c r="A308" s="91"/>
      <c r="B308" s="91"/>
      <c r="C308" s="91"/>
      <c r="D308" s="78"/>
      <c r="E308" s="15"/>
      <c r="F308" s="15"/>
      <c r="G308" s="91"/>
      <c r="H308" s="15"/>
      <c r="I308" s="15"/>
    </row>
    <row r="309">
      <c r="A309" s="91"/>
      <c r="B309" s="91"/>
      <c r="C309" s="91"/>
      <c r="D309" s="78"/>
      <c r="E309" s="15"/>
      <c r="F309" s="15"/>
      <c r="G309" s="91"/>
      <c r="H309" s="15"/>
      <c r="I309" s="15"/>
    </row>
    <row r="310">
      <c r="A310" s="91"/>
      <c r="B310" s="91"/>
      <c r="C310" s="91"/>
      <c r="D310" s="78"/>
      <c r="E310" s="15"/>
      <c r="F310" s="15"/>
      <c r="G310" s="91"/>
      <c r="H310" s="15"/>
      <c r="I310" s="15"/>
    </row>
    <row r="311">
      <c r="A311" s="91"/>
      <c r="B311" s="91"/>
      <c r="C311" s="91"/>
      <c r="D311" s="78"/>
      <c r="E311" s="15"/>
      <c r="F311" s="15"/>
      <c r="G311" s="91"/>
      <c r="H311" s="15"/>
      <c r="I311" s="15"/>
    </row>
    <row r="312">
      <c r="A312" s="91"/>
      <c r="B312" s="91"/>
      <c r="C312" s="91"/>
      <c r="D312" s="78"/>
      <c r="E312" s="15"/>
      <c r="F312" s="15"/>
      <c r="G312" s="91"/>
      <c r="H312" s="15"/>
      <c r="I312" s="15"/>
    </row>
    <row r="313">
      <c r="A313" s="91"/>
      <c r="B313" s="91"/>
      <c r="C313" s="91"/>
      <c r="D313" s="78"/>
      <c r="E313" s="15"/>
      <c r="F313" s="15"/>
      <c r="G313" s="91"/>
      <c r="H313" s="15"/>
      <c r="I313" s="15"/>
    </row>
    <row r="314">
      <c r="A314" s="91"/>
      <c r="B314" s="91"/>
      <c r="C314" s="91"/>
      <c r="D314" s="78"/>
      <c r="E314" s="15"/>
      <c r="F314" s="15"/>
      <c r="G314" s="91"/>
      <c r="H314" s="15"/>
      <c r="I314" s="15"/>
    </row>
    <row r="315">
      <c r="A315" s="91"/>
      <c r="B315" s="91"/>
      <c r="C315" s="91"/>
      <c r="D315" s="78"/>
      <c r="E315" s="15"/>
      <c r="F315" s="15"/>
      <c r="G315" s="91"/>
      <c r="H315" s="15"/>
      <c r="I315" s="15"/>
    </row>
    <row r="316">
      <c r="A316" s="91"/>
      <c r="B316" s="91"/>
      <c r="C316" s="91"/>
      <c r="D316" s="78"/>
      <c r="E316" s="15"/>
      <c r="F316" s="15"/>
      <c r="G316" s="91"/>
      <c r="H316" s="15"/>
      <c r="I316" s="15"/>
    </row>
    <row r="317">
      <c r="A317" s="91"/>
      <c r="B317" s="91"/>
      <c r="C317" s="91"/>
      <c r="D317" s="78"/>
      <c r="E317" s="15"/>
      <c r="F317" s="15"/>
      <c r="G317" s="91"/>
      <c r="H317" s="15"/>
      <c r="I317" s="15"/>
    </row>
    <row r="318">
      <c r="A318" s="91"/>
      <c r="B318" s="91"/>
      <c r="C318" s="91"/>
      <c r="D318" s="78"/>
      <c r="E318" s="15"/>
      <c r="F318" s="15"/>
      <c r="G318" s="91"/>
      <c r="H318" s="15"/>
      <c r="I318" s="15"/>
    </row>
    <row r="319">
      <c r="A319" s="91"/>
      <c r="B319" s="91"/>
      <c r="C319" s="91"/>
      <c r="D319" s="78"/>
      <c r="E319" s="15"/>
      <c r="F319" s="15"/>
      <c r="G319" s="91"/>
      <c r="H319" s="15"/>
      <c r="I319" s="15"/>
    </row>
    <row r="320">
      <c r="A320" s="91"/>
      <c r="B320" s="91"/>
      <c r="C320" s="91"/>
      <c r="D320" s="78"/>
      <c r="E320" s="15"/>
      <c r="F320" s="15"/>
      <c r="G320" s="91"/>
      <c r="H320" s="15"/>
      <c r="I320" s="15"/>
    </row>
    <row r="321">
      <c r="A321" s="91"/>
      <c r="B321" s="91"/>
      <c r="C321" s="91"/>
      <c r="D321" s="78"/>
      <c r="E321" s="15"/>
      <c r="F321" s="15"/>
      <c r="G321" s="91"/>
      <c r="H321" s="15"/>
      <c r="I321" s="15"/>
    </row>
    <row r="322">
      <c r="A322" s="91"/>
      <c r="B322" s="91"/>
      <c r="C322" s="91"/>
      <c r="D322" s="78"/>
      <c r="E322" s="15"/>
      <c r="F322" s="15"/>
      <c r="G322" s="91"/>
      <c r="H322" s="15"/>
      <c r="I322" s="15"/>
    </row>
    <row r="323">
      <c r="A323" s="91"/>
      <c r="B323" s="91"/>
      <c r="C323" s="91"/>
      <c r="D323" s="78"/>
      <c r="E323" s="15"/>
      <c r="F323" s="15"/>
      <c r="G323" s="91"/>
      <c r="H323" s="15"/>
      <c r="I323" s="15"/>
    </row>
    <row r="324">
      <c r="A324" s="91"/>
      <c r="B324" s="91"/>
      <c r="C324" s="91"/>
      <c r="D324" s="78"/>
      <c r="E324" s="15"/>
      <c r="F324" s="15"/>
      <c r="G324" s="91"/>
      <c r="H324" s="15"/>
      <c r="I324" s="15"/>
    </row>
    <row r="325">
      <c r="A325" s="91"/>
      <c r="B325" s="91"/>
      <c r="C325" s="91"/>
      <c r="D325" s="78"/>
      <c r="E325" s="15"/>
      <c r="F325" s="15"/>
      <c r="G325" s="91"/>
      <c r="H325" s="15"/>
      <c r="I325" s="15"/>
    </row>
    <row r="326">
      <c r="A326" s="91"/>
      <c r="B326" s="91"/>
      <c r="C326" s="91"/>
      <c r="D326" s="78"/>
      <c r="E326" s="15"/>
      <c r="F326" s="15"/>
      <c r="G326" s="91"/>
      <c r="H326" s="15"/>
      <c r="I326" s="15"/>
    </row>
    <row r="327">
      <c r="A327" s="91"/>
      <c r="B327" s="91"/>
      <c r="C327" s="91"/>
      <c r="D327" s="78"/>
      <c r="E327" s="15"/>
      <c r="F327" s="15"/>
      <c r="G327" s="91"/>
      <c r="H327" s="15"/>
      <c r="I327" s="15"/>
    </row>
    <row r="328">
      <c r="A328" s="91"/>
      <c r="B328" s="91"/>
      <c r="C328" s="91"/>
      <c r="D328" s="78"/>
      <c r="E328" s="15"/>
      <c r="F328" s="15"/>
      <c r="G328" s="91"/>
      <c r="H328" s="15"/>
      <c r="I328" s="15"/>
    </row>
    <row r="329">
      <c r="A329" s="91"/>
      <c r="B329" s="91"/>
      <c r="C329" s="91"/>
      <c r="D329" s="78"/>
      <c r="E329" s="15"/>
      <c r="F329" s="15"/>
      <c r="G329" s="91"/>
      <c r="H329" s="15"/>
      <c r="I329" s="15"/>
    </row>
    <row r="330">
      <c r="A330" s="91"/>
      <c r="B330" s="91"/>
      <c r="C330" s="91"/>
      <c r="D330" s="78"/>
      <c r="E330" s="15"/>
      <c r="F330" s="15"/>
      <c r="G330" s="91"/>
      <c r="H330" s="15"/>
      <c r="I330" s="15"/>
    </row>
    <row r="331">
      <c r="A331" s="91"/>
      <c r="B331" s="91"/>
      <c r="C331" s="91"/>
      <c r="D331" s="78"/>
      <c r="E331" s="15"/>
      <c r="F331" s="15"/>
      <c r="G331" s="91"/>
      <c r="H331" s="15"/>
      <c r="I331" s="15"/>
    </row>
    <row r="332">
      <c r="A332" s="91"/>
      <c r="B332" s="91"/>
      <c r="C332" s="91"/>
      <c r="D332" s="78"/>
      <c r="E332" s="15"/>
      <c r="F332" s="15"/>
      <c r="G332" s="91"/>
      <c r="H332" s="15"/>
      <c r="I332" s="15"/>
    </row>
    <row r="333">
      <c r="A333" s="91"/>
      <c r="B333" s="91"/>
      <c r="C333" s="91"/>
      <c r="D333" s="78"/>
      <c r="E333" s="15"/>
      <c r="F333" s="15"/>
      <c r="G333" s="91"/>
      <c r="H333" s="15"/>
      <c r="I333" s="15"/>
    </row>
    <row r="334">
      <c r="A334" s="91"/>
      <c r="B334" s="91"/>
      <c r="C334" s="91"/>
      <c r="D334" s="78"/>
      <c r="E334" s="15"/>
      <c r="F334" s="15"/>
      <c r="G334" s="91"/>
      <c r="H334" s="15"/>
      <c r="I334" s="15"/>
    </row>
    <row r="335">
      <c r="A335" s="91"/>
      <c r="B335" s="91"/>
      <c r="C335" s="91"/>
      <c r="D335" s="78"/>
      <c r="E335" s="15"/>
      <c r="F335" s="15"/>
      <c r="G335" s="91"/>
      <c r="H335" s="15"/>
      <c r="I335" s="15"/>
    </row>
    <row r="336">
      <c r="A336" s="91"/>
      <c r="B336" s="91"/>
      <c r="C336" s="91"/>
      <c r="D336" s="78"/>
      <c r="E336" s="15"/>
      <c r="F336" s="15"/>
      <c r="G336" s="91"/>
      <c r="H336" s="15"/>
      <c r="I336" s="15"/>
    </row>
    <row r="337">
      <c r="A337" s="91"/>
      <c r="B337" s="91"/>
      <c r="C337" s="91"/>
      <c r="D337" s="78"/>
      <c r="E337" s="15"/>
      <c r="F337" s="15"/>
      <c r="G337" s="91"/>
      <c r="H337" s="15"/>
      <c r="I337" s="15"/>
    </row>
    <row r="338">
      <c r="A338" s="91"/>
      <c r="B338" s="91"/>
      <c r="C338" s="91"/>
      <c r="D338" s="78"/>
      <c r="E338" s="15"/>
      <c r="F338" s="15"/>
      <c r="G338" s="91"/>
      <c r="H338" s="15"/>
      <c r="I338" s="15"/>
    </row>
    <row r="339">
      <c r="A339" s="91"/>
      <c r="B339" s="91"/>
      <c r="C339" s="91"/>
      <c r="D339" s="78"/>
      <c r="E339" s="15"/>
      <c r="F339" s="15"/>
      <c r="G339" s="91"/>
      <c r="H339" s="15"/>
      <c r="I339" s="15"/>
    </row>
    <row r="340">
      <c r="A340" s="91"/>
      <c r="B340" s="91"/>
      <c r="C340" s="91"/>
      <c r="D340" s="78"/>
      <c r="E340" s="15"/>
      <c r="F340" s="15"/>
      <c r="G340" s="91"/>
      <c r="H340" s="15"/>
      <c r="I340" s="15"/>
    </row>
    <row r="341">
      <c r="A341" s="91"/>
      <c r="B341" s="91"/>
      <c r="C341" s="91"/>
      <c r="D341" s="78"/>
      <c r="E341" s="15"/>
      <c r="F341" s="15"/>
      <c r="G341" s="91"/>
      <c r="H341" s="15"/>
      <c r="I341" s="15"/>
    </row>
    <row r="342">
      <c r="A342" s="91"/>
      <c r="B342" s="91"/>
      <c r="C342" s="91"/>
      <c r="D342" s="78"/>
      <c r="E342" s="15"/>
      <c r="F342" s="15"/>
      <c r="G342" s="91"/>
      <c r="H342" s="15"/>
      <c r="I342" s="15"/>
    </row>
    <row r="343">
      <c r="A343" s="91"/>
      <c r="B343" s="91"/>
      <c r="C343" s="91"/>
      <c r="D343" s="78"/>
      <c r="E343" s="15"/>
      <c r="F343" s="15"/>
      <c r="G343" s="91"/>
      <c r="H343" s="15"/>
      <c r="I343" s="15"/>
    </row>
    <row r="344">
      <c r="A344" s="91"/>
      <c r="B344" s="91"/>
      <c r="C344" s="91"/>
      <c r="D344" s="78"/>
      <c r="E344" s="15"/>
      <c r="F344" s="15"/>
      <c r="G344" s="91"/>
      <c r="H344" s="15"/>
      <c r="I344" s="15"/>
    </row>
    <row r="345">
      <c r="A345" s="91"/>
      <c r="B345" s="91"/>
      <c r="C345" s="91"/>
      <c r="D345" s="78"/>
      <c r="E345" s="15"/>
      <c r="F345" s="15"/>
      <c r="G345" s="91"/>
      <c r="H345" s="15"/>
      <c r="I345" s="15"/>
    </row>
    <row r="346">
      <c r="A346" s="91"/>
      <c r="B346" s="91"/>
      <c r="C346" s="91"/>
      <c r="D346" s="78"/>
      <c r="E346" s="15"/>
      <c r="F346" s="15"/>
      <c r="G346" s="91"/>
      <c r="H346" s="15"/>
      <c r="I346" s="15"/>
    </row>
    <row r="347">
      <c r="A347" s="91"/>
      <c r="B347" s="91"/>
      <c r="C347" s="91"/>
      <c r="D347" s="78"/>
      <c r="E347" s="15"/>
      <c r="F347" s="15"/>
      <c r="G347" s="91"/>
      <c r="H347" s="15"/>
      <c r="I347" s="15"/>
    </row>
    <row r="348">
      <c r="A348" s="91"/>
      <c r="B348" s="91"/>
      <c r="C348" s="91"/>
      <c r="D348" s="78"/>
      <c r="E348" s="15"/>
      <c r="F348" s="15"/>
      <c r="G348" s="91"/>
      <c r="H348" s="15"/>
      <c r="I348" s="15"/>
    </row>
    <row r="349">
      <c r="A349" s="91"/>
      <c r="B349" s="91"/>
      <c r="C349" s="91"/>
      <c r="D349" s="78"/>
      <c r="E349" s="15"/>
      <c r="F349" s="15"/>
      <c r="G349" s="91"/>
      <c r="H349" s="15"/>
      <c r="I349" s="15"/>
    </row>
    <row r="350">
      <c r="A350" s="91"/>
      <c r="B350" s="91"/>
      <c r="C350" s="91"/>
      <c r="D350" s="78"/>
      <c r="E350" s="15"/>
      <c r="F350" s="15"/>
      <c r="G350" s="91"/>
      <c r="H350" s="15"/>
      <c r="I350" s="15"/>
    </row>
    <row r="351">
      <c r="A351" s="91"/>
      <c r="B351" s="91"/>
      <c r="C351" s="91"/>
      <c r="D351" s="78"/>
      <c r="E351" s="15"/>
      <c r="F351" s="15"/>
      <c r="G351" s="91"/>
      <c r="H351" s="15"/>
      <c r="I351" s="15"/>
    </row>
    <row r="352">
      <c r="A352" s="91"/>
      <c r="B352" s="91"/>
      <c r="C352" s="91"/>
      <c r="D352" s="78"/>
      <c r="E352" s="15"/>
      <c r="F352" s="15"/>
      <c r="G352" s="91"/>
      <c r="H352" s="15"/>
      <c r="I352" s="15"/>
    </row>
    <row r="353">
      <c r="A353" s="91"/>
      <c r="B353" s="91"/>
      <c r="C353" s="91"/>
      <c r="D353" s="78"/>
      <c r="E353" s="15"/>
      <c r="F353" s="15"/>
      <c r="G353" s="91"/>
      <c r="H353" s="15"/>
      <c r="I353" s="15"/>
    </row>
    <row r="354">
      <c r="A354" s="91"/>
      <c r="B354" s="91"/>
      <c r="C354" s="91"/>
      <c r="D354" s="78"/>
      <c r="E354" s="15"/>
      <c r="F354" s="15"/>
      <c r="G354" s="91"/>
      <c r="H354" s="15"/>
      <c r="I354" s="15"/>
    </row>
    <row r="355">
      <c r="A355" s="91"/>
      <c r="B355" s="91"/>
      <c r="C355" s="91"/>
      <c r="D355" s="78"/>
      <c r="E355" s="15"/>
      <c r="F355" s="15"/>
      <c r="G355" s="91"/>
      <c r="H355" s="15"/>
      <c r="I355" s="15"/>
    </row>
    <row r="356">
      <c r="A356" s="91"/>
      <c r="B356" s="91"/>
      <c r="C356" s="91"/>
      <c r="D356" s="78"/>
      <c r="E356" s="15"/>
      <c r="F356" s="15"/>
      <c r="G356" s="91"/>
      <c r="H356" s="15"/>
      <c r="I356" s="15"/>
    </row>
    <row r="357">
      <c r="A357" s="91"/>
      <c r="B357" s="91"/>
      <c r="C357" s="91"/>
      <c r="D357" s="78"/>
      <c r="E357" s="15"/>
      <c r="F357" s="15"/>
      <c r="G357" s="91"/>
      <c r="H357" s="15"/>
      <c r="I357" s="15"/>
    </row>
    <row r="358">
      <c r="A358" s="91"/>
      <c r="B358" s="91"/>
      <c r="C358" s="91"/>
      <c r="D358" s="78"/>
      <c r="E358" s="15"/>
      <c r="F358" s="15"/>
      <c r="G358" s="91"/>
      <c r="H358" s="15"/>
      <c r="I358" s="15"/>
    </row>
    <row r="359">
      <c r="A359" s="91"/>
      <c r="B359" s="91"/>
      <c r="C359" s="91"/>
      <c r="D359" s="78"/>
      <c r="E359" s="15"/>
      <c r="F359" s="15"/>
      <c r="G359" s="91"/>
      <c r="H359" s="15"/>
      <c r="I359" s="15"/>
    </row>
    <row r="360">
      <c r="A360" s="91"/>
      <c r="B360" s="91"/>
      <c r="C360" s="91"/>
      <c r="D360" s="78"/>
      <c r="E360" s="15"/>
      <c r="F360" s="15"/>
      <c r="G360" s="91"/>
      <c r="H360" s="15"/>
      <c r="I360" s="15"/>
    </row>
    <row r="361">
      <c r="A361" s="91"/>
      <c r="B361" s="91"/>
      <c r="C361" s="91"/>
      <c r="D361" s="78"/>
      <c r="E361" s="15"/>
      <c r="F361" s="15"/>
      <c r="G361" s="91"/>
      <c r="H361" s="15"/>
      <c r="I361" s="15"/>
    </row>
    <row r="362">
      <c r="A362" s="91"/>
      <c r="B362" s="91"/>
      <c r="C362" s="91"/>
      <c r="D362" s="78"/>
      <c r="E362" s="15"/>
      <c r="F362" s="15"/>
      <c r="G362" s="91"/>
      <c r="H362" s="15"/>
      <c r="I362" s="15"/>
    </row>
    <row r="363">
      <c r="A363" s="91"/>
      <c r="B363" s="91"/>
      <c r="C363" s="91"/>
      <c r="D363" s="78"/>
      <c r="E363" s="15"/>
      <c r="F363" s="15"/>
      <c r="G363" s="91"/>
      <c r="H363" s="15"/>
      <c r="I363" s="15"/>
    </row>
    <row r="364">
      <c r="A364" s="91"/>
      <c r="B364" s="91"/>
      <c r="C364" s="91"/>
      <c r="D364" s="78"/>
      <c r="E364" s="15"/>
      <c r="F364" s="15"/>
      <c r="G364" s="91"/>
      <c r="H364" s="15"/>
      <c r="I364" s="15"/>
    </row>
    <row r="365">
      <c r="A365" s="91"/>
      <c r="B365" s="91"/>
      <c r="C365" s="91"/>
      <c r="D365" s="78"/>
      <c r="E365" s="15"/>
      <c r="F365" s="15"/>
      <c r="G365" s="91"/>
      <c r="H365" s="15"/>
      <c r="I365" s="15"/>
    </row>
    <row r="366">
      <c r="A366" s="91"/>
      <c r="B366" s="91"/>
      <c r="C366" s="91"/>
      <c r="D366" s="78"/>
      <c r="E366" s="15"/>
      <c r="F366" s="15"/>
      <c r="G366" s="91"/>
      <c r="H366" s="15"/>
      <c r="I366" s="15"/>
    </row>
    <row r="367">
      <c r="A367" s="91"/>
      <c r="B367" s="91"/>
      <c r="C367" s="91"/>
      <c r="D367" s="78"/>
      <c r="E367" s="15"/>
      <c r="F367" s="15"/>
      <c r="G367" s="91"/>
      <c r="H367" s="15"/>
      <c r="I367" s="15"/>
    </row>
    <row r="368">
      <c r="A368" s="91"/>
      <c r="B368" s="91"/>
      <c r="C368" s="91"/>
      <c r="D368" s="78"/>
      <c r="E368" s="15"/>
      <c r="F368" s="15"/>
      <c r="G368" s="91"/>
      <c r="H368" s="15"/>
      <c r="I368" s="15"/>
    </row>
    <row r="369">
      <c r="A369" s="91"/>
      <c r="B369" s="91"/>
      <c r="C369" s="91"/>
      <c r="D369" s="78"/>
      <c r="E369" s="15"/>
      <c r="F369" s="15"/>
      <c r="G369" s="91"/>
      <c r="H369" s="15"/>
      <c r="I369" s="15"/>
    </row>
    <row r="370">
      <c r="A370" s="91"/>
      <c r="B370" s="91"/>
      <c r="C370" s="91"/>
      <c r="D370" s="78"/>
      <c r="E370" s="15"/>
      <c r="F370" s="15"/>
      <c r="G370" s="91"/>
      <c r="H370" s="15"/>
      <c r="I370" s="15"/>
    </row>
    <row r="371">
      <c r="A371" s="91"/>
      <c r="B371" s="91"/>
      <c r="C371" s="91"/>
      <c r="D371" s="78"/>
      <c r="E371" s="15"/>
      <c r="F371" s="15"/>
      <c r="G371" s="91"/>
      <c r="H371" s="15"/>
      <c r="I371" s="15"/>
    </row>
    <row r="372">
      <c r="A372" s="91"/>
      <c r="B372" s="91"/>
      <c r="C372" s="91"/>
      <c r="D372" s="78"/>
      <c r="E372" s="15"/>
      <c r="F372" s="15"/>
      <c r="G372" s="91"/>
      <c r="H372" s="15"/>
      <c r="I372" s="15"/>
    </row>
    <row r="373">
      <c r="A373" s="91"/>
      <c r="B373" s="91"/>
      <c r="C373" s="91"/>
      <c r="D373" s="78"/>
      <c r="E373" s="15"/>
      <c r="F373" s="15"/>
      <c r="G373" s="91"/>
      <c r="H373" s="15"/>
      <c r="I373" s="15"/>
    </row>
    <row r="374">
      <c r="A374" s="91"/>
      <c r="B374" s="91"/>
      <c r="C374" s="91"/>
      <c r="D374" s="78"/>
      <c r="E374" s="15"/>
      <c r="F374" s="15"/>
      <c r="G374" s="91"/>
      <c r="H374" s="15"/>
      <c r="I374" s="15"/>
    </row>
    <row r="375">
      <c r="A375" s="91"/>
      <c r="B375" s="91"/>
      <c r="C375" s="91"/>
      <c r="D375" s="78"/>
      <c r="E375" s="15"/>
      <c r="F375" s="15"/>
      <c r="G375" s="91"/>
      <c r="H375" s="15"/>
      <c r="I375" s="15"/>
    </row>
    <row r="376">
      <c r="A376" s="91"/>
      <c r="B376" s="91"/>
      <c r="C376" s="91"/>
      <c r="D376" s="78"/>
      <c r="E376" s="15"/>
      <c r="F376" s="15"/>
      <c r="G376" s="91"/>
      <c r="H376" s="15"/>
      <c r="I376" s="15"/>
    </row>
    <row r="377">
      <c r="A377" s="91"/>
      <c r="B377" s="91"/>
      <c r="C377" s="91"/>
      <c r="D377" s="78"/>
      <c r="E377" s="15"/>
      <c r="F377" s="15"/>
      <c r="G377" s="91"/>
      <c r="H377" s="15"/>
      <c r="I377" s="15"/>
    </row>
    <row r="378">
      <c r="A378" s="91"/>
      <c r="B378" s="91"/>
      <c r="C378" s="91"/>
      <c r="D378" s="78"/>
      <c r="E378" s="15"/>
      <c r="F378" s="15"/>
      <c r="G378" s="91"/>
      <c r="H378" s="15"/>
      <c r="I378" s="15"/>
    </row>
    <row r="379">
      <c r="A379" s="91"/>
      <c r="B379" s="91"/>
      <c r="C379" s="91"/>
      <c r="D379" s="78"/>
      <c r="E379" s="15"/>
      <c r="F379" s="15"/>
      <c r="G379" s="91"/>
      <c r="H379" s="15"/>
      <c r="I379" s="15"/>
    </row>
    <row r="380">
      <c r="A380" s="91"/>
      <c r="B380" s="91"/>
      <c r="C380" s="91"/>
      <c r="D380" s="78"/>
      <c r="E380" s="15"/>
      <c r="F380" s="15"/>
      <c r="G380" s="91"/>
      <c r="H380" s="15"/>
      <c r="I380" s="15"/>
    </row>
    <row r="381">
      <c r="A381" s="91"/>
      <c r="B381" s="91"/>
      <c r="C381" s="91"/>
      <c r="D381" s="78"/>
      <c r="E381" s="15"/>
      <c r="F381" s="15"/>
      <c r="G381" s="91"/>
      <c r="H381" s="15"/>
      <c r="I381" s="15"/>
    </row>
    <row r="382">
      <c r="A382" s="91"/>
      <c r="B382" s="91"/>
      <c r="C382" s="91"/>
      <c r="D382" s="78"/>
      <c r="E382" s="15"/>
      <c r="F382" s="15"/>
      <c r="G382" s="91"/>
      <c r="H382" s="15"/>
      <c r="I382" s="15"/>
    </row>
    <row r="383">
      <c r="A383" s="91"/>
      <c r="B383" s="91"/>
      <c r="C383" s="91"/>
      <c r="D383" s="78"/>
      <c r="E383" s="15"/>
      <c r="F383" s="15"/>
      <c r="G383" s="91"/>
      <c r="H383" s="15"/>
      <c r="I383" s="15"/>
    </row>
    <row r="384">
      <c r="A384" s="91"/>
      <c r="B384" s="91"/>
      <c r="C384" s="91"/>
      <c r="D384" s="78"/>
      <c r="E384" s="15"/>
      <c r="F384" s="15"/>
      <c r="G384" s="91"/>
      <c r="H384" s="15"/>
      <c r="I384" s="15"/>
    </row>
    <row r="385">
      <c r="A385" s="91"/>
      <c r="B385" s="91"/>
      <c r="C385" s="91"/>
      <c r="D385" s="78"/>
      <c r="E385" s="15"/>
      <c r="F385" s="15"/>
      <c r="G385" s="91"/>
      <c r="H385" s="15"/>
      <c r="I385" s="15"/>
    </row>
    <row r="386">
      <c r="A386" s="91"/>
      <c r="B386" s="91"/>
      <c r="C386" s="91"/>
      <c r="D386" s="78"/>
      <c r="E386" s="15"/>
      <c r="F386" s="15"/>
      <c r="G386" s="91"/>
      <c r="H386" s="15"/>
      <c r="I386" s="15"/>
    </row>
    <row r="387">
      <c r="A387" s="91"/>
      <c r="B387" s="91"/>
      <c r="C387" s="91"/>
      <c r="D387" s="78"/>
      <c r="E387" s="15"/>
      <c r="F387" s="15"/>
      <c r="G387" s="91"/>
      <c r="H387" s="15"/>
      <c r="I387" s="15"/>
    </row>
    <row r="388">
      <c r="A388" s="91"/>
      <c r="B388" s="91"/>
      <c r="C388" s="91"/>
      <c r="D388" s="78"/>
      <c r="E388" s="15"/>
      <c r="F388" s="15"/>
      <c r="G388" s="91"/>
      <c r="H388" s="15"/>
      <c r="I388" s="15"/>
    </row>
    <row r="389">
      <c r="A389" s="91"/>
      <c r="B389" s="91"/>
      <c r="C389" s="91"/>
      <c r="D389" s="78"/>
      <c r="E389" s="15"/>
      <c r="F389" s="15"/>
      <c r="G389" s="91"/>
      <c r="H389" s="15"/>
      <c r="I389" s="15"/>
    </row>
    <row r="390">
      <c r="A390" s="91"/>
      <c r="B390" s="91"/>
      <c r="C390" s="91"/>
      <c r="D390" s="78"/>
      <c r="E390" s="15"/>
      <c r="F390" s="15"/>
      <c r="G390" s="91"/>
      <c r="H390" s="15"/>
      <c r="I390" s="15"/>
    </row>
    <row r="391">
      <c r="A391" s="91"/>
      <c r="B391" s="91"/>
      <c r="C391" s="91"/>
      <c r="D391" s="78"/>
      <c r="E391" s="15"/>
      <c r="F391" s="15"/>
      <c r="G391" s="91"/>
      <c r="H391" s="15"/>
      <c r="I391" s="15"/>
    </row>
    <row r="392">
      <c r="A392" s="91"/>
      <c r="B392" s="91"/>
      <c r="C392" s="91"/>
      <c r="D392" s="78"/>
      <c r="E392" s="15"/>
      <c r="F392" s="15"/>
      <c r="G392" s="91"/>
      <c r="H392" s="15"/>
      <c r="I392" s="15"/>
    </row>
    <row r="393">
      <c r="A393" s="91"/>
      <c r="B393" s="91"/>
      <c r="C393" s="91"/>
      <c r="D393" s="78"/>
      <c r="E393" s="15"/>
      <c r="F393" s="15"/>
      <c r="G393" s="91"/>
      <c r="H393" s="15"/>
      <c r="I393" s="15"/>
    </row>
    <row r="394">
      <c r="A394" s="91"/>
      <c r="B394" s="91"/>
      <c r="C394" s="91"/>
      <c r="D394" s="78"/>
      <c r="E394" s="15"/>
      <c r="F394" s="15"/>
      <c r="G394" s="91"/>
      <c r="H394" s="15"/>
      <c r="I394" s="15"/>
    </row>
    <row r="395">
      <c r="A395" s="91"/>
      <c r="B395" s="91"/>
      <c r="C395" s="91"/>
      <c r="D395" s="78"/>
      <c r="E395" s="15"/>
      <c r="F395" s="15"/>
      <c r="G395" s="91"/>
      <c r="H395" s="15"/>
      <c r="I395" s="15"/>
    </row>
    <row r="396">
      <c r="A396" s="91"/>
      <c r="B396" s="91"/>
      <c r="C396" s="91"/>
      <c r="D396" s="78"/>
      <c r="E396" s="15"/>
      <c r="F396" s="15"/>
      <c r="G396" s="91"/>
      <c r="H396" s="15"/>
      <c r="I396" s="15"/>
    </row>
    <row r="397">
      <c r="A397" s="91"/>
      <c r="B397" s="91"/>
      <c r="C397" s="91"/>
      <c r="D397" s="78"/>
      <c r="E397" s="15"/>
      <c r="F397" s="15"/>
      <c r="G397" s="91"/>
      <c r="H397" s="15"/>
      <c r="I397" s="15"/>
    </row>
    <row r="398">
      <c r="A398" s="91"/>
      <c r="B398" s="91"/>
      <c r="C398" s="91"/>
      <c r="D398" s="78"/>
      <c r="E398" s="15"/>
      <c r="F398" s="15"/>
      <c r="G398" s="91"/>
      <c r="H398" s="15"/>
      <c r="I398" s="15"/>
    </row>
    <row r="399">
      <c r="A399" s="91"/>
      <c r="B399" s="91"/>
      <c r="C399" s="91"/>
      <c r="D399" s="78"/>
      <c r="E399" s="15"/>
      <c r="F399" s="15"/>
      <c r="G399" s="91"/>
      <c r="H399" s="15"/>
      <c r="I399" s="15"/>
    </row>
    <row r="400">
      <c r="A400" s="91"/>
      <c r="B400" s="91"/>
      <c r="C400" s="91"/>
      <c r="D400" s="78"/>
      <c r="E400" s="15"/>
      <c r="F400" s="15"/>
      <c r="G400" s="91"/>
      <c r="H400" s="15"/>
      <c r="I400" s="15"/>
    </row>
    <row r="401">
      <c r="A401" s="91"/>
      <c r="B401" s="91"/>
      <c r="C401" s="91"/>
      <c r="D401" s="78"/>
      <c r="E401" s="15"/>
      <c r="F401" s="15"/>
      <c r="G401" s="91"/>
      <c r="H401" s="15"/>
      <c r="I401" s="15"/>
    </row>
    <row r="402">
      <c r="A402" s="91"/>
      <c r="B402" s="91"/>
      <c r="C402" s="91"/>
      <c r="D402" s="78"/>
      <c r="E402" s="15"/>
      <c r="F402" s="15"/>
      <c r="G402" s="91"/>
      <c r="H402" s="15"/>
      <c r="I402" s="15"/>
    </row>
    <row r="403">
      <c r="A403" s="91"/>
      <c r="B403" s="91"/>
      <c r="C403" s="91"/>
      <c r="D403" s="78"/>
      <c r="E403" s="15"/>
      <c r="F403" s="15"/>
      <c r="G403" s="91"/>
      <c r="H403" s="15"/>
      <c r="I403" s="15"/>
    </row>
    <row r="404">
      <c r="A404" s="91"/>
      <c r="B404" s="91"/>
      <c r="C404" s="91"/>
      <c r="D404" s="78"/>
      <c r="E404" s="15"/>
      <c r="F404" s="15"/>
      <c r="G404" s="91"/>
      <c r="H404" s="15"/>
      <c r="I404" s="15"/>
    </row>
    <row r="405">
      <c r="A405" s="91"/>
      <c r="B405" s="91"/>
      <c r="C405" s="91"/>
      <c r="D405" s="78"/>
      <c r="E405" s="15"/>
      <c r="F405" s="15"/>
      <c r="G405" s="91"/>
      <c r="H405" s="15"/>
      <c r="I405" s="15"/>
    </row>
    <row r="406">
      <c r="A406" s="91"/>
      <c r="B406" s="91"/>
      <c r="C406" s="91"/>
      <c r="D406" s="78"/>
      <c r="E406" s="15"/>
      <c r="F406" s="15"/>
      <c r="G406" s="91"/>
      <c r="H406" s="15"/>
      <c r="I406" s="15"/>
    </row>
    <row r="407">
      <c r="A407" s="91"/>
      <c r="B407" s="91"/>
      <c r="C407" s="91"/>
      <c r="D407" s="78"/>
      <c r="E407" s="15"/>
      <c r="F407" s="15"/>
      <c r="G407" s="91"/>
      <c r="H407" s="15"/>
      <c r="I407" s="15"/>
    </row>
    <row r="408">
      <c r="A408" s="91"/>
      <c r="B408" s="91"/>
      <c r="C408" s="91"/>
      <c r="D408" s="78"/>
      <c r="E408" s="15"/>
      <c r="F408" s="15"/>
      <c r="G408" s="91"/>
      <c r="H408" s="15"/>
      <c r="I408" s="15"/>
    </row>
    <row r="409">
      <c r="A409" s="91"/>
      <c r="B409" s="91"/>
      <c r="C409" s="91"/>
      <c r="D409" s="78"/>
      <c r="E409" s="15"/>
      <c r="F409" s="15"/>
      <c r="G409" s="91"/>
      <c r="H409" s="15"/>
      <c r="I409" s="15"/>
    </row>
    <row r="410">
      <c r="A410" s="91"/>
      <c r="B410" s="91"/>
      <c r="C410" s="91"/>
      <c r="D410" s="78"/>
      <c r="E410" s="15"/>
      <c r="F410" s="15"/>
      <c r="G410" s="91"/>
      <c r="H410" s="15"/>
      <c r="I410" s="15"/>
    </row>
    <row r="411">
      <c r="A411" s="91"/>
      <c r="B411" s="91"/>
      <c r="C411" s="91"/>
      <c r="D411" s="78"/>
      <c r="E411" s="15"/>
      <c r="F411" s="15"/>
      <c r="G411" s="91"/>
      <c r="H411" s="15"/>
      <c r="I411" s="15"/>
    </row>
    <row r="412">
      <c r="A412" s="91"/>
      <c r="B412" s="91"/>
      <c r="C412" s="91"/>
      <c r="D412" s="78"/>
      <c r="E412" s="15"/>
      <c r="F412" s="15"/>
      <c r="G412" s="91"/>
      <c r="H412" s="15"/>
      <c r="I412" s="15"/>
    </row>
    <row r="413">
      <c r="A413" s="91"/>
      <c r="B413" s="91"/>
      <c r="C413" s="91"/>
      <c r="D413" s="78"/>
      <c r="E413" s="15"/>
      <c r="F413" s="15"/>
      <c r="G413" s="91"/>
      <c r="H413" s="15"/>
      <c r="I413" s="15"/>
    </row>
    <row r="414">
      <c r="A414" s="91"/>
      <c r="B414" s="91"/>
      <c r="C414" s="91"/>
      <c r="D414" s="78"/>
      <c r="E414" s="15"/>
      <c r="F414" s="15"/>
      <c r="G414" s="91"/>
      <c r="H414" s="15"/>
      <c r="I414" s="15"/>
    </row>
    <row r="415">
      <c r="A415" s="91"/>
      <c r="B415" s="91"/>
      <c r="C415" s="91"/>
      <c r="D415" s="78"/>
      <c r="E415" s="15"/>
      <c r="F415" s="15"/>
      <c r="G415" s="91"/>
      <c r="H415" s="15"/>
      <c r="I415" s="15"/>
    </row>
    <row r="416">
      <c r="A416" s="91"/>
      <c r="B416" s="91"/>
      <c r="C416" s="91"/>
      <c r="D416" s="78"/>
      <c r="E416" s="15"/>
      <c r="F416" s="15"/>
      <c r="G416" s="91"/>
      <c r="H416" s="15"/>
      <c r="I416" s="15"/>
    </row>
    <row r="417">
      <c r="A417" s="91"/>
      <c r="B417" s="91"/>
      <c r="C417" s="91"/>
      <c r="D417" s="78"/>
      <c r="E417" s="15"/>
      <c r="F417" s="15"/>
      <c r="G417" s="91"/>
      <c r="H417" s="15"/>
      <c r="I417" s="15"/>
    </row>
    <row r="418">
      <c r="A418" s="91"/>
      <c r="B418" s="91"/>
      <c r="C418" s="91"/>
      <c r="D418" s="78"/>
      <c r="E418" s="15"/>
      <c r="F418" s="15"/>
      <c r="G418" s="91"/>
      <c r="H418" s="15"/>
      <c r="I418" s="15"/>
    </row>
    <row r="419">
      <c r="A419" s="91"/>
      <c r="B419" s="91"/>
      <c r="C419" s="91"/>
      <c r="D419" s="78"/>
      <c r="E419" s="15"/>
      <c r="F419" s="15"/>
      <c r="G419" s="91"/>
      <c r="H419" s="15"/>
      <c r="I419" s="15"/>
    </row>
    <row r="420">
      <c r="A420" s="91"/>
      <c r="B420" s="91"/>
      <c r="C420" s="91"/>
      <c r="D420" s="78"/>
      <c r="E420" s="15"/>
      <c r="F420" s="15"/>
      <c r="G420" s="91"/>
      <c r="H420" s="15"/>
      <c r="I420" s="15"/>
    </row>
    <row r="421">
      <c r="A421" s="91"/>
      <c r="B421" s="91"/>
      <c r="C421" s="91"/>
      <c r="D421" s="78"/>
      <c r="E421" s="15"/>
      <c r="F421" s="15"/>
      <c r="G421" s="91"/>
      <c r="H421" s="15"/>
      <c r="I421" s="15"/>
    </row>
    <row r="422">
      <c r="A422" s="91"/>
      <c r="B422" s="91"/>
      <c r="C422" s="91"/>
      <c r="D422" s="78"/>
      <c r="E422" s="15"/>
      <c r="F422" s="15"/>
      <c r="G422" s="91"/>
      <c r="H422" s="15"/>
      <c r="I422" s="15"/>
    </row>
    <row r="423">
      <c r="A423" s="91"/>
      <c r="B423" s="91"/>
      <c r="C423" s="91"/>
      <c r="D423" s="78"/>
      <c r="E423" s="15"/>
      <c r="F423" s="15"/>
      <c r="G423" s="91"/>
      <c r="H423" s="15"/>
      <c r="I423" s="15"/>
    </row>
    <row r="424">
      <c r="A424" s="91"/>
      <c r="B424" s="91"/>
      <c r="C424" s="91"/>
      <c r="D424" s="78"/>
      <c r="E424" s="15"/>
      <c r="F424" s="15"/>
      <c r="G424" s="91"/>
      <c r="H424" s="15"/>
      <c r="I424" s="15"/>
    </row>
    <row r="425">
      <c r="A425" s="91"/>
      <c r="B425" s="91"/>
      <c r="C425" s="91"/>
      <c r="D425" s="78"/>
      <c r="E425" s="15"/>
      <c r="F425" s="15"/>
      <c r="G425" s="91"/>
      <c r="H425" s="15"/>
      <c r="I425" s="15"/>
    </row>
    <row r="426">
      <c r="A426" s="91"/>
      <c r="B426" s="91"/>
      <c r="C426" s="91"/>
      <c r="D426" s="78"/>
      <c r="E426" s="15"/>
      <c r="F426" s="15"/>
      <c r="G426" s="91"/>
      <c r="H426" s="15"/>
      <c r="I426" s="15"/>
    </row>
    <row r="427">
      <c r="A427" s="91"/>
      <c r="B427" s="91"/>
      <c r="C427" s="91"/>
      <c r="D427" s="78"/>
      <c r="E427" s="15"/>
      <c r="F427" s="15"/>
      <c r="G427" s="91"/>
      <c r="H427" s="15"/>
      <c r="I427" s="15"/>
    </row>
    <row r="428">
      <c r="A428" s="91"/>
      <c r="B428" s="91"/>
      <c r="C428" s="91"/>
      <c r="D428" s="78"/>
      <c r="E428" s="15"/>
      <c r="F428" s="15"/>
      <c r="G428" s="91"/>
      <c r="H428" s="15"/>
      <c r="I428" s="15"/>
    </row>
    <row r="429">
      <c r="A429" s="91"/>
      <c r="B429" s="91"/>
      <c r="C429" s="91"/>
      <c r="D429" s="78"/>
      <c r="E429" s="15"/>
      <c r="F429" s="15"/>
      <c r="G429" s="91"/>
      <c r="H429" s="15"/>
      <c r="I429" s="15"/>
    </row>
    <row r="430">
      <c r="A430" s="91"/>
      <c r="B430" s="91"/>
      <c r="C430" s="91"/>
      <c r="D430" s="78"/>
      <c r="E430" s="15"/>
      <c r="F430" s="15"/>
      <c r="G430" s="91"/>
      <c r="H430" s="15"/>
      <c r="I430" s="15"/>
    </row>
    <row r="431">
      <c r="A431" s="91"/>
      <c r="B431" s="91"/>
      <c r="C431" s="91"/>
      <c r="D431" s="78"/>
      <c r="E431" s="15"/>
      <c r="F431" s="15"/>
      <c r="G431" s="91"/>
      <c r="H431" s="15"/>
      <c r="I431" s="15"/>
    </row>
    <row r="432">
      <c r="A432" s="91"/>
      <c r="B432" s="91"/>
      <c r="C432" s="91"/>
      <c r="D432" s="78"/>
      <c r="E432" s="15"/>
      <c r="F432" s="15"/>
      <c r="G432" s="91"/>
      <c r="H432" s="15"/>
      <c r="I432" s="15"/>
    </row>
    <row r="433">
      <c r="A433" s="91"/>
      <c r="B433" s="91"/>
      <c r="C433" s="91"/>
      <c r="D433" s="78"/>
      <c r="E433" s="15"/>
      <c r="F433" s="15"/>
      <c r="G433" s="91"/>
      <c r="H433" s="15"/>
      <c r="I433" s="15"/>
    </row>
    <row r="434">
      <c r="A434" s="91"/>
      <c r="B434" s="91"/>
      <c r="C434" s="91"/>
      <c r="D434" s="78"/>
      <c r="E434" s="15"/>
      <c r="F434" s="15"/>
      <c r="G434" s="91"/>
      <c r="H434" s="15"/>
      <c r="I434" s="15"/>
    </row>
    <row r="435">
      <c r="A435" s="91"/>
      <c r="B435" s="91"/>
      <c r="C435" s="91"/>
      <c r="D435" s="78"/>
      <c r="E435" s="15"/>
      <c r="F435" s="15"/>
      <c r="G435" s="91"/>
      <c r="H435" s="15"/>
      <c r="I435" s="15"/>
    </row>
    <row r="436">
      <c r="A436" s="91"/>
      <c r="B436" s="91"/>
      <c r="C436" s="91"/>
      <c r="D436" s="78"/>
      <c r="E436" s="15"/>
      <c r="F436" s="15"/>
      <c r="G436" s="91"/>
      <c r="H436" s="15"/>
      <c r="I436" s="15"/>
    </row>
    <row r="437">
      <c r="A437" s="91"/>
      <c r="B437" s="91"/>
      <c r="C437" s="91"/>
      <c r="D437" s="78"/>
      <c r="E437" s="15"/>
      <c r="F437" s="15"/>
      <c r="G437" s="91"/>
      <c r="H437" s="15"/>
      <c r="I437" s="15"/>
    </row>
    <row r="438">
      <c r="A438" s="91"/>
      <c r="B438" s="91"/>
      <c r="C438" s="91"/>
      <c r="D438" s="78"/>
      <c r="E438" s="15"/>
      <c r="F438" s="15"/>
      <c r="G438" s="91"/>
      <c r="H438" s="15"/>
      <c r="I438" s="15"/>
    </row>
    <row r="439">
      <c r="A439" s="91"/>
      <c r="B439" s="91"/>
      <c r="C439" s="91"/>
      <c r="D439" s="78"/>
      <c r="E439" s="15"/>
      <c r="F439" s="15"/>
      <c r="G439" s="91"/>
      <c r="H439" s="15"/>
      <c r="I439" s="15"/>
    </row>
    <row r="440">
      <c r="A440" s="91"/>
      <c r="B440" s="91"/>
      <c r="C440" s="91"/>
      <c r="D440" s="78"/>
      <c r="E440" s="15"/>
      <c r="F440" s="15"/>
      <c r="G440" s="91"/>
      <c r="H440" s="15"/>
      <c r="I440" s="15"/>
    </row>
    <row r="441">
      <c r="A441" s="91"/>
      <c r="B441" s="91"/>
      <c r="C441" s="91"/>
      <c r="D441" s="78"/>
      <c r="E441" s="15"/>
      <c r="F441" s="15"/>
      <c r="G441" s="91"/>
      <c r="H441" s="15"/>
      <c r="I441" s="15"/>
    </row>
    <row r="442">
      <c r="A442" s="91"/>
      <c r="B442" s="91"/>
      <c r="C442" s="91"/>
      <c r="D442" s="78"/>
      <c r="E442" s="15"/>
      <c r="F442" s="15"/>
      <c r="G442" s="91"/>
      <c r="H442" s="15"/>
      <c r="I442" s="15"/>
    </row>
    <row r="443">
      <c r="A443" s="91"/>
      <c r="B443" s="91"/>
      <c r="C443" s="91"/>
      <c r="D443" s="78"/>
      <c r="E443" s="15"/>
      <c r="F443" s="15"/>
      <c r="G443" s="91"/>
      <c r="H443" s="15"/>
      <c r="I443" s="15"/>
    </row>
    <row r="444">
      <c r="A444" s="91"/>
      <c r="B444" s="91"/>
      <c r="C444" s="91"/>
      <c r="D444" s="78"/>
      <c r="E444" s="15"/>
      <c r="F444" s="15"/>
      <c r="G444" s="91"/>
      <c r="H444" s="15"/>
      <c r="I444" s="15"/>
    </row>
    <row r="445">
      <c r="A445" s="91"/>
      <c r="B445" s="91"/>
      <c r="C445" s="91"/>
      <c r="D445" s="78"/>
      <c r="E445" s="15"/>
      <c r="F445" s="15"/>
      <c r="G445" s="91"/>
      <c r="H445" s="15"/>
      <c r="I445" s="15"/>
    </row>
    <row r="446">
      <c r="A446" s="91"/>
      <c r="B446" s="91"/>
      <c r="C446" s="91"/>
      <c r="D446" s="78"/>
      <c r="E446" s="15"/>
      <c r="F446" s="15"/>
      <c r="G446" s="91"/>
      <c r="H446" s="15"/>
      <c r="I446" s="15"/>
    </row>
    <row r="447">
      <c r="A447" s="91"/>
      <c r="B447" s="91"/>
      <c r="C447" s="91"/>
      <c r="D447" s="78"/>
      <c r="E447" s="15"/>
      <c r="F447" s="15"/>
      <c r="G447" s="91"/>
      <c r="H447" s="15"/>
      <c r="I447" s="15"/>
    </row>
    <row r="448">
      <c r="A448" s="91"/>
      <c r="B448" s="91"/>
      <c r="C448" s="91"/>
      <c r="D448" s="78"/>
      <c r="E448" s="15"/>
      <c r="F448" s="15"/>
      <c r="G448" s="91"/>
      <c r="H448" s="15"/>
      <c r="I448" s="15"/>
    </row>
    <row r="449">
      <c r="A449" s="91"/>
      <c r="B449" s="91"/>
      <c r="C449" s="91"/>
      <c r="D449" s="78"/>
      <c r="E449" s="15"/>
      <c r="F449" s="15"/>
      <c r="G449" s="91"/>
      <c r="H449" s="15"/>
      <c r="I449" s="15"/>
    </row>
    <row r="450">
      <c r="A450" s="91"/>
      <c r="B450" s="91"/>
      <c r="C450" s="91"/>
      <c r="D450" s="78"/>
      <c r="E450" s="15"/>
      <c r="F450" s="15"/>
      <c r="G450" s="91"/>
      <c r="H450" s="15"/>
      <c r="I450" s="15"/>
    </row>
    <row r="451">
      <c r="A451" s="91"/>
      <c r="B451" s="91"/>
      <c r="C451" s="91"/>
      <c r="D451" s="78"/>
      <c r="E451" s="15"/>
      <c r="F451" s="15"/>
      <c r="G451" s="91"/>
      <c r="H451" s="15"/>
      <c r="I451" s="15"/>
    </row>
    <row r="452">
      <c r="A452" s="91"/>
      <c r="B452" s="91"/>
      <c r="C452" s="91"/>
      <c r="D452" s="78"/>
      <c r="E452" s="15"/>
      <c r="F452" s="15"/>
      <c r="G452" s="91"/>
      <c r="H452" s="15"/>
      <c r="I452" s="15"/>
    </row>
    <row r="453">
      <c r="A453" s="91"/>
      <c r="B453" s="91"/>
      <c r="C453" s="91"/>
      <c r="D453" s="78"/>
      <c r="E453" s="15"/>
      <c r="F453" s="15"/>
      <c r="G453" s="91"/>
      <c r="H453" s="15"/>
      <c r="I453" s="15"/>
    </row>
    <row r="454">
      <c r="A454" s="91"/>
      <c r="B454" s="91"/>
      <c r="C454" s="91"/>
      <c r="D454" s="78"/>
      <c r="E454" s="15"/>
      <c r="F454" s="15"/>
      <c r="G454" s="91"/>
      <c r="H454" s="15"/>
      <c r="I454" s="15"/>
    </row>
    <row r="455">
      <c r="A455" s="91"/>
      <c r="B455" s="91"/>
      <c r="C455" s="91"/>
      <c r="D455" s="78"/>
      <c r="E455" s="15"/>
      <c r="F455" s="15"/>
      <c r="G455" s="91"/>
      <c r="H455" s="15"/>
      <c r="I455" s="15"/>
    </row>
    <row r="456">
      <c r="A456" s="91"/>
      <c r="B456" s="91"/>
      <c r="C456" s="91"/>
      <c r="D456" s="78"/>
      <c r="E456" s="15"/>
      <c r="F456" s="15"/>
      <c r="G456" s="91"/>
      <c r="H456" s="15"/>
      <c r="I456" s="15"/>
    </row>
    <row r="457">
      <c r="A457" s="91"/>
      <c r="B457" s="91"/>
      <c r="C457" s="91"/>
      <c r="D457" s="78"/>
      <c r="E457" s="15"/>
      <c r="F457" s="15"/>
      <c r="G457" s="91"/>
      <c r="H457" s="15"/>
      <c r="I457" s="15"/>
    </row>
    <row r="458">
      <c r="A458" s="91"/>
      <c r="B458" s="91"/>
      <c r="C458" s="91"/>
      <c r="D458" s="78"/>
      <c r="E458" s="15"/>
      <c r="F458" s="15"/>
      <c r="G458" s="91"/>
      <c r="H458" s="15"/>
      <c r="I458" s="15"/>
    </row>
    <row r="459">
      <c r="A459" s="91"/>
      <c r="B459" s="91"/>
      <c r="C459" s="91"/>
      <c r="D459" s="78"/>
      <c r="E459" s="15"/>
      <c r="F459" s="15"/>
      <c r="G459" s="91"/>
      <c r="H459" s="15"/>
      <c r="I459" s="15"/>
    </row>
    <row r="460">
      <c r="A460" s="91"/>
      <c r="B460" s="91"/>
      <c r="C460" s="91"/>
      <c r="D460" s="78"/>
      <c r="E460" s="15"/>
      <c r="F460" s="15"/>
      <c r="G460" s="91"/>
      <c r="H460" s="15"/>
      <c r="I460" s="15"/>
    </row>
    <row r="461">
      <c r="A461" s="91"/>
      <c r="B461" s="91"/>
      <c r="C461" s="91"/>
      <c r="D461" s="78"/>
      <c r="E461" s="15"/>
      <c r="F461" s="15"/>
      <c r="G461" s="91"/>
      <c r="H461" s="15"/>
      <c r="I461" s="15"/>
    </row>
    <row r="462">
      <c r="A462" s="91"/>
      <c r="B462" s="91"/>
      <c r="C462" s="91"/>
      <c r="D462" s="78"/>
      <c r="E462" s="15"/>
      <c r="F462" s="15"/>
      <c r="G462" s="91"/>
      <c r="H462" s="15"/>
      <c r="I462" s="15"/>
    </row>
    <row r="463">
      <c r="A463" s="91"/>
      <c r="B463" s="91"/>
      <c r="C463" s="91"/>
      <c r="D463" s="78"/>
      <c r="E463" s="15"/>
      <c r="F463" s="15"/>
      <c r="G463" s="91"/>
      <c r="H463" s="15"/>
      <c r="I463" s="15"/>
    </row>
    <row r="464">
      <c r="A464" s="91"/>
      <c r="B464" s="91"/>
      <c r="C464" s="91"/>
      <c r="D464" s="78"/>
      <c r="E464" s="15"/>
      <c r="F464" s="15"/>
      <c r="G464" s="91"/>
      <c r="H464" s="15"/>
      <c r="I464" s="15"/>
    </row>
    <row r="465">
      <c r="A465" s="91"/>
      <c r="B465" s="91"/>
      <c r="C465" s="91"/>
      <c r="D465" s="78"/>
      <c r="E465" s="15"/>
      <c r="F465" s="15"/>
      <c r="G465" s="91"/>
      <c r="H465" s="15"/>
      <c r="I465" s="15"/>
    </row>
    <row r="466">
      <c r="A466" s="91"/>
      <c r="B466" s="91"/>
      <c r="C466" s="91"/>
      <c r="D466" s="78"/>
      <c r="E466" s="15"/>
      <c r="F466" s="15"/>
      <c r="G466" s="91"/>
      <c r="H466" s="15"/>
      <c r="I466" s="15"/>
    </row>
    <row r="467">
      <c r="A467" s="91"/>
      <c r="B467" s="91"/>
      <c r="C467" s="91"/>
      <c r="D467" s="78"/>
      <c r="E467" s="15"/>
      <c r="F467" s="15"/>
      <c r="G467" s="91"/>
      <c r="H467" s="15"/>
      <c r="I467" s="15"/>
    </row>
    <row r="468">
      <c r="A468" s="91"/>
      <c r="B468" s="91"/>
      <c r="C468" s="91"/>
      <c r="D468" s="78"/>
      <c r="E468" s="15"/>
      <c r="F468" s="15"/>
      <c r="G468" s="91"/>
      <c r="H468" s="15"/>
      <c r="I468" s="15"/>
    </row>
    <row r="469">
      <c r="A469" s="91"/>
      <c r="B469" s="91"/>
      <c r="C469" s="91"/>
      <c r="D469" s="78"/>
      <c r="E469" s="15"/>
      <c r="F469" s="15"/>
      <c r="G469" s="91"/>
      <c r="H469" s="15"/>
      <c r="I469" s="15"/>
    </row>
    <row r="470">
      <c r="A470" s="91"/>
      <c r="B470" s="91"/>
      <c r="C470" s="91"/>
      <c r="D470" s="78"/>
      <c r="E470" s="15"/>
      <c r="F470" s="15"/>
      <c r="G470" s="91"/>
      <c r="H470" s="15"/>
      <c r="I470" s="15"/>
    </row>
    <row r="471">
      <c r="A471" s="91"/>
      <c r="B471" s="91"/>
      <c r="C471" s="91"/>
      <c r="D471" s="78"/>
      <c r="E471" s="15"/>
      <c r="F471" s="15"/>
      <c r="G471" s="91"/>
      <c r="H471" s="15"/>
      <c r="I471" s="15"/>
    </row>
    <row r="472">
      <c r="A472" s="91"/>
      <c r="B472" s="91"/>
      <c r="C472" s="91"/>
      <c r="D472" s="78"/>
      <c r="E472" s="15"/>
      <c r="F472" s="15"/>
      <c r="G472" s="91"/>
      <c r="H472" s="15"/>
      <c r="I472" s="15"/>
    </row>
    <row r="473">
      <c r="A473" s="91"/>
      <c r="B473" s="91"/>
      <c r="C473" s="91"/>
      <c r="D473" s="78"/>
      <c r="E473" s="15"/>
      <c r="F473" s="15"/>
      <c r="G473" s="91"/>
      <c r="H473" s="15"/>
      <c r="I473" s="15"/>
    </row>
    <row r="474">
      <c r="A474" s="91"/>
      <c r="B474" s="91"/>
      <c r="C474" s="91"/>
      <c r="D474" s="78"/>
      <c r="E474" s="15"/>
      <c r="F474" s="15"/>
      <c r="G474" s="91"/>
      <c r="H474" s="15"/>
      <c r="I474" s="15"/>
    </row>
    <row r="475">
      <c r="A475" s="91"/>
      <c r="B475" s="91"/>
      <c r="C475" s="91"/>
      <c r="D475" s="78"/>
      <c r="E475" s="15"/>
      <c r="F475" s="15"/>
      <c r="G475" s="91"/>
      <c r="H475" s="15"/>
      <c r="I475" s="15"/>
    </row>
    <row r="476">
      <c r="A476" s="91"/>
      <c r="B476" s="91"/>
      <c r="C476" s="91"/>
      <c r="D476" s="78"/>
      <c r="E476" s="15"/>
      <c r="F476" s="15"/>
      <c r="G476" s="91"/>
      <c r="H476" s="15"/>
      <c r="I476" s="15"/>
    </row>
    <row r="477">
      <c r="A477" s="91"/>
      <c r="B477" s="91"/>
      <c r="C477" s="91"/>
      <c r="D477" s="78"/>
      <c r="E477" s="15"/>
      <c r="F477" s="15"/>
      <c r="G477" s="91"/>
      <c r="H477" s="15"/>
      <c r="I477" s="15"/>
    </row>
    <row r="478">
      <c r="A478" s="91"/>
      <c r="B478" s="91"/>
      <c r="C478" s="91"/>
      <c r="D478" s="78"/>
      <c r="E478" s="15"/>
      <c r="F478" s="15"/>
      <c r="G478" s="91"/>
      <c r="H478" s="15"/>
      <c r="I478" s="15"/>
    </row>
    <row r="479">
      <c r="A479" s="91"/>
      <c r="B479" s="91"/>
      <c r="C479" s="91"/>
      <c r="D479" s="78"/>
      <c r="E479" s="15"/>
      <c r="F479" s="15"/>
      <c r="G479" s="91"/>
      <c r="H479" s="15"/>
      <c r="I479" s="15"/>
    </row>
    <row r="480">
      <c r="A480" s="91"/>
      <c r="B480" s="91"/>
      <c r="C480" s="91"/>
      <c r="D480" s="78"/>
      <c r="E480" s="15"/>
      <c r="F480" s="15"/>
      <c r="G480" s="91"/>
      <c r="H480" s="15"/>
      <c r="I480" s="15"/>
    </row>
    <row r="481">
      <c r="A481" s="91"/>
      <c r="B481" s="91"/>
      <c r="C481" s="91"/>
      <c r="D481" s="78"/>
      <c r="E481" s="15"/>
      <c r="F481" s="15"/>
      <c r="G481" s="91"/>
      <c r="H481" s="15"/>
      <c r="I481" s="15"/>
    </row>
    <row r="482">
      <c r="A482" s="91"/>
      <c r="B482" s="91"/>
      <c r="C482" s="91"/>
      <c r="D482" s="78"/>
      <c r="E482" s="15"/>
      <c r="F482" s="15"/>
      <c r="G482" s="91"/>
      <c r="H482" s="15"/>
      <c r="I482" s="15"/>
    </row>
    <row r="483">
      <c r="A483" s="91"/>
      <c r="B483" s="91"/>
      <c r="C483" s="91"/>
      <c r="D483" s="78"/>
      <c r="E483" s="15"/>
      <c r="F483" s="15"/>
      <c r="G483" s="91"/>
      <c r="H483" s="15"/>
      <c r="I483" s="15"/>
    </row>
    <row r="484">
      <c r="A484" s="91"/>
      <c r="B484" s="91"/>
      <c r="C484" s="91"/>
      <c r="D484" s="78"/>
      <c r="E484" s="15"/>
      <c r="F484" s="15"/>
      <c r="G484" s="91"/>
      <c r="H484" s="15"/>
      <c r="I484" s="15"/>
    </row>
    <row r="485">
      <c r="A485" s="91"/>
      <c r="B485" s="91"/>
      <c r="C485" s="91"/>
      <c r="D485" s="78"/>
      <c r="E485" s="15"/>
      <c r="F485" s="15"/>
      <c r="G485" s="91"/>
      <c r="H485" s="15"/>
      <c r="I485" s="15"/>
    </row>
    <row r="486">
      <c r="A486" s="91"/>
      <c r="B486" s="91"/>
      <c r="C486" s="91"/>
      <c r="D486" s="78"/>
      <c r="E486" s="15"/>
      <c r="F486" s="15"/>
      <c r="G486" s="91"/>
      <c r="H486" s="15"/>
      <c r="I486" s="15"/>
    </row>
    <row r="487">
      <c r="A487" s="91"/>
      <c r="B487" s="91"/>
      <c r="C487" s="91"/>
      <c r="D487" s="78"/>
      <c r="E487" s="15"/>
      <c r="F487" s="15"/>
      <c r="G487" s="91"/>
      <c r="H487" s="15"/>
      <c r="I487" s="15"/>
    </row>
    <row r="488">
      <c r="A488" s="91"/>
      <c r="B488" s="91"/>
      <c r="C488" s="91"/>
      <c r="D488" s="78"/>
      <c r="E488" s="15"/>
      <c r="F488" s="15"/>
      <c r="G488" s="91"/>
      <c r="H488" s="15"/>
      <c r="I488" s="15"/>
    </row>
    <row r="489">
      <c r="A489" s="91"/>
      <c r="B489" s="91"/>
      <c r="C489" s="91"/>
      <c r="D489" s="78"/>
      <c r="E489" s="15"/>
      <c r="F489" s="15"/>
      <c r="G489" s="91"/>
      <c r="H489" s="15"/>
      <c r="I489" s="15"/>
    </row>
    <row r="490">
      <c r="A490" s="91"/>
      <c r="B490" s="91"/>
      <c r="C490" s="91"/>
      <c r="D490" s="78"/>
      <c r="E490" s="15"/>
      <c r="F490" s="15"/>
      <c r="G490" s="91"/>
      <c r="H490" s="15"/>
      <c r="I490" s="15"/>
    </row>
    <row r="491">
      <c r="A491" s="91"/>
      <c r="B491" s="91"/>
      <c r="C491" s="91"/>
      <c r="D491" s="78"/>
      <c r="E491" s="15"/>
      <c r="F491" s="15"/>
      <c r="G491" s="91"/>
      <c r="H491" s="15"/>
      <c r="I491" s="15"/>
    </row>
    <row r="492">
      <c r="A492" s="91"/>
      <c r="B492" s="91"/>
      <c r="C492" s="91"/>
      <c r="D492" s="78"/>
      <c r="E492" s="15"/>
      <c r="F492" s="15"/>
      <c r="G492" s="91"/>
      <c r="H492" s="15"/>
      <c r="I492" s="15"/>
    </row>
    <row r="493">
      <c r="A493" s="91"/>
      <c r="B493" s="91"/>
      <c r="C493" s="91"/>
      <c r="D493" s="78"/>
      <c r="E493" s="15"/>
      <c r="F493" s="15"/>
      <c r="G493" s="91"/>
      <c r="H493" s="15"/>
      <c r="I493" s="15"/>
    </row>
    <row r="494">
      <c r="A494" s="91"/>
      <c r="B494" s="91"/>
      <c r="C494" s="91"/>
      <c r="D494" s="78"/>
      <c r="E494" s="15"/>
      <c r="F494" s="15"/>
      <c r="G494" s="91"/>
      <c r="H494" s="15"/>
      <c r="I494" s="15"/>
    </row>
    <row r="495">
      <c r="A495" s="91"/>
      <c r="B495" s="91"/>
      <c r="C495" s="91"/>
      <c r="D495" s="78"/>
      <c r="E495" s="15"/>
      <c r="F495" s="15"/>
      <c r="G495" s="91"/>
      <c r="H495" s="15"/>
      <c r="I495" s="15"/>
    </row>
    <row r="496">
      <c r="A496" s="91"/>
      <c r="B496" s="91"/>
      <c r="C496" s="91"/>
      <c r="D496" s="78"/>
      <c r="E496" s="15"/>
      <c r="F496" s="15"/>
      <c r="G496" s="91"/>
      <c r="H496" s="15"/>
      <c r="I496" s="15"/>
    </row>
    <row r="497">
      <c r="A497" s="91"/>
      <c r="B497" s="91"/>
      <c r="C497" s="91"/>
      <c r="D497" s="78"/>
      <c r="E497" s="15"/>
      <c r="F497" s="15"/>
      <c r="G497" s="91"/>
      <c r="H497" s="15"/>
      <c r="I497" s="15"/>
    </row>
    <row r="498">
      <c r="A498" s="91"/>
      <c r="B498" s="91"/>
      <c r="C498" s="91"/>
      <c r="D498" s="78"/>
      <c r="E498" s="15"/>
      <c r="F498" s="15"/>
      <c r="G498" s="91"/>
      <c r="H498" s="15"/>
      <c r="I498" s="15"/>
    </row>
    <row r="499">
      <c r="A499" s="91"/>
      <c r="B499" s="91"/>
      <c r="C499" s="91"/>
      <c r="D499" s="78"/>
      <c r="E499" s="15"/>
      <c r="F499" s="15"/>
      <c r="G499" s="91"/>
      <c r="H499" s="15"/>
      <c r="I499" s="15"/>
    </row>
    <row r="500">
      <c r="A500" s="91"/>
      <c r="B500" s="91"/>
      <c r="C500" s="91"/>
      <c r="D500" s="78"/>
      <c r="E500" s="15"/>
      <c r="F500" s="15"/>
      <c r="G500" s="91"/>
      <c r="H500" s="15"/>
      <c r="I500" s="15"/>
    </row>
    <row r="501">
      <c r="A501" s="91"/>
      <c r="B501" s="91"/>
      <c r="C501" s="91"/>
      <c r="D501" s="78"/>
      <c r="E501" s="15"/>
      <c r="F501" s="15"/>
      <c r="G501" s="91"/>
      <c r="H501" s="15"/>
      <c r="I501" s="15"/>
    </row>
    <row r="502">
      <c r="A502" s="91"/>
      <c r="B502" s="91"/>
      <c r="C502" s="91"/>
      <c r="D502" s="78"/>
      <c r="E502" s="15"/>
      <c r="F502" s="15"/>
      <c r="G502" s="91"/>
      <c r="H502" s="15"/>
      <c r="I502" s="15"/>
    </row>
    <row r="503">
      <c r="A503" s="91"/>
      <c r="B503" s="91"/>
      <c r="C503" s="91"/>
      <c r="D503" s="78"/>
      <c r="E503" s="15"/>
      <c r="F503" s="15"/>
      <c r="G503" s="91"/>
      <c r="H503" s="15"/>
      <c r="I503" s="15"/>
    </row>
    <row r="504">
      <c r="A504" s="91"/>
      <c r="B504" s="91"/>
      <c r="C504" s="91"/>
      <c r="D504" s="78"/>
      <c r="E504" s="15"/>
      <c r="F504" s="15"/>
      <c r="G504" s="91"/>
      <c r="H504" s="15"/>
      <c r="I504" s="15"/>
    </row>
    <row r="505">
      <c r="A505" s="91"/>
      <c r="B505" s="91"/>
      <c r="C505" s="91"/>
      <c r="D505" s="78"/>
      <c r="E505" s="15"/>
      <c r="F505" s="15"/>
      <c r="G505" s="91"/>
      <c r="H505" s="15"/>
      <c r="I505" s="15"/>
    </row>
    <row r="506">
      <c r="A506" s="91"/>
      <c r="B506" s="91"/>
      <c r="C506" s="91"/>
      <c r="D506" s="78"/>
      <c r="E506" s="15"/>
      <c r="F506" s="15"/>
      <c r="G506" s="91"/>
      <c r="H506" s="15"/>
      <c r="I506" s="15"/>
    </row>
    <row r="507">
      <c r="A507" s="91"/>
      <c r="B507" s="91"/>
      <c r="C507" s="91"/>
      <c r="D507" s="78"/>
      <c r="E507" s="15"/>
      <c r="F507" s="15"/>
      <c r="G507" s="91"/>
      <c r="H507" s="15"/>
      <c r="I507" s="15"/>
    </row>
    <row r="508">
      <c r="A508" s="91"/>
      <c r="B508" s="91"/>
      <c r="C508" s="91"/>
      <c r="D508" s="78"/>
      <c r="E508" s="15"/>
      <c r="F508" s="15"/>
      <c r="G508" s="91"/>
      <c r="H508" s="15"/>
      <c r="I508" s="15"/>
    </row>
    <row r="509">
      <c r="A509" s="91"/>
      <c r="B509" s="91"/>
      <c r="C509" s="91"/>
      <c r="D509" s="78"/>
      <c r="E509" s="15"/>
      <c r="F509" s="15"/>
      <c r="G509" s="91"/>
      <c r="H509" s="15"/>
      <c r="I509" s="15"/>
    </row>
    <row r="510">
      <c r="A510" s="91"/>
      <c r="B510" s="91"/>
      <c r="C510" s="91"/>
      <c r="D510" s="78"/>
      <c r="E510" s="15"/>
      <c r="F510" s="15"/>
      <c r="G510" s="91"/>
      <c r="H510" s="15"/>
      <c r="I510" s="15"/>
    </row>
    <row r="511">
      <c r="A511" s="91"/>
      <c r="B511" s="91"/>
      <c r="C511" s="91"/>
      <c r="D511" s="78"/>
      <c r="E511" s="15"/>
      <c r="F511" s="15"/>
      <c r="G511" s="91"/>
      <c r="H511" s="15"/>
      <c r="I511" s="15"/>
    </row>
    <row r="512">
      <c r="A512" s="91"/>
      <c r="B512" s="91"/>
      <c r="C512" s="91"/>
      <c r="D512" s="78"/>
      <c r="E512" s="15"/>
      <c r="F512" s="15"/>
      <c r="G512" s="91"/>
      <c r="H512" s="15"/>
      <c r="I512" s="15"/>
    </row>
    <row r="513">
      <c r="A513" s="91"/>
      <c r="B513" s="91"/>
      <c r="C513" s="91"/>
      <c r="D513" s="78"/>
      <c r="E513" s="15"/>
      <c r="F513" s="15"/>
      <c r="G513" s="91"/>
      <c r="H513" s="15"/>
      <c r="I513" s="15"/>
    </row>
    <row r="514">
      <c r="A514" s="91"/>
      <c r="B514" s="91"/>
      <c r="C514" s="91"/>
      <c r="D514" s="78"/>
      <c r="E514" s="15"/>
      <c r="F514" s="15"/>
      <c r="G514" s="91"/>
      <c r="H514" s="15"/>
      <c r="I514" s="15"/>
    </row>
    <row r="515">
      <c r="A515" s="91"/>
      <c r="B515" s="91"/>
      <c r="C515" s="91"/>
      <c r="D515" s="78"/>
      <c r="E515" s="15"/>
      <c r="F515" s="15"/>
      <c r="G515" s="91"/>
      <c r="H515" s="15"/>
      <c r="I515" s="15"/>
    </row>
    <row r="516">
      <c r="A516" s="91"/>
      <c r="B516" s="91"/>
      <c r="C516" s="91"/>
      <c r="D516" s="78"/>
      <c r="E516" s="15"/>
      <c r="F516" s="15"/>
      <c r="G516" s="91"/>
      <c r="H516" s="15"/>
      <c r="I516" s="15"/>
    </row>
    <row r="517">
      <c r="A517" s="91"/>
      <c r="B517" s="91"/>
      <c r="C517" s="91"/>
      <c r="D517" s="78"/>
      <c r="E517" s="15"/>
      <c r="F517" s="15"/>
      <c r="G517" s="91"/>
      <c r="H517" s="15"/>
      <c r="I517" s="15"/>
    </row>
    <row r="518">
      <c r="A518" s="91"/>
      <c r="B518" s="91"/>
      <c r="C518" s="91"/>
      <c r="D518" s="78"/>
      <c r="E518" s="15"/>
      <c r="F518" s="15"/>
      <c r="G518" s="91"/>
      <c r="H518" s="15"/>
      <c r="I518" s="15"/>
    </row>
    <row r="519">
      <c r="A519" s="91"/>
      <c r="B519" s="91"/>
      <c r="C519" s="91"/>
      <c r="D519" s="78"/>
      <c r="E519" s="15"/>
      <c r="F519" s="15"/>
      <c r="G519" s="91"/>
      <c r="H519" s="15"/>
      <c r="I519" s="15"/>
    </row>
    <row r="520">
      <c r="A520" s="91"/>
      <c r="B520" s="91"/>
      <c r="C520" s="91"/>
      <c r="D520" s="78"/>
      <c r="E520" s="15"/>
      <c r="F520" s="15"/>
      <c r="G520" s="91"/>
      <c r="H520" s="15"/>
      <c r="I520" s="15"/>
    </row>
    <row r="521">
      <c r="A521" s="91"/>
      <c r="B521" s="91"/>
      <c r="C521" s="91"/>
      <c r="D521" s="78"/>
      <c r="E521" s="15"/>
      <c r="F521" s="15"/>
      <c r="G521" s="91"/>
      <c r="H521" s="15"/>
      <c r="I521" s="15"/>
    </row>
    <row r="522">
      <c r="A522" s="91"/>
      <c r="B522" s="91"/>
      <c r="C522" s="91"/>
      <c r="D522" s="78"/>
      <c r="E522" s="15"/>
      <c r="F522" s="15"/>
      <c r="G522" s="91"/>
      <c r="H522" s="15"/>
      <c r="I522" s="15"/>
    </row>
    <row r="523">
      <c r="A523" s="91"/>
      <c r="B523" s="91"/>
      <c r="C523" s="91"/>
      <c r="D523" s="78"/>
      <c r="E523" s="15"/>
      <c r="F523" s="15"/>
      <c r="G523" s="91"/>
      <c r="H523" s="15"/>
      <c r="I523" s="15"/>
    </row>
    <row r="524">
      <c r="A524" s="91"/>
      <c r="B524" s="91"/>
      <c r="C524" s="91"/>
      <c r="D524" s="78"/>
      <c r="E524" s="15"/>
      <c r="F524" s="15"/>
      <c r="G524" s="91"/>
      <c r="H524" s="15"/>
      <c r="I524" s="15"/>
    </row>
    <row r="525">
      <c r="A525" s="91"/>
      <c r="B525" s="91"/>
      <c r="C525" s="91"/>
      <c r="D525" s="78"/>
      <c r="E525" s="15"/>
      <c r="F525" s="15"/>
      <c r="G525" s="91"/>
      <c r="H525" s="15"/>
      <c r="I525" s="15"/>
    </row>
    <row r="526">
      <c r="A526" s="91"/>
      <c r="B526" s="91"/>
      <c r="C526" s="91"/>
      <c r="D526" s="78"/>
      <c r="E526" s="15"/>
      <c r="F526" s="15"/>
      <c r="G526" s="91"/>
      <c r="H526" s="15"/>
      <c r="I526" s="15"/>
    </row>
    <row r="527">
      <c r="A527" s="91"/>
      <c r="B527" s="91"/>
      <c r="C527" s="91"/>
      <c r="D527" s="78"/>
      <c r="E527" s="15"/>
      <c r="F527" s="15"/>
      <c r="G527" s="91"/>
      <c r="H527" s="15"/>
      <c r="I527" s="15"/>
    </row>
    <row r="528">
      <c r="A528" s="91"/>
      <c r="B528" s="91"/>
      <c r="C528" s="91"/>
      <c r="D528" s="78"/>
      <c r="E528" s="15"/>
      <c r="F528" s="15"/>
      <c r="G528" s="91"/>
      <c r="H528" s="15"/>
      <c r="I528" s="15"/>
    </row>
    <row r="529">
      <c r="A529" s="91"/>
      <c r="B529" s="91"/>
      <c r="C529" s="91"/>
      <c r="D529" s="78"/>
      <c r="E529" s="15"/>
      <c r="F529" s="15"/>
      <c r="G529" s="91"/>
      <c r="H529" s="15"/>
      <c r="I529" s="15"/>
    </row>
    <row r="530">
      <c r="A530" s="91"/>
      <c r="B530" s="91"/>
      <c r="C530" s="91"/>
      <c r="D530" s="78"/>
      <c r="E530" s="15"/>
      <c r="F530" s="15"/>
      <c r="G530" s="91"/>
      <c r="H530" s="15"/>
      <c r="I530" s="15"/>
    </row>
    <row r="531">
      <c r="A531" s="91"/>
      <c r="B531" s="91"/>
      <c r="C531" s="91"/>
      <c r="D531" s="78"/>
      <c r="E531" s="15"/>
      <c r="F531" s="15"/>
      <c r="G531" s="91"/>
      <c r="H531" s="15"/>
      <c r="I531" s="15"/>
    </row>
    <row r="532">
      <c r="A532" s="91"/>
      <c r="B532" s="91"/>
      <c r="C532" s="91"/>
      <c r="D532" s="78"/>
      <c r="E532" s="15"/>
      <c r="F532" s="15"/>
      <c r="G532" s="91"/>
      <c r="H532" s="15"/>
      <c r="I532" s="15"/>
    </row>
    <row r="533">
      <c r="A533" s="91"/>
      <c r="B533" s="91"/>
      <c r="C533" s="91"/>
      <c r="D533" s="78"/>
      <c r="E533" s="15"/>
      <c r="F533" s="15"/>
      <c r="G533" s="91"/>
      <c r="H533" s="15"/>
      <c r="I533" s="15"/>
    </row>
    <row r="534">
      <c r="A534" s="91"/>
      <c r="B534" s="91"/>
      <c r="C534" s="91"/>
      <c r="D534" s="78"/>
      <c r="E534" s="15"/>
      <c r="F534" s="15"/>
      <c r="G534" s="91"/>
      <c r="H534" s="15"/>
      <c r="I534" s="15"/>
    </row>
    <row r="535">
      <c r="A535" s="91"/>
      <c r="B535" s="91"/>
      <c r="C535" s="91"/>
      <c r="D535" s="78"/>
      <c r="E535" s="15"/>
      <c r="F535" s="15"/>
      <c r="G535" s="91"/>
      <c r="H535" s="15"/>
      <c r="I535" s="15"/>
    </row>
    <row r="536">
      <c r="A536" s="91"/>
      <c r="B536" s="91"/>
      <c r="C536" s="91"/>
      <c r="D536" s="78"/>
      <c r="E536" s="15"/>
      <c r="F536" s="15"/>
      <c r="G536" s="91"/>
      <c r="H536" s="15"/>
      <c r="I536" s="15"/>
    </row>
    <row r="537">
      <c r="A537" s="91"/>
      <c r="B537" s="91"/>
      <c r="C537" s="91"/>
      <c r="D537" s="78"/>
      <c r="E537" s="15"/>
      <c r="F537" s="15"/>
      <c r="G537" s="91"/>
      <c r="H537" s="15"/>
      <c r="I537" s="15"/>
    </row>
    <row r="538">
      <c r="A538" s="91"/>
      <c r="B538" s="91"/>
      <c r="C538" s="91"/>
      <c r="D538" s="78"/>
      <c r="E538" s="15"/>
      <c r="F538" s="15"/>
      <c r="G538" s="91"/>
      <c r="H538" s="15"/>
      <c r="I538" s="15"/>
    </row>
    <row r="539">
      <c r="A539" s="91"/>
      <c r="B539" s="91"/>
      <c r="C539" s="91"/>
      <c r="D539" s="78"/>
      <c r="E539" s="15"/>
      <c r="F539" s="15"/>
      <c r="G539" s="91"/>
      <c r="H539" s="15"/>
      <c r="I539" s="15"/>
    </row>
    <row r="540">
      <c r="A540" s="91"/>
      <c r="B540" s="91"/>
      <c r="C540" s="91"/>
      <c r="D540" s="78"/>
      <c r="E540" s="15"/>
      <c r="F540" s="15"/>
      <c r="G540" s="91"/>
      <c r="H540" s="15"/>
      <c r="I540" s="15"/>
    </row>
    <row r="541">
      <c r="A541" s="91"/>
      <c r="B541" s="91"/>
      <c r="C541" s="91"/>
      <c r="D541" s="78"/>
      <c r="E541" s="15"/>
      <c r="F541" s="15"/>
      <c r="G541" s="91"/>
      <c r="H541" s="15"/>
      <c r="I541" s="15"/>
    </row>
    <row r="542">
      <c r="A542" s="91"/>
      <c r="B542" s="91"/>
      <c r="C542" s="91"/>
      <c r="D542" s="78"/>
      <c r="E542" s="15"/>
      <c r="F542" s="15"/>
      <c r="G542" s="91"/>
      <c r="H542" s="15"/>
      <c r="I542" s="15"/>
    </row>
    <row r="543">
      <c r="A543" s="91"/>
      <c r="B543" s="91"/>
      <c r="C543" s="91"/>
      <c r="D543" s="78"/>
      <c r="E543" s="15"/>
      <c r="F543" s="15"/>
      <c r="G543" s="91"/>
      <c r="H543" s="15"/>
      <c r="I543" s="15"/>
    </row>
    <row r="544">
      <c r="A544" s="91"/>
      <c r="B544" s="91"/>
      <c r="C544" s="91"/>
      <c r="D544" s="78"/>
      <c r="E544" s="15"/>
      <c r="F544" s="15"/>
      <c r="G544" s="91"/>
      <c r="H544" s="15"/>
      <c r="I544" s="15"/>
    </row>
    <row r="545">
      <c r="A545" s="91"/>
      <c r="B545" s="91"/>
      <c r="C545" s="91"/>
      <c r="D545" s="78"/>
      <c r="E545" s="15"/>
      <c r="F545" s="15"/>
      <c r="G545" s="91"/>
      <c r="H545" s="15"/>
      <c r="I545" s="15"/>
    </row>
    <row r="546">
      <c r="A546" s="91"/>
      <c r="B546" s="91"/>
      <c r="C546" s="91"/>
      <c r="D546" s="78"/>
      <c r="E546" s="15"/>
      <c r="F546" s="15"/>
      <c r="G546" s="91"/>
      <c r="H546" s="15"/>
      <c r="I546" s="15"/>
    </row>
    <row r="547">
      <c r="A547" s="91"/>
      <c r="B547" s="91"/>
      <c r="C547" s="91"/>
      <c r="D547" s="78"/>
      <c r="E547" s="15"/>
      <c r="F547" s="15"/>
      <c r="G547" s="91"/>
      <c r="H547" s="15"/>
      <c r="I547" s="15"/>
    </row>
    <row r="548">
      <c r="A548" s="91"/>
      <c r="B548" s="91"/>
      <c r="C548" s="91"/>
      <c r="D548" s="78"/>
      <c r="E548" s="15"/>
      <c r="F548" s="15"/>
      <c r="G548" s="91"/>
      <c r="H548" s="15"/>
      <c r="I548" s="15"/>
    </row>
    <row r="549">
      <c r="A549" s="91"/>
      <c r="B549" s="91"/>
      <c r="C549" s="91"/>
      <c r="D549" s="78"/>
      <c r="E549" s="15"/>
      <c r="F549" s="15"/>
      <c r="G549" s="91"/>
      <c r="H549" s="15"/>
      <c r="I549" s="15"/>
    </row>
    <row r="550">
      <c r="A550" s="91"/>
      <c r="B550" s="91"/>
      <c r="C550" s="91"/>
      <c r="D550" s="78"/>
      <c r="E550" s="15"/>
      <c r="F550" s="15"/>
      <c r="G550" s="91"/>
      <c r="H550" s="15"/>
      <c r="I550" s="15"/>
    </row>
    <row r="551">
      <c r="A551" s="91"/>
      <c r="B551" s="91"/>
      <c r="C551" s="91"/>
      <c r="D551" s="78"/>
      <c r="E551" s="15"/>
      <c r="F551" s="15"/>
      <c r="G551" s="91"/>
      <c r="H551" s="15"/>
      <c r="I551" s="15"/>
    </row>
    <row r="552">
      <c r="A552" s="91"/>
      <c r="B552" s="91"/>
      <c r="C552" s="91"/>
      <c r="D552" s="78"/>
      <c r="E552" s="15"/>
      <c r="F552" s="15"/>
      <c r="G552" s="91"/>
      <c r="H552" s="15"/>
      <c r="I552" s="15"/>
    </row>
    <row r="553">
      <c r="A553" s="91"/>
      <c r="B553" s="91"/>
      <c r="C553" s="91"/>
      <c r="D553" s="78"/>
      <c r="E553" s="15"/>
      <c r="F553" s="15"/>
      <c r="G553" s="91"/>
      <c r="H553" s="15"/>
      <c r="I553" s="15"/>
    </row>
    <row r="554">
      <c r="A554" s="91"/>
      <c r="B554" s="91"/>
      <c r="C554" s="91"/>
      <c r="D554" s="78"/>
      <c r="E554" s="15"/>
      <c r="F554" s="15"/>
      <c r="G554" s="91"/>
      <c r="H554" s="15"/>
      <c r="I554" s="15"/>
    </row>
    <row r="555">
      <c r="A555" s="91"/>
      <c r="B555" s="91"/>
      <c r="C555" s="91"/>
      <c r="D555" s="78"/>
      <c r="E555" s="15"/>
      <c r="F555" s="15"/>
      <c r="G555" s="91"/>
      <c r="H555" s="15"/>
      <c r="I555" s="15"/>
    </row>
    <row r="556">
      <c r="A556" s="91"/>
      <c r="B556" s="91"/>
      <c r="C556" s="91"/>
      <c r="D556" s="78"/>
      <c r="E556" s="15"/>
      <c r="F556" s="15"/>
      <c r="G556" s="91"/>
      <c r="H556" s="15"/>
      <c r="I556" s="15"/>
    </row>
    <row r="557">
      <c r="A557" s="91"/>
      <c r="B557" s="91"/>
      <c r="C557" s="91"/>
      <c r="D557" s="78"/>
      <c r="E557" s="15"/>
      <c r="F557" s="15"/>
      <c r="G557" s="91"/>
      <c r="H557" s="15"/>
      <c r="I557" s="15"/>
    </row>
    <row r="558">
      <c r="A558" s="91"/>
      <c r="B558" s="91"/>
      <c r="C558" s="91"/>
      <c r="D558" s="78"/>
      <c r="E558" s="15"/>
      <c r="F558" s="15"/>
      <c r="G558" s="91"/>
      <c r="H558" s="15"/>
      <c r="I558" s="15"/>
    </row>
    <row r="559">
      <c r="A559" s="91"/>
      <c r="B559" s="91"/>
      <c r="C559" s="91"/>
      <c r="D559" s="78"/>
      <c r="E559" s="15"/>
      <c r="F559" s="15"/>
      <c r="G559" s="91"/>
      <c r="H559" s="15"/>
      <c r="I559" s="15"/>
    </row>
    <row r="560">
      <c r="A560" s="91"/>
      <c r="B560" s="91"/>
      <c r="C560" s="91"/>
      <c r="D560" s="78"/>
      <c r="E560" s="15"/>
      <c r="F560" s="15"/>
      <c r="G560" s="91"/>
      <c r="H560" s="15"/>
      <c r="I560" s="15"/>
    </row>
    <row r="561">
      <c r="A561" s="91"/>
      <c r="B561" s="91"/>
      <c r="C561" s="91"/>
      <c r="D561" s="78"/>
      <c r="E561" s="15"/>
      <c r="F561" s="15"/>
      <c r="G561" s="91"/>
      <c r="H561" s="15"/>
      <c r="I561" s="15"/>
    </row>
    <row r="562">
      <c r="A562" s="91"/>
      <c r="B562" s="91"/>
      <c r="C562" s="91"/>
      <c r="D562" s="78"/>
      <c r="E562" s="15"/>
      <c r="F562" s="15"/>
      <c r="G562" s="91"/>
      <c r="H562" s="15"/>
      <c r="I562" s="15"/>
    </row>
    <row r="563">
      <c r="A563" s="91"/>
      <c r="B563" s="91"/>
      <c r="C563" s="91"/>
      <c r="D563" s="78"/>
      <c r="E563" s="15"/>
      <c r="F563" s="15"/>
      <c r="G563" s="91"/>
      <c r="H563" s="15"/>
      <c r="I563" s="15"/>
    </row>
    <row r="564">
      <c r="A564" s="91"/>
      <c r="B564" s="91"/>
      <c r="C564" s="91"/>
      <c r="D564" s="78"/>
      <c r="E564" s="15"/>
      <c r="F564" s="15"/>
      <c r="G564" s="91"/>
      <c r="H564" s="15"/>
      <c r="I564" s="15"/>
    </row>
    <row r="565">
      <c r="A565" s="91"/>
      <c r="B565" s="91"/>
      <c r="C565" s="91"/>
      <c r="D565" s="78"/>
      <c r="E565" s="15"/>
      <c r="F565" s="15"/>
      <c r="G565" s="91"/>
      <c r="H565" s="15"/>
      <c r="I565" s="15"/>
    </row>
    <row r="566">
      <c r="A566" s="91"/>
      <c r="B566" s="91"/>
      <c r="C566" s="91"/>
      <c r="D566" s="78"/>
      <c r="E566" s="15"/>
      <c r="F566" s="15"/>
      <c r="G566" s="91"/>
      <c r="H566" s="15"/>
      <c r="I566" s="15"/>
    </row>
    <row r="567">
      <c r="A567" s="91"/>
      <c r="B567" s="91"/>
      <c r="C567" s="91"/>
      <c r="D567" s="78"/>
      <c r="E567" s="15"/>
      <c r="F567" s="15"/>
      <c r="G567" s="91"/>
      <c r="H567" s="15"/>
      <c r="I567" s="15"/>
    </row>
    <row r="568">
      <c r="A568" s="91"/>
      <c r="B568" s="91"/>
      <c r="C568" s="91"/>
      <c r="D568" s="78"/>
      <c r="E568" s="15"/>
      <c r="F568" s="15"/>
      <c r="G568" s="91"/>
      <c r="H568" s="15"/>
      <c r="I568" s="15"/>
    </row>
    <row r="569">
      <c r="A569" s="91"/>
      <c r="B569" s="91"/>
      <c r="C569" s="91"/>
      <c r="D569" s="78"/>
      <c r="E569" s="15"/>
      <c r="F569" s="15"/>
      <c r="G569" s="91"/>
      <c r="H569" s="15"/>
      <c r="I569" s="15"/>
    </row>
    <row r="570">
      <c r="A570" s="91"/>
      <c r="B570" s="91"/>
      <c r="C570" s="91"/>
      <c r="D570" s="78"/>
      <c r="E570" s="15"/>
      <c r="F570" s="15"/>
      <c r="G570" s="91"/>
      <c r="H570" s="15"/>
      <c r="I570" s="15"/>
    </row>
    <row r="571">
      <c r="A571" s="91"/>
      <c r="B571" s="91"/>
      <c r="C571" s="91"/>
      <c r="D571" s="78"/>
      <c r="E571" s="15"/>
      <c r="F571" s="15"/>
      <c r="G571" s="91"/>
      <c r="H571" s="15"/>
      <c r="I571" s="15"/>
    </row>
    <row r="572">
      <c r="A572" s="91"/>
      <c r="B572" s="91"/>
      <c r="C572" s="91"/>
      <c r="D572" s="78"/>
      <c r="E572" s="15"/>
      <c r="F572" s="15"/>
      <c r="G572" s="91"/>
      <c r="H572" s="15"/>
      <c r="I572" s="15"/>
    </row>
    <row r="573">
      <c r="A573" s="91"/>
      <c r="B573" s="91"/>
      <c r="C573" s="91"/>
      <c r="D573" s="78"/>
      <c r="E573" s="15"/>
      <c r="F573" s="15"/>
      <c r="G573" s="91"/>
      <c r="H573" s="15"/>
      <c r="I573" s="15"/>
    </row>
    <row r="574">
      <c r="A574" s="91"/>
      <c r="B574" s="91"/>
      <c r="C574" s="91"/>
      <c r="D574" s="78"/>
      <c r="E574" s="15"/>
      <c r="F574" s="15"/>
      <c r="G574" s="91"/>
      <c r="H574" s="15"/>
      <c r="I574" s="15"/>
    </row>
    <row r="575">
      <c r="A575" s="91"/>
      <c r="B575" s="91"/>
      <c r="C575" s="91"/>
      <c r="D575" s="78"/>
      <c r="E575" s="15"/>
      <c r="F575" s="15"/>
      <c r="G575" s="91"/>
      <c r="H575" s="15"/>
      <c r="I575" s="15"/>
    </row>
    <row r="576">
      <c r="A576" s="91"/>
      <c r="B576" s="91"/>
      <c r="C576" s="91"/>
      <c r="D576" s="78"/>
      <c r="E576" s="15"/>
      <c r="F576" s="15"/>
      <c r="G576" s="91"/>
      <c r="H576" s="15"/>
      <c r="I576" s="15"/>
    </row>
    <row r="577">
      <c r="A577" s="91"/>
      <c r="B577" s="91"/>
      <c r="C577" s="91"/>
      <c r="D577" s="78"/>
      <c r="E577" s="15"/>
      <c r="F577" s="15"/>
      <c r="G577" s="91"/>
      <c r="H577" s="15"/>
      <c r="I577" s="15"/>
    </row>
    <row r="578">
      <c r="A578" s="91"/>
      <c r="B578" s="91"/>
      <c r="C578" s="91"/>
      <c r="D578" s="78"/>
      <c r="E578" s="15"/>
      <c r="F578" s="15"/>
      <c r="G578" s="91"/>
      <c r="H578" s="15"/>
      <c r="I578" s="15"/>
    </row>
    <row r="579">
      <c r="A579" s="91"/>
      <c r="B579" s="91"/>
      <c r="C579" s="91"/>
      <c r="D579" s="78"/>
      <c r="E579" s="15"/>
      <c r="F579" s="15"/>
      <c r="G579" s="91"/>
      <c r="H579" s="15"/>
      <c r="I579" s="15"/>
    </row>
    <row r="580">
      <c r="A580" s="91"/>
      <c r="B580" s="91"/>
      <c r="C580" s="91"/>
      <c r="D580" s="78"/>
      <c r="E580" s="15"/>
      <c r="F580" s="15"/>
      <c r="G580" s="91"/>
      <c r="H580" s="15"/>
      <c r="I580" s="15"/>
    </row>
    <row r="581">
      <c r="A581" s="91"/>
      <c r="B581" s="91"/>
      <c r="C581" s="91"/>
      <c r="D581" s="78"/>
      <c r="E581" s="15"/>
      <c r="F581" s="15"/>
      <c r="G581" s="91"/>
      <c r="H581" s="15"/>
      <c r="I581" s="15"/>
    </row>
    <row r="582">
      <c r="A582" s="91"/>
      <c r="B582" s="91"/>
      <c r="C582" s="91"/>
      <c r="D582" s="78"/>
      <c r="E582" s="15"/>
      <c r="F582" s="15"/>
      <c r="G582" s="91"/>
      <c r="H582" s="15"/>
      <c r="I582" s="15"/>
    </row>
    <row r="583">
      <c r="A583" s="91"/>
      <c r="B583" s="91"/>
      <c r="C583" s="91"/>
      <c r="D583" s="78"/>
      <c r="E583" s="15"/>
      <c r="F583" s="15"/>
      <c r="G583" s="91"/>
      <c r="H583" s="15"/>
      <c r="I583" s="15"/>
    </row>
    <row r="584">
      <c r="A584" s="91"/>
      <c r="B584" s="91"/>
      <c r="C584" s="91"/>
      <c r="D584" s="78"/>
      <c r="E584" s="15"/>
      <c r="F584" s="15"/>
      <c r="G584" s="91"/>
      <c r="H584" s="15"/>
      <c r="I584" s="15"/>
    </row>
    <row r="585">
      <c r="A585" s="91"/>
      <c r="B585" s="91"/>
      <c r="C585" s="91"/>
      <c r="D585" s="78"/>
      <c r="E585" s="15"/>
      <c r="F585" s="15"/>
      <c r="G585" s="91"/>
      <c r="H585" s="15"/>
      <c r="I585" s="15"/>
    </row>
    <row r="586">
      <c r="A586" s="91"/>
      <c r="B586" s="91"/>
      <c r="C586" s="91"/>
      <c r="D586" s="78"/>
      <c r="E586" s="15"/>
      <c r="F586" s="15"/>
      <c r="G586" s="91"/>
      <c r="H586" s="15"/>
      <c r="I586" s="15"/>
    </row>
    <row r="587">
      <c r="A587" s="91"/>
      <c r="B587" s="91"/>
      <c r="C587" s="91"/>
      <c r="D587" s="78"/>
      <c r="E587" s="15"/>
      <c r="F587" s="15"/>
      <c r="G587" s="91"/>
      <c r="H587" s="15"/>
      <c r="I587" s="15"/>
    </row>
    <row r="588">
      <c r="A588" s="91"/>
      <c r="B588" s="91"/>
      <c r="C588" s="91"/>
      <c r="D588" s="78"/>
      <c r="E588" s="15"/>
      <c r="F588" s="15"/>
      <c r="G588" s="91"/>
      <c r="H588" s="15"/>
      <c r="I588" s="15"/>
    </row>
    <row r="589">
      <c r="A589" s="91"/>
      <c r="B589" s="91"/>
      <c r="C589" s="91"/>
      <c r="D589" s="78"/>
      <c r="E589" s="15"/>
      <c r="F589" s="15"/>
      <c r="G589" s="91"/>
      <c r="H589" s="15"/>
      <c r="I589" s="15"/>
    </row>
    <row r="590">
      <c r="A590" s="91"/>
      <c r="B590" s="91"/>
      <c r="C590" s="91"/>
      <c r="D590" s="78"/>
      <c r="E590" s="15"/>
      <c r="F590" s="15"/>
      <c r="G590" s="91"/>
      <c r="H590" s="15"/>
      <c r="I590" s="15"/>
    </row>
    <row r="591">
      <c r="A591" s="91"/>
      <c r="B591" s="91"/>
      <c r="C591" s="91"/>
      <c r="D591" s="78"/>
      <c r="E591" s="15"/>
      <c r="F591" s="15"/>
      <c r="G591" s="91"/>
      <c r="H591" s="15"/>
      <c r="I591" s="15"/>
    </row>
    <row r="592">
      <c r="A592" s="91"/>
      <c r="B592" s="91"/>
      <c r="C592" s="91"/>
      <c r="D592" s="78"/>
      <c r="E592" s="15"/>
      <c r="F592" s="15"/>
      <c r="G592" s="91"/>
      <c r="H592" s="15"/>
      <c r="I592" s="15"/>
    </row>
    <row r="593">
      <c r="A593" s="91"/>
      <c r="B593" s="91"/>
      <c r="C593" s="91"/>
      <c r="D593" s="78"/>
      <c r="E593" s="15"/>
      <c r="F593" s="15"/>
      <c r="G593" s="91"/>
      <c r="H593" s="15"/>
      <c r="I593" s="15"/>
    </row>
    <row r="594">
      <c r="A594" s="91"/>
      <c r="B594" s="91"/>
      <c r="C594" s="91"/>
      <c r="D594" s="78"/>
      <c r="E594" s="15"/>
      <c r="F594" s="15"/>
      <c r="G594" s="91"/>
      <c r="H594" s="15"/>
      <c r="I594" s="15"/>
    </row>
    <row r="595">
      <c r="A595" s="91"/>
      <c r="B595" s="91"/>
      <c r="C595" s="91"/>
      <c r="D595" s="78"/>
      <c r="E595" s="15"/>
      <c r="F595" s="15"/>
      <c r="G595" s="91"/>
      <c r="H595" s="15"/>
      <c r="I595" s="15"/>
    </row>
    <row r="596">
      <c r="A596" s="91"/>
      <c r="B596" s="91"/>
      <c r="C596" s="91"/>
      <c r="D596" s="78"/>
      <c r="E596" s="15"/>
      <c r="F596" s="15"/>
      <c r="G596" s="91"/>
      <c r="H596" s="15"/>
      <c r="I596" s="15"/>
    </row>
    <row r="597">
      <c r="A597" s="91"/>
      <c r="B597" s="91"/>
      <c r="C597" s="91"/>
      <c r="D597" s="78"/>
      <c r="E597" s="15"/>
      <c r="F597" s="15"/>
      <c r="G597" s="91"/>
      <c r="H597" s="15"/>
      <c r="I597" s="15"/>
    </row>
    <row r="598">
      <c r="A598" s="91"/>
      <c r="B598" s="91"/>
      <c r="C598" s="91"/>
      <c r="D598" s="78"/>
      <c r="E598" s="15"/>
      <c r="F598" s="15"/>
      <c r="G598" s="91"/>
      <c r="H598" s="15"/>
      <c r="I598" s="15"/>
    </row>
    <row r="599">
      <c r="A599" s="91"/>
      <c r="B599" s="91"/>
      <c r="C599" s="91"/>
      <c r="D599" s="78"/>
      <c r="E599" s="15"/>
      <c r="F599" s="15"/>
      <c r="G599" s="91"/>
      <c r="H599" s="15"/>
      <c r="I599" s="15"/>
    </row>
    <row r="600">
      <c r="A600" s="91"/>
      <c r="B600" s="91"/>
      <c r="C600" s="91"/>
      <c r="D600" s="78"/>
      <c r="E600" s="15"/>
      <c r="F600" s="15"/>
      <c r="G600" s="91"/>
      <c r="H600" s="15"/>
      <c r="I600" s="15"/>
    </row>
    <row r="601">
      <c r="A601" s="91"/>
      <c r="B601" s="91"/>
      <c r="C601" s="91"/>
      <c r="D601" s="78"/>
      <c r="E601" s="15"/>
      <c r="F601" s="15"/>
      <c r="G601" s="91"/>
      <c r="H601" s="15"/>
      <c r="I601" s="15"/>
    </row>
    <row r="602">
      <c r="A602" s="91"/>
      <c r="B602" s="91"/>
      <c r="C602" s="91"/>
      <c r="D602" s="78"/>
      <c r="E602" s="15"/>
      <c r="F602" s="15"/>
      <c r="G602" s="91"/>
      <c r="H602" s="15"/>
      <c r="I602" s="15"/>
    </row>
    <row r="603">
      <c r="A603" s="91"/>
      <c r="B603" s="91"/>
      <c r="C603" s="91"/>
      <c r="D603" s="78"/>
      <c r="E603" s="15"/>
      <c r="F603" s="15"/>
      <c r="G603" s="91"/>
      <c r="H603" s="15"/>
      <c r="I603" s="15"/>
    </row>
    <row r="604">
      <c r="A604" s="91"/>
      <c r="B604" s="91"/>
      <c r="C604" s="91"/>
      <c r="D604" s="78"/>
      <c r="E604" s="15"/>
      <c r="F604" s="15"/>
      <c r="G604" s="91"/>
      <c r="H604" s="15"/>
      <c r="I604" s="15"/>
    </row>
    <row r="605">
      <c r="A605" s="91"/>
      <c r="B605" s="91"/>
      <c r="C605" s="91"/>
      <c r="D605" s="78"/>
      <c r="E605" s="15"/>
      <c r="F605" s="15"/>
      <c r="G605" s="91"/>
      <c r="H605" s="15"/>
      <c r="I605" s="15"/>
    </row>
    <row r="606">
      <c r="A606" s="91"/>
      <c r="B606" s="91"/>
      <c r="C606" s="91"/>
      <c r="D606" s="78"/>
      <c r="E606" s="15"/>
      <c r="F606" s="15"/>
      <c r="G606" s="91"/>
      <c r="H606" s="15"/>
      <c r="I606" s="15"/>
    </row>
    <row r="607">
      <c r="A607" s="91"/>
      <c r="B607" s="91"/>
      <c r="C607" s="91"/>
      <c r="D607" s="78"/>
      <c r="E607" s="15"/>
      <c r="F607" s="15"/>
      <c r="G607" s="91"/>
      <c r="H607" s="15"/>
      <c r="I607" s="15"/>
    </row>
    <row r="608">
      <c r="A608" s="91"/>
      <c r="B608" s="91"/>
      <c r="C608" s="91"/>
      <c r="D608" s="78"/>
      <c r="E608" s="15"/>
      <c r="F608" s="15"/>
      <c r="G608" s="91"/>
      <c r="H608" s="15"/>
      <c r="I608" s="15"/>
    </row>
    <row r="609">
      <c r="A609" s="91"/>
      <c r="B609" s="91"/>
      <c r="C609" s="91"/>
      <c r="D609" s="78"/>
      <c r="E609" s="15"/>
      <c r="F609" s="15"/>
      <c r="G609" s="91"/>
      <c r="H609" s="15"/>
      <c r="I609" s="15"/>
    </row>
    <row r="610">
      <c r="A610" s="91"/>
      <c r="B610" s="91"/>
      <c r="C610" s="91"/>
      <c r="D610" s="78"/>
      <c r="E610" s="15"/>
      <c r="F610" s="15"/>
      <c r="G610" s="91"/>
      <c r="H610" s="15"/>
      <c r="I610" s="15"/>
    </row>
    <row r="611">
      <c r="A611" s="91"/>
      <c r="B611" s="91"/>
      <c r="C611" s="91"/>
      <c r="D611" s="78"/>
      <c r="E611" s="15"/>
      <c r="F611" s="15"/>
      <c r="G611" s="91"/>
      <c r="H611" s="15"/>
      <c r="I611" s="15"/>
    </row>
    <row r="612">
      <c r="A612" s="91"/>
      <c r="B612" s="91"/>
      <c r="C612" s="91"/>
      <c r="D612" s="78"/>
      <c r="E612" s="15"/>
      <c r="F612" s="15"/>
      <c r="G612" s="91"/>
      <c r="H612" s="15"/>
      <c r="I612" s="15"/>
    </row>
    <row r="613">
      <c r="A613" s="91"/>
      <c r="B613" s="91"/>
      <c r="C613" s="91"/>
      <c r="D613" s="78"/>
      <c r="E613" s="15"/>
      <c r="F613" s="15"/>
      <c r="G613" s="91"/>
      <c r="H613" s="15"/>
      <c r="I613" s="15"/>
    </row>
    <row r="614">
      <c r="A614" s="91"/>
      <c r="B614" s="91"/>
      <c r="C614" s="91"/>
      <c r="D614" s="78"/>
      <c r="E614" s="15"/>
      <c r="F614" s="15"/>
      <c r="G614" s="91"/>
      <c r="H614" s="15"/>
      <c r="I614" s="15"/>
    </row>
    <row r="615">
      <c r="A615" s="91"/>
      <c r="B615" s="91"/>
      <c r="C615" s="91"/>
      <c r="D615" s="78"/>
      <c r="E615" s="15"/>
      <c r="F615" s="15"/>
      <c r="G615" s="91"/>
      <c r="H615" s="15"/>
      <c r="I615" s="15"/>
    </row>
    <row r="616">
      <c r="A616" s="91"/>
      <c r="B616" s="91"/>
      <c r="C616" s="91"/>
      <c r="D616" s="78"/>
      <c r="E616" s="15"/>
      <c r="F616" s="15"/>
      <c r="G616" s="91"/>
      <c r="H616" s="15"/>
      <c r="I616" s="15"/>
    </row>
    <row r="617">
      <c r="A617" s="91"/>
      <c r="B617" s="91"/>
      <c r="C617" s="91"/>
      <c r="D617" s="78"/>
      <c r="E617" s="15"/>
      <c r="F617" s="15"/>
      <c r="G617" s="91"/>
      <c r="H617" s="15"/>
      <c r="I617" s="15"/>
    </row>
    <row r="618">
      <c r="A618" s="91"/>
      <c r="B618" s="91"/>
      <c r="C618" s="91"/>
      <c r="D618" s="78"/>
      <c r="E618" s="15"/>
      <c r="F618" s="15"/>
      <c r="G618" s="91"/>
      <c r="H618" s="15"/>
      <c r="I618" s="15"/>
    </row>
    <row r="619">
      <c r="A619" s="91"/>
      <c r="B619" s="91"/>
      <c r="C619" s="91"/>
      <c r="D619" s="78"/>
      <c r="E619" s="15"/>
      <c r="F619" s="15"/>
      <c r="G619" s="91"/>
      <c r="H619" s="15"/>
      <c r="I619" s="15"/>
    </row>
    <row r="620">
      <c r="A620" s="91"/>
      <c r="B620" s="91"/>
      <c r="C620" s="91"/>
      <c r="D620" s="78"/>
      <c r="E620" s="15"/>
      <c r="F620" s="15"/>
      <c r="G620" s="91"/>
      <c r="H620" s="15"/>
      <c r="I620" s="15"/>
    </row>
    <row r="621">
      <c r="A621" s="91"/>
      <c r="B621" s="91"/>
      <c r="C621" s="91"/>
      <c r="D621" s="78"/>
      <c r="E621" s="15"/>
      <c r="F621" s="15"/>
      <c r="G621" s="91"/>
      <c r="H621" s="15"/>
      <c r="I621" s="15"/>
    </row>
    <row r="622">
      <c r="A622" s="91"/>
      <c r="B622" s="91"/>
      <c r="C622" s="91"/>
      <c r="D622" s="78"/>
      <c r="E622" s="15"/>
      <c r="F622" s="15"/>
      <c r="G622" s="91"/>
      <c r="H622" s="15"/>
      <c r="I622" s="15"/>
    </row>
    <row r="623">
      <c r="A623" s="91"/>
      <c r="B623" s="91"/>
      <c r="C623" s="91"/>
      <c r="D623" s="78"/>
      <c r="E623" s="15"/>
      <c r="F623" s="15"/>
      <c r="G623" s="91"/>
      <c r="H623" s="15"/>
      <c r="I623" s="15"/>
    </row>
    <row r="624">
      <c r="A624" s="91"/>
      <c r="B624" s="91"/>
      <c r="C624" s="91"/>
      <c r="D624" s="78"/>
      <c r="E624" s="15"/>
      <c r="F624" s="15"/>
      <c r="G624" s="91"/>
      <c r="H624" s="15"/>
      <c r="I624" s="15"/>
    </row>
    <row r="625">
      <c r="A625" s="91"/>
      <c r="B625" s="91"/>
      <c r="C625" s="91"/>
      <c r="D625" s="78"/>
      <c r="E625" s="15"/>
      <c r="F625" s="15"/>
      <c r="G625" s="91"/>
      <c r="H625" s="15"/>
      <c r="I625" s="15"/>
    </row>
    <row r="626">
      <c r="A626" s="91"/>
      <c r="B626" s="91"/>
      <c r="C626" s="91"/>
      <c r="D626" s="78"/>
      <c r="E626" s="15"/>
      <c r="F626" s="15"/>
      <c r="G626" s="91"/>
      <c r="H626" s="15"/>
      <c r="I626" s="15"/>
    </row>
    <row r="627">
      <c r="A627" s="91"/>
      <c r="B627" s="91"/>
      <c r="C627" s="91"/>
      <c r="D627" s="78"/>
      <c r="E627" s="15"/>
      <c r="F627" s="15"/>
      <c r="G627" s="91"/>
      <c r="H627" s="15"/>
      <c r="I627" s="15"/>
    </row>
    <row r="628">
      <c r="A628" s="91"/>
      <c r="B628" s="91"/>
      <c r="C628" s="91"/>
      <c r="D628" s="78"/>
      <c r="E628" s="15"/>
      <c r="F628" s="15"/>
      <c r="G628" s="91"/>
      <c r="H628" s="15"/>
      <c r="I628" s="15"/>
    </row>
    <row r="629">
      <c r="A629" s="91"/>
      <c r="B629" s="91"/>
      <c r="C629" s="91"/>
      <c r="D629" s="78"/>
      <c r="E629" s="15"/>
      <c r="F629" s="15"/>
      <c r="G629" s="91"/>
      <c r="H629" s="15"/>
      <c r="I629" s="15"/>
    </row>
    <row r="630">
      <c r="A630" s="91"/>
      <c r="B630" s="91"/>
      <c r="C630" s="91"/>
      <c r="D630" s="78"/>
      <c r="E630" s="15"/>
      <c r="F630" s="15"/>
      <c r="G630" s="91"/>
      <c r="H630" s="15"/>
      <c r="I630" s="15"/>
    </row>
    <row r="631">
      <c r="A631" s="91"/>
      <c r="B631" s="91"/>
      <c r="C631" s="91"/>
      <c r="D631" s="78"/>
      <c r="E631" s="15"/>
      <c r="F631" s="15"/>
      <c r="G631" s="91"/>
      <c r="H631" s="15"/>
      <c r="I631" s="15"/>
    </row>
    <row r="632">
      <c r="A632" s="91"/>
      <c r="B632" s="91"/>
      <c r="C632" s="91"/>
      <c r="D632" s="78"/>
      <c r="E632" s="15"/>
      <c r="F632" s="15"/>
      <c r="G632" s="91"/>
      <c r="H632" s="15"/>
      <c r="I632" s="15"/>
    </row>
    <row r="633">
      <c r="A633" s="91"/>
      <c r="B633" s="91"/>
      <c r="C633" s="91"/>
      <c r="D633" s="78"/>
      <c r="E633" s="15"/>
      <c r="F633" s="15"/>
      <c r="G633" s="91"/>
      <c r="H633" s="15"/>
      <c r="I633" s="15"/>
    </row>
    <row r="634">
      <c r="A634" s="91"/>
      <c r="B634" s="91"/>
      <c r="C634" s="91"/>
      <c r="D634" s="78"/>
      <c r="E634" s="15"/>
      <c r="F634" s="15"/>
      <c r="G634" s="91"/>
      <c r="H634" s="15"/>
      <c r="I634" s="15"/>
    </row>
    <row r="635">
      <c r="A635" s="91"/>
      <c r="B635" s="91"/>
      <c r="C635" s="91"/>
      <c r="D635" s="78"/>
      <c r="E635" s="15"/>
      <c r="F635" s="15"/>
      <c r="G635" s="91"/>
      <c r="H635" s="15"/>
      <c r="I635" s="15"/>
    </row>
    <row r="636">
      <c r="A636" s="91"/>
      <c r="B636" s="91"/>
      <c r="C636" s="91"/>
      <c r="D636" s="78"/>
      <c r="E636" s="15"/>
      <c r="F636" s="15"/>
      <c r="G636" s="91"/>
      <c r="H636" s="15"/>
      <c r="I636" s="15"/>
    </row>
    <row r="637">
      <c r="A637" s="91"/>
      <c r="B637" s="91"/>
      <c r="C637" s="91"/>
      <c r="D637" s="78"/>
      <c r="E637" s="15"/>
      <c r="F637" s="15"/>
      <c r="G637" s="91"/>
      <c r="H637" s="15"/>
      <c r="I637" s="15"/>
    </row>
    <row r="638">
      <c r="A638" s="91"/>
      <c r="B638" s="91"/>
      <c r="C638" s="91"/>
      <c r="D638" s="78"/>
      <c r="E638" s="15"/>
      <c r="F638" s="15"/>
      <c r="G638" s="91"/>
      <c r="H638" s="15"/>
      <c r="I638" s="15"/>
    </row>
    <row r="639">
      <c r="A639" s="91"/>
      <c r="B639" s="91"/>
      <c r="C639" s="91"/>
      <c r="D639" s="78"/>
      <c r="E639" s="15"/>
      <c r="F639" s="15"/>
      <c r="G639" s="91"/>
      <c r="H639" s="15"/>
      <c r="I639" s="15"/>
    </row>
    <row r="640">
      <c r="A640" s="91"/>
      <c r="B640" s="91"/>
      <c r="C640" s="91"/>
      <c r="D640" s="78"/>
      <c r="E640" s="15"/>
      <c r="F640" s="15"/>
      <c r="G640" s="91"/>
      <c r="H640" s="15"/>
      <c r="I640" s="15"/>
    </row>
    <row r="641">
      <c r="A641" s="91"/>
      <c r="B641" s="91"/>
      <c r="C641" s="91"/>
      <c r="D641" s="78"/>
      <c r="E641" s="15"/>
      <c r="F641" s="15"/>
      <c r="G641" s="91"/>
      <c r="H641" s="15"/>
      <c r="I641" s="15"/>
    </row>
    <row r="642">
      <c r="A642" s="91"/>
      <c r="B642" s="91"/>
      <c r="C642" s="91"/>
      <c r="D642" s="78"/>
      <c r="E642" s="15"/>
      <c r="F642" s="15"/>
      <c r="G642" s="91"/>
      <c r="H642" s="15"/>
      <c r="I642" s="15"/>
    </row>
    <row r="643">
      <c r="A643" s="91"/>
      <c r="B643" s="91"/>
      <c r="C643" s="91"/>
      <c r="D643" s="78"/>
      <c r="E643" s="15"/>
      <c r="F643" s="15"/>
      <c r="G643" s="91"/>
      <c r="H643" s="15"/>
      <c r="I643" s="15"/>
    </row>
    <row r="644">
      <c r="A644" s="91"/>
      <c r="B644" s="91"/>
      <c r="C644" s="91"/>
      <c r="D644" s="78"/>
      <c r="E644" s="15"/>
      <c r="F644" s="15"/>
      <c r="G644" s="91"/>
      <c r="H644" s="15"/>
      <c r="I644" s="15"/>
    </row>
    <row r="645">
      <c r="A645" s="91"/>
      <c r="B645" s="91"/>
      <c r="C645" s="91"/>
      <c r="D645" s="78"/>
      <c r="E645" s="15"/>
      <c r="F645" s="15"/>
      <c r="G645" s="91"/>
      <c r="H645" s="15"/>
      <c r="I645" s="15"/>
    </row>
    <row r="646">
      <c r="A646" s="91"/>
      <c r="B646" s="91"/>
      <c r="C646" s="91"/>
      <c r="D646" s="78"/>
      <c r="E646" s="15"/>
      <c r="F646" s="15"/>
      <c r="G646" s="91"/>
      <c r="H646" s="15"/>
      <c r="I646" s="15"/>
    </row>
    <row r="647">
      <c r="A647" s="91"/>
      <c r="B647" s="91"/>
      <c r="C647" s="91"/>
      <c r="D647" s="78"/>
      <c r="E647" s="15"/>
      <c r="F647" s="15"/>
      <c r="G647" s="91"/>
      <c r="H647" s="15"/>
      <c r="I647" s="15"/>
    </row>
    <row r="648">
      <c r="A648" s="91"/>
      <c r="B648" s="91"/>
      <c r="C648" s="91"/>
      <c r="D648" s="78"/>
      <c r="E648" s="15"/>
      <c r="F648" s="15"/>
      <c r="G648" s="91"/>
      <c r="H648" s="15"/>
      <c r="I648" s="15"/>
    </row>
    <row r="649">
      <c r="A649" s="91"/>
      <c r="B649" s="91"/>
      <c r="C649" s="91"/>
      <c r="D649" s="78"/>
      <c r="E649" s="15"/>
      <c r="F649" s="15"/>
      <c r="G649" s="91"/>
      <c r="H649" s="15"/>
      <c r="I649" s="15"/>
    </row>
    <row r="650">
      <c r="A650" s="91"/>
      <c r="B650" s="91"/>
      <c r="C650" s="91"/>
      <c r="D650" s="78"/>
      <c r="E650" s="15"/>
      <c r="F650" s="15"/>
      <c r="G650" s="91"/>
      <c r="H650" s="15"/>
      <c r="I650" s="15"/>
    </row>
    <row r="651">
      <c r="A651" s="91"/>
      <c r="B651" s="91"/>
      <c r="C651" s="91"/>
      <c r="D651" s="78"/>
      <c r="E651" s="15"/>
      <c r="F651" s="15"/>
      <c r="G651" s="91"/>
      <c r="H651" s="15"/>
      <c r="I651" s="15"/>
    </row>
    <row r="652">
      <c r="A652" s="91"/>
      <c r="B652" s="91"/>
      <c r="C652" s="91"/>
      <c r="D652" s="78"/>
      <c r="E652" s="15"/>
      <c r="F652" s="15"/>
      <c r="G652" s="91"/>
      <c r="H652" s="15"/>
      <c r="I652" s="15"/>
    </row>
    <row r="653">
      <c r="A653" s="91"/>
      <c r="B653" s="91"/>
      <c r="C653" s="91"/>
      <c r="D653" s="78"/>
      <c r="E653" s="15"/>
      <c r="F653" s="15"/>
      <c r="G653" s="91"/>
      <c r="H653" s="15"/>
      <c r="I653" s="15"/>
    </row>
    <row r="654">
      <c r="A654" s="91"/>
      <c r="B654" s="91"/>
      <c r="C654" s="91"/>
      <c r="D654" s="78"/>
      <c r="E654" s="15"/>
      <c r="F654" s="15"/>
      <c r="G654" s="91"/>
      <c r="H654" s="15"/>
      <c r="I654" s="15"/>
    </row>
    <row r="655">
      <c r="A655" s="91"/>
      <c r="B655" s="91"/>
      <c r="C655" s="91"/>
      <c r="D655" s="78"/>
      <c r="E655" s="15"/>
      <c r="F655" s="15"/>
      <c r="G655" s="91"/>
      <c r="H655" s="15"/>
      <c r="I655" s="15"/>
    </row>
    <row r="656">
      <c r="A656" s="91"/>
      <c r="B656" s="91"/>
      <c r="C656" s="91"/>
      <c r="D656" s="78"/>
      <c r="E656" s="15"/>
      <c r="F656" s="15"/>
      <c r="G656" s="91"/>
      <c r="H656" s="15"/>
      <c r="I656" s="15"/>
    </row>
    <row r="657">
      <c r="A657" s="91"/>
      <c r="B657" s="91"/>
      <c r="C657" s="91"/>
      <c r="D657" s="78"/>
      <c r="E657" s="15"/>
      <c r="F657" s="15"/>
      <c r="G657" s="91"/>
      <c r="H657" s="15"/>
      <c r="I657" s="15"/>
    </row>
    <row r="658">
      <c r="A658" s="91"/>
      <c r="B658" s="91"/>
      <c r="C658" s="91"/>
      <c r="D658" s="78"/>
      <c r="E658" s="15"/>
      <c r="F658" s="15"/>
      <c r="G658" s="91"/>
      <c r="H658" s="15"/>
      <c r="I658" s="15"/>
    </row>
    <row r="659">
      <c r="A659" s="91"/>
      <c r="B659" s="91"/>
      <c r="C659" s="91"/>
      <c r="D659" s="78"/>
      <c r="E659" s="15"/>
      <c r="F659" s="15"/>
      <c r="G659" s="91"/>
      <c r="H659" s="15"/>
      <c r="I659" s="15"/>
    </row>
    <row r="660">
      <c r="A660" s="91"/>
      <c r="B660" s="91"/>
      <c r="C660" s="91"/>
      <c r="D660" s="78"/>
      <c r="E660" s="15"/>
      <c r="F660" s="15"/>
      <c r="G660" s="91"/>
      <c r="H660" s="15"/>
      <c r="I660" s="15"/>
    </row>
    <row r="661">
      <c r="A661" s="91"/>
      <c r="B661" s="91"/>
      <c r="C661" s="91"/>
      <c r="D661" s="78"/>
      <c r="E661" s="15"/>
      <c r="F661" s="15"/>
      <c r="G661" s="91"/>
      <c r="H661" s="15"/>
      <c r="I661" s="15"/>
    </row>
    <row r="662">
      <c r="A662" s="91"/>
      <c r="B662" s="91"/>
      <c r="C662" s="91"/>
      <c r="D662" s="78"/>
      <c r="E662" s="15"/>
      <c r="F662" s="15"/>
      <c r="G662" s="91"/>
      <c r="H662" s="15"/>
      <c r="I662" s="15"/>
    </row>
    <row r="663">
      <c r="A663" s="91"/>
      <c r="B663" s="91"/>
      <c r="C663" s="91"/>
      <c r="D663" s="78"/>
      <c r="E663" s="15"/>
      <c r="F663" s="15"/>
      <c r="G663" s="91"/>
      <c r="H663" s="15"/>
      <c r="I663" s="15"/>
    </row>
    <row r="664">
      <c r="A664" s="91"/>
      <c r="B664" s="91"/>
      <c r="C664" s="91"/>
      <c r="D664" s="78"/>
      <c r="E664" s="15"/>
      <c r="F664" s="15"/>
      <c r="G664" s="91"/>
      <c r="H664" s="15"/>
      <c r="I664" s="15"/>
    </row>
    <row r="665">
      <c r="A665" s="91"/>
      <c r="B665" s="91"/>
      <c r="C665" s="91"/>
      <c r="D665" s="78"/>
      <c r="E665" s="15"/>
      <c r="F665" s="15"/>
      <c r="G665" s="91"/>
      <c r="H665" s="15"/>
      <c r="I665" s="15"/>
    </row>
    <row r="666">
      <c r="A666" s="91"/>
      <c r="B666" s="91"/>
      <c r="C666" s="91"/>
      <c r="D666" s="78"/>
      <c r="E666" s="15"/>
      <c r="F666" s="15"/>
      <c r="G666" s="91"/>
      <c r="H666" s="15"/>
      <c r="I666" s="15"/>
    </row>
    <row r="667">
      <c r="A667" s="91"/>
      <c r="B667" s="91"/>
      <c r="C667" s="91"/>
      <c r="D667" s="78"/>
      <c r="E667" s="15"/>
      <c r="F667" s="15"/>
      <c r="G667" s="91"/>
      <c r="H667" s="15"/>
      <c r="I667" s="15"/>
    </row>
    <row r="668">
      <c r="A668" s="91"/>
      <c r="B668" s="91"/>
      <c r="C668" s="91"/>
      <c r="D668" s="78"/>
      <c r="E668" s="15"/>
      <c r="F668" s="15"/>
      <c r="G668" s="91"/>
      <c r="H668" s="15"/>
      <c r="I668" s="15"/>
    </row>
    <row r="669">
      <c r="A669" s="91"/>
      <c r="B669" s="91"/>
      <c r="C669" s="91"/>
      <c r="D669" s="78"/>
      <c r="E669" s="15"/>
      <c r="F669" s="15"/>
      <c r="G669" s="91"/>
      <c r="H669" s="15"/>
      <c r="I669" s="15"/>
    </row>
    <row r="670">
      <c r="A670" s="91"/>
      <c r="B670" s="91"/>
      <c r="C670" s="91"/>
      <c r="D670" s="78"/>
      <c r="E670" s="15"/>
      <c r="F670" s="15"/>
      <c r="G670" s="91"/>
      <c r="H670" s="15"/>
      <c r="I670" s="15"/>
    </row>
    <row r="671">
      <c r="A671" s="91"/>
      <c r="B671" s="91"/>
      <c r="C671" s="91"/>
      <c r="D671" s="78"/>
      <c r="E671" s="15"/>
      <c r="F671" s="15"/>
      <c r="G671" s="91"/>
      <c r="H671" s="15"/>
      <c r="I671" s="15"/>
    </row>
    <row r="672">
      <c r="A672" s="91"/>
      <c r="B672" s="91"/>
      <c r="C672" s="91"/>
      <c r="D672" s="78"/>
      <c r="E672" s="15"/>
      <c r="F672" s="15"/>
      <c r="G672" s="91"/>
      <c r="H672" s="15"/>
      <c r="I672" s="15"/>
    </row>
    <row r="673">
      <c r="A673" s="91"/>
      <c r="B673" s="91"/>
      <c r="C673" s="91"/>
      <c r="D673" s="78"/>
      <c r="E673" s="15"/>
      <c r="F673" s="15"/>
      <c r="G673" s="91"/>
      <c r="H673" s="15"/>
      <c r="I673" s="15"/>
    </row>
    <row r="674">
      <c r="A674" s="91"/>
      <c r="B674" s="91"/>
      <c r="C674" s="91"/>
      <c r="D674" s="78"/>
      <c r="E674" s="15"/>
      <c r="F674" s="15"/>
      <c r="G674" s="91"/>
      <c r="H674" s="15"/>
      <c r="I674" s="15"/>
    </row>
    <row r="675">
      <c r="A675" s="91"/>
      <c r="B675" s="91"/>
      <c r="C675" s="91"/>
      <c r="D675" s="78"/>
      <c r="E675" s="15"/>
      <c r="F675" s="15"/>
      <c r="G675" s="91"/>
      <c r="H675" s="15"/>
      <c r="I675" s="15"/>
    </row>
    <row r="676">
      <c r="A676" s="91"/>
      <c r="B676" s="91"/>
      <c r="C676" s="91"/>
      <c r="D676" s="78"/>
      <c r="E676" s="15"/>
      <c r="F676" s="15"/>
      <c r="G676" s="91"/>
      <c r="H676" s="15"/>
      <c r="I676" s="15"/>
    </row>
    <row r="677">
      <c r="A677" s="91"/>
      <c r="B677" s="91"/>
      <c r="C677" s="91"/>
      <c r="D677" s="78"/>
      <c r="E677" s="15"/>
      <c r="F677" s="15"/>
      <c r="G677" s="91"/>
      <c r="H677" s="15"/>
      <c r="I677" s="15"/>
    </row>
    <row r="678">
      <c r="A678" s="91"/>
      <c r="B678" s="91"/>
      <c r="C678" s="91"/>
      <c r="D678" s="78"/>
      <c r="E678" s="15"/>
      <c r="F678" s="15"/>
      <c r="G678" s="91"/>
      <c r="H678" s="15"/>
      <c r="I678" s="15"/>
    </row>
    <row r="679">
      <c r="A679" s="91"/>
      <c r="B679" s="91"/>
      <c r="C679" s="91"/>
      <c r="D679" s="78"/>
      <c r="E679" s="15"/>
      <c r="F679" s="15"/>
      <c r="G679" s="91"/>
      <c r="H679" s="15"/>
      <c r="I679" s="15"/>
    </row>
    <row r="680">
      <c r="A680" s="91"/>
      <c r="B680" s="91"/>
      <c r="C680" s="91"/>
      <c r="D680" s="78"/>
      <c r="E680" s="15"/>
      <c r="F680" s="15"/>
      <c r="G680" s="91"/>
      <c r="H680" s="15"/>
      <c r="I680" s="15"/>
    </row>
    <row r="681">
      <c r="A681" s="91"/>
      <c r="B681" s="91"/>
      <c r="C681" s="91"/>
      <c r="D681" s="78"/>
      <c r="E681" s="15"/>
      <c r="F681" s="15"/>
      <c r="G681" s="91"/>
      <c r="H681" s="15"/>
      <c r="I681" s="15"/>
    </row>
    <row r="682">
      <c r="A682" s="91"/>
      <c r="B682" s="91"/>
      <c r="C682" s="91"/>
      <c r="D682" s="78"/>
      <c r="E682" s="15"/>
      <c r="F682" s="15"/>
      <c r="G682" s="91"/>
      <c r="H682" s="15"/>
      <c r="I682" s="15"/>
    </row>
    <row r="683">
      <c r="A683" s="91"/>
      <c r="B683" s="91"/>
      <c r="C683" s="91"/>
      <c r="D683" s="78"/>
      <c r="E683" s="15"/>
      <c r="F683" s="15"/>
      <c r="G683" s="91"/>
      <c r="H683" s="15"/>
      <c r="I683" s="15"/>
    </row>
    <row r="684">
      <c r="A684" s="91"/>
      <c r="B684" s="91"/>
      <c r="C684" s="91"/>
      <c r="D684" s="78"/>
      <c r="E684" s="15"/>
      <c r="F684" s="15"/>
      <c r="G684" s="91"/>
      <c r="H684" s="15"/>
      <c r="I684" s="15"/>
    </row>
    <row r="685">
      <c r="A685" s="91"/>
      <c r="B685" s="91"/>
      <c r="C685" s="91"/>
      <c r="D685" s="78"/>
      <c r="E685" s="15"/>
      <c r="F685" s="15"/>
      <c r="G685" s="91"/>
      <c r="H685" s="15"/>
      <c r="I685" s="15"/>
    </row>
    <row r="686">
      <c r="A686" s="91"/>
      <c r="B686" s="91"/>
      <c r="C686" s="91"/>
      <c r="D686" s="78"/>
      <c r="E686" s="15"/>
      <c r="F686" s="15"/>
      <c r="G686" s="91"/>
      <c r="H686" s="15"/>
      <c r="I686" s="15"/>
    </row>
    <row r="687">
      <c r="A687" s="91"/>
      <c r="B687" s="91"/>
      <c r="C687" s="91"/>
      <c r="D687" s="78"/>
      <c r="E687" s="15"/>
      <c r="F687" s="15"/>
      <c r="G687" s="91"/>
      <c r="H687" s="15"/>
      <c r="I687" s="15"/>
    </row>
    <row r="688">
      <c r="A688" s="91"/>
      <c r="B688" s="91"/>
      <c r="C688" s="91"/>
      <c r="D688" s="78"/>
      <c r="E688" s="15"/>
      <c r="F688" s="15"/>
      <c r="G688" s="91"/>
      <c r="H688" s="15"/>
      <c r="I688" s="15"/>
    </row>
    <row r="689">
      <c r="A689" s="91"/>
      <c r="B689" s="91"/>
      <c r="C689" s="91"/>
      <c r="D689" s="78"/>
      <c r="E689" s="15"/>
      <c r="F689" s="15"/>
      <c r="G689" s="91"/>
      <c r="H689" s="15"/>
      <c r="I689" s="15"/>
    </row>
    <row r="690">
      <c r="A690" s="91"/>
      <c r="B690" s="91"/>
      <c r="C690" s="91"/>
      <c r="D690" s="78"/>
      <c r="E690" s="15"/>
      <c r="F690" s="15"/>
      <c r="G690" s="91"/>
      <c r="H690" s="15"/>
      <c r="I690" s="15"/>
    </row>
    <row r="691">
      <c r="A691" s="91"/>
      <c r="B691" s="91"/>
      <c r="C691" s="91"/>
      <c r="D691" s="78"/>
      <c r="E691" s="15"/>
      <c r="F691" s="15"/>
      <c r="G691" s="91"/>
      <c r="H691" s="15"/>
      <c r="I691" s="15"/>
    </row>
    <row r="692">
      <c r="A692" s="91"/>
      <c r="B692" s="91"/>
      <c r="C692" s="91"/>
      <c r="D692" s="78"/>
      <c r="E692" s="15"/>
      <c r="F692" s="15"/>
      <c r="G692" s="91"/>
      <c r="H692" s="15"/>
      <c r="I692" s="15"/>
    </row>
    <row r="693">
      <c r="A693" s="91"/>
      <c r="B693" s="91"/>
      <c r="C693" s="91"/>
      <c r="D693" s="78"/>
      <c r="E693" s="15"/>
      <c r="F693" s="15"/>
      <c r="G693" s="91"/>
      <c r="H693" s="15"/>
      <c r="I693" s="15"/>
    </row>
    <row r="694">
      <c r="A694" s="91"/>
      <c r="B694" s="91"/>
      <c r="C694" s="91"/>
      <c r="D694" s="78"/>
      <c r="E694" s="15"/>
      <c r="F694" s="15"/>
      <c r="G694" s="91"/>
      <c r="H694" s="15"/>
      <c r="I694" s="15"/>
    </row>
    <row r="695">
      <c r="A695" s="91"/>
      <c r="B695" s="91"/>
      <c r="C695" s="91"/>
      <c r="D695" s="78"/>
      <c r="E695" s="15"/>
      <c r="F695" s="15"/>
      <c r="G695" s="91"/>
      <c r="H695" s="15"/>
      <c r="I695" s="15"/>
    </row>
    <row r="696">
      <c r="A696" s="91"/>
      <c r="B696" s="91"/>
      <c r="C696" s="91"/>
      <c r="D696" s="78"/>
      <c r="E696" s="15"/>
      <c r="F696" s="15"/>
      <c r="G696" s="91"/>
      <c r="H696" s="15"/>
      <c r="I696" s="15"/>
    </row>
    <row r="697">
      <c r="A697" s="91"/>
      <c r="B697" s="91"/>
      <c r="C697" s="91"/>
      <c r="D697" s="78"/>
      <c r="E697" s="15"/>
      <c r="F697" s="15"/>
      <c r="G697" s="91"/>
      <c r="H697" s="15"/>
      <c r="I697" s="15"/>
    </row>
    <row r="698">
      <c r="A698" s="91"/>
      <c r="B698" s="91"/>
      <c r="C698" s="91"/>
      <c r="D698" s="78"/>
      <c r="E698" s="15"/>
      <c r="F698" s="15"/>
      <c r="G698" s="91"/>
      <c r="H698" s="15"/>
      <c r="I698" s="15"/>
    </row>
    <row r="699">
      <c r="A699" s="91"/>
      <c r="B699" s="91"/>
      <c r="C699" s="91"/>
      <c r="D699" s="78"/>
      <c r="E699" s="15"/>
      <c r="F699" s="15"/>
      <c r="G699" s="91"/>
      <c r="H699" s="15"/>
      <c r="I699" s="15"/>
    </row>
    <row r="700">
      <c r="A700" s="91"/>
      <c r="B700" s="91"/>
      <c r="C700" s="91"/>
      <c r="D700" s="78"/>
      <c r="E700" s="15"/>
      <c r="F700" s="15"/>
      <c r="G700" s="91"/>
      <c r="H700" s="15"/>
      <c r="I700" s="15"/>
    </row>
    <row r="701">
      <c r="A701" s="91"/>
      <c r="B701" s="91"/>
      <c r="C701" s="91"/>
      <c r="D701" s="78"/>
      <c r="E701" s="15"/>
      <c r="F701" s="15"/>
      <c r="G701" s="91"/>
      <c r="H701" s="15"/>
      <c r="I701" s="15"/>
    </row>
    <row r="702">
      <c r="A702" s="91"/>
      <c r="B702" s="91"/>
      <c r="C702" s="91"/>
      <c r="D702" s="78"/>
      <c r="E702" s="15"/>
      <c r="F702" s="15"/>
      <c r="G702" s="91"/>
      <c r="H702" s="15"/>
      <c r="I702" s="15"/>
    </row>
    <row r="703">
      <c r="A703" s="91"/>
      <c r="B703" s="91"/>
      <c r="C703" s="91"/>
      <c r="D703" s="78"/>
      <c r="E703" s="15"/>
      <c r="F703" s="15"/>
      <c r="G703" s="91"/>
      <c r="H703" s="15"/>
      <c r="I703" s="15"/>
    </row>
    <row r="704">
      <c r="A704" s="91"/>
      <c r="B704" s="91"/>
      <c r="C704" s="91"/>
      <c r="D704" s="78"/>
      <c r="E704" s="15"/>
      <c r="F704" s="15"/>
      <c r="G704" s="91"/>
      <c r="H704" s="15"/>
      <c r="I704" s="15"/>
    </row>
    <row r="705">
      <c r="A705" s="91"/>
      <c r="B705" s="91"/>
      <c r="C705" s="91"/>
      <c r="D705" s="78"/>
      <c r="E705" s="15"/>
      <c r="F705" s="15"/>
      <c r="G705" s="91"/>
      <c r="H705" s="15"/>
      <c r="I705" s="15"/>
    </row>
    <row r="706">
      <c r="A706" s="91"/>
      <c r="B706" s="91"/>
      <c r="C706" s="91"/>
      <c r="D706" s="78"/>
      <c r="E706" s="15"/>
      <c r="F706" s="15"/>
      <c r="G706" s="91"/>
      <c r="H706" s="15"/>
      <c r="I706" s="15"/>
    </row>
    <row r="707">
      <c r="A707" s="91"/>
      <c r="B707" s="91"/>
      <c r="C707" s="91"/>
      <c r="D707" s="78"/>
      <c r="E707" s="15"/>
      <c r="F707" s="15"/>
      <c r="G707" s="91"/>
      <c r="H707" s="15"/>
      <c r="I707" s="15"/>
    </row>
    <row r="708">
      <c r="A708" s="91"/>
      <c r="B708" s="91"/>
      <c r="C708" s="91"/>
      <c r="D708" s="78"/>
      <c r="E708" s="15"/>
      <c r="F708" s="15"/>
      <c r="G708" s="91"/>
      <c r="H708" s="15"/>
      <c r="I708" s="15"/>
    </row>
    <row r="709">
      <c r="A709" s="91"/>
      <c r="B709" s="91"/>
      <c r="C709" s="91"/>
      <c r="D709" s="78"/>
      <c r="E709" s="15"/>
      <c r="F709" s="15"/>
      <c r="G709" s="91"/>
      <c r="H709" s="15"/>
      <c r="I709" s="15"/>
    </row>
    <row r="710">
      <c r="A710" s="91"/>
      <c r="B710" s="91"/>
      <c r="C710" s="91"/>
      <c r="D710" s="78"/>
      <c r="E710" s="15"/>
      <c r="F710" s="15"/>
      <c r="G710" s="91"/>
      <c r="H710" s="15"/>
      <c r="I710" s="15"/>
    </row>
    <row r="711">
      <c r="A711" s="91"/>
      <c r="B711" s="91"/>
      <c r="C711" s="91"/>
      <c r="D711" s="78"/>
      <c r="E711" s="15"/>
      <c r="F711" s="15"/>
      <c r="G711" s="91"/>
      <c r="H711" s="15"/>
      <c r="I711" s="15"/>
    </row>
    <row r="712">
      <c r="A712" s="91"/>
      <c r="B712" s="91"/>
      <c r="C712" s="91"/>
      <c r="D712" s="78"/>
      <c r="E712" s="15"/>
      <c r="F712" s="15"/>
      <c r="G712" s="91"/>
      <c r="H712" s="15"/>
      <c r="I712" s="15"/>
    </row>
    <row r="713">
      <c r="A713" s="91"/>
      <c r="B713" s="91"/>
      <c r="C713" s="91"/>
      <c r="D713" s="78"/>
      <c r="E713" s="15"/>
      <c r="F713" s="15"/>
      <c r="G713" s="91"/>
      <c r="H713" s="15"/>
      <c r="I713" s="15"/>
    </row>
    <row r="714">
      <c r="A714" s="91"/>
      <c r="B714" s="91"/>
      <c r="C714" s="91"/>
      <c r="D714" s="78"/>
      <c r="E714" s="15"/>
      <c r="F714" s="15"/>
      <c r="G714" s="91"/>
      <c r="H714" s="15"/>
      <c r="I714" s="15"/>
    </row>
    <row r="715">
      <c r="A715" s="91"/>
      <c r="B715" s="91"/>
      <c r="C715" s="91"/>
      <c r="D715" s="78"/>
      <c r="E715" s="15"/>
      <c r="F715" s="15"/>
      <c r="G715" s="91"/>
      <c r="H715" s="15"/>
      <c r="I715" s="15"/>
    </row>
    <row r="716">
      <c r="A716" s="91"/>
      <c r="B716" s="91"/>
      <c r="C716" s="91"/>
      <c r="D716" s="78"/>
      <c r="E716" s="15"/>
      <c r="F716" s="15"/>
      <c r="G716" s="91"/>
      <c r="H716" s="15"/>
      <c r="I716" s="15"/>
    </row>
    <row r="717">
      <c r="A717" s="91"/>
      <c r="B717" s="91"/>
      <c r="C717" s="91"/>
      <c r="D717" s="78"/>
      <c r="E717" s="15"/>
      <c r="F717" s="15"/>
      <c r="G717" s="91"/>
      <c r="H717" s="15"/>
      <c r="I717" s="15"/>
    </row>
    <row r="718">
      <c r="A718" s="91"/>
      <c r="B718" s="91"/>
      <c r="C718" s="91"/>
      <c r="D718" s="78"/>
      <c r="E718" s="15"/>
      <c r="F718" s="15"/>
      <c r="G718" s="91"/>
      <c r="H718" s="15"/>
      <c r="I718" s="15"/>
    </row>
    <row r="719">
      <c r="A719" s="91"/>
      <c r="B719" s="91"/>
      <c r="C719" s="91"/>
      <c r="D719" s="78"/>
      <c r="E719" s="15"/>
      <c r="F719" s="15"/>
      <c r="G719" s="91"/>
      <c r="H719" s="15"/>
      <c r="I719" s="15"/>
    </row>
    <row r="720">
      <c r="A720" s="91"/>
      <c r="B720" s="91"/>
      <c r="C720" s="91"/>
      <c r="D720" s="78"/>
      <c r="E720" s="15"/>
      <c r="F720" s="15"/>
      <c r="G720" s="91"/>
      <c r="H720" s="15"/>
      <c r="I720" s="15"/>
    </row>
    <row r="721">
      <c r="A721" s="91"/>
      <c r="B721" s="91"/>
      <c r="C721" s="91"/>
      <c r="D721" s="78"/>
      <c r="E721" s="15"/>
      <c r="F721" s="15"/>
      <c r="G721" s="91"/>
      <c r="H721" s="15"/>
      <c r="I721" s="15"/>
    </row>
    <row r="722">
      <c r="A722" s="91"/>
      <c r="B722" s="91"/>
      <c r="C722" s="91"/>
      <c r="D722" s="78"/>
      <c r="E722" s="15"/>
      <c r="F722" s="15"/>
      <c r="G722" s="91"/>
      <c r="H722" s="15"/>
      <c r="I722" s="15"/>
    </row>
    <row r="723">
      <c r="A723" s="91"/>
      <c r="B723" s="91"/>
      <c r="C723" s="91"/>
      <c r="D723" s="78"/>
      <c r="E723" s="15"/>
      <c r="F723" s="15"/>
      <c r="G723" s="91"/>
      <c r="H723" s="15"/>
      <c r="I723" s="15"/>
    </row>
    <row r="724">
      <c r="A724" s="91"/>
      <c r="B724" s="91"/>
      <c r="C724" s="91"/>
      <c r="D724" s="78"/>
      <c r="E724" s="15"/>
      <c r="F724" s="15"/>
      <c r="G724" s="91"/>
      <c r="H724" s="15"/>
      <c r="I724" s="15"/>
    </row>
    <row r="725">
      <c r="A725" s="91"/>
      <c r="B725" s="91"/>
      <c r="C725" s="91"/>
      <c r="D725" s="78"/>
      <c r="E725" s="15"/>
      <c r="F725" s="15"/>
      <c r="G725" s="91"/>
      <c r="H725" s="15"/>
      <c r="I725" s="15"/>
    </row>
    <row r="726">
      <c r="A726" s="91"/>
      <c r="B726" s="91"/>
      <c r="C726" s="91"/>
      <c r="D726" s="78"/>
      <c r="E726" s="15"/>
      <c r="F726" s="15"/>
      <c r="G726" s="91"/>
      <c r="H726" s="15"/>
      <c r="I726" s="15"/>
    </row>
    <row r="727">
      <c r="A727" s="91"/>
      <c r="B727" s="91"/>
      <c r="C727" s="91"/>
      <c r="D727" s="78"/>
      <c r="E727" s="15"/>
      <c r="F727" s="15"/>
      <c r="G727" s="91"/>
      <c r="H727" s="15"/>
      <c r="I727" s="15"/>
    </row>
    <row r="728">
      <c r="A728" s="91"/>
      <c r="B728" s="91"/>
      <c r="C728" s="91"/>
      <c r="D728" s="78"/>
      <c r="E728" s="15"/>
      <c r="F728" s="15"/>
      <c r="G728" s="91"/>
      <c r="H728" s="15"/>
      <c r="I728" s="15"/>
    </row>
    <row r="729">
      <c r="A729" s="91"/>
      <c r="B729" s="91"/>
      <c r="C729" s="91"/>
      <c r="D729" s="78"/>
      <c r="E729" s="15"/>
      <c r="F729" s="15"/>
      <c r="G729" s="91"/>
      <c r="H729" s="15"/>
      <c r="I729" s="15"/>
    </row>
    <row r="730">
      <c r="A730" s="91"/>
      <c r="B730" s="91"/>
      <c r="C730" s="91"/>
      <c r="D730" s="78"/>
      <c r="E730" s="15"/>
      <c r="F730" s="15"/>
      <c r="G730" s="91"/>
      <c r="H730" s="15"/>
      <c r="I730" s="15"/>
    </row>
    <row r="731">
      <c r="A731" s="91"/>
      <c r="B731" s="91"/>
      <c r="C731" s="91"/>
      <c r="D731" s="78"/>
      <c r="E731" s="15"/>
      <c r="F731" s="15"/>
      <c r="G731" s="91"/>
      <c r="H731" s="15"/>
      <c r="I731" s="15"/>
    </row>
    <row r="732">
      <c r="A732" s="91"/>
      <c r="B732" s="91"/>
      <c r="C732" s="91"/>
      <c r="D732" s="78"/>
      <c r="E732" s="15"/>
      <c r="F732" s="15"/>
      <c r="G732" s="91"/>
      <c r="H732" s="15"/>
      <c r="I732" s="15"/>
    </row>
    <row r="733">
      <c r="A733" s="91"/>
      <c r="B733" s="91"/>
      <c r="C733" s="91"/>
      <c r="D733" s="78"/>
      <c r="E733" s="15"/>
      <c r="F733" s="15"/>
      <c r="G733" s="91"/>
      <c r="H733" s="15"/>
      <c r="I733" s="15"/>
    </row>
    <row r="734">
      <c r="A734" s="91"/>
      <c r="B734" s="91"/>
      <c r="C734" s="91"/>
      <c r="D734" s="78"/>
      <c r="E734" s="15"/>
      <c r="F734" s="15"/>
      <c r="G734" s="91"/>
      <c r="H734" s="15"/>
      <c r="I734" s="15"/>
    </row>
    <row r="735">
      <c r="A735" s="91"/>
      <c r="B735" s="91"/>
      <c r="C735" s="91"/>
      <c r="D735" s="78"/>
      <c r="E735" s="15"/>
      <c r="F735" s="15"/>
      <c r="G735" s="91"/>
      <c r="H735" s="15"/>
      <c r="I735" s="15"/>
    </row>
    <row r="736">
      <c r="A736" s="91"/>
      <c r="B736" s="91"/>
      <c r="C736" s="91"/>
      <c r="D736" s="78"/>
      <c r="E736" s="15"/>
      <c r="F736" s="15"/>
      <c r="G736" s="91"/>
      <c r="H736" s="15"/>
      <c r="I736" s="15"/>
    </row>
    <row r="737">
      <c r="A737" s="91"/>
      <c r="B737" s="91"/>
      <c r="C737" s="91"/>
      <c r="D737" s="78"/>
      <c r="E737" s="15"/>
      <c r="F737" s="15"/>
      <c r="G737" s="91"/>
      <c r="H737" s="15"/>
      <c r="I737" s="15"/>
    </row>
    <row r="738">
      <c r="A738" s="91"/>
      <c r="B738" s="91"/>
      <c r="C738" s="91"/>
      <c r="D738" s="78"/>
      <c r="E738" s="15"/>
      <c r="F738" s="15"/>
      <c r="G738" s="91"/>
      <c r="H738" s="15"/>
      <c r="I738" s="15"/>
    </row>
    <row r="739">
      <c r="A739" s="91"/>
      <c r="B739" s="91"/>
      <c r="C739" s="91"/>
      <c r="D739" s="78"/>
      <c r="E739" s="15"/>
      <c r="F739" s="15"/>
      <c r="G739" s="91"/>
      <c r="H739" s="15"/>
      <c r="I739" s="15"/>
    </row>
    <row r="740">
      <c r="A740" s="91"/>
      <c r="B740" s="91"/>
      <c r="C740" s="91"/>
      <c r="D740" s="78"/>
      <c r="E740" s="15"/>
      <c r="F740" s="15"/>
      <c r="G740" s="91"/>
      <c r="H740" s="15"/>
      <c r="I740" s="15"/>
    </row>
    <row r="741">
      <c r="A741" s="91"/>
      <c r="B741" s="91"/>
      <c r="C741" s="91"/>
      <c r="D741" s="78"/>
      <c r="E741" s="15"/>
      <c r="F741" s="15"/>
      <c r="G741" s="91"/>
      <c r="H741" s="15"/>
      <c r="I741" s="15"/>
    </row>
    <row r="742">
      <c r="A742" s="91"/>
      <c r="B742" s="91"/>
      <c r="C742" s="91"/>
      <c r="D742" s="78"/>
      <c r="E742" s="15"/>
      <c r="F742" s="15"/>
      <c r="G742" s="91"/>
      <c r="H742" s="15"/>
      <c r="I742" s="15"/>
    </row>
    <row r="743">
      <c r="A743" s="91"/>
      <c r="B743" s="91"/>
      <c r="C743" s="91"/>
      <c r="D743" s="78"/>
      <c r="E743" s="15"/>
      <c r="F743" s="15"/>
      <c r="G743" s="91"/>
      <c r="H743" s="15"/>
      <c r="I743" s="15"/>
    </row>
    <row r="744">
      <c r="A744" s="91"/>
      <c r="B744" s="91"/>
      <c r="C744" s="91"/>
      <c r="D744" s="78"/>
      <c r="E744" s="15"/>
      <c r="F744" s="15"/>
      <c r="G744" s="91"/>
      <c r="H744" s="15"/>
      <c r="I744" s="15"/>
    </row>
    <row r="745">
      <c r="A745" s="91"/>
      <c r="B745" s="91"/>
      <c r="C745" s="91"/>
      <c r="D745" s="78"/>
      <c r="E745" s="15"/>
      <c r="F745" s="15"/>
      <c r="G745" s="91"/>
      <c r="H745" s="15"/>
      <c r="I745" s="15"/>
    </row>
    <row r="746">
      <c r="A746" s="91"/>
      <c r="B746" s="91"/>
      <c r="C746" s="91"/>
      <c r="D746" s="78"/>
      <c r="E746" s="15"/>
      <c r="F746" s="15"/>
      <c r="G746" s="91"/>
      <c r="H746" s="15"/>
      <c r="I746" s="15"/>
    </row>
    <row r="747">
      <c r="A747" s="91"/>
      <c r="B747" s="91"/>
      <c r="C747" s="91"/>
      <c r="D747" s="78"/>
      <c r="E747" s="15"/>
      <c r="F747" s="15"/>
      <c r="G747" s="91"/>
      <c r="H747" s="15"/>
      <c r="I747" s="15"/>
    </row>
    <row r="748">
      <c r="A748" s="91"/>
      <c r="B748" s="91"/>
      <c r="C748" s="91"/>
      <c r="D748" s="78"/>
      <c r="E748" s="15"/>
      <c r="F748" s="15"/>
      <c r="G748" s="91"/>
      <c r="H748" s="15"/>
      <c r="I748" s="15"/>
    </row>
    <row r="749">
      <c r="A749" s="91"/>
      <c r="B749" s="91"/>
      <c r="C749" s="91"/>
      <c r="D749" s="78"/>
      <c r="E749" s="15"/>
      <c r="F749" s="15"/>
      <c r="G749" s="91"/>
      <c r="H749" s="15"/>
      <c r="I749" s="15"/>
    </row>
    <row r="750">
      <c r="A750" s="91"/>
      <c r="B750" s="91"/>
      <c r="C750" s="91"/>
      <c r="D750" s="78"/>
      <c r="E750" s="15"/>
      <c r="F750" s="15"/>
      <c r="G750" s="91"/>
      <c r="H750" s="15"/>
      <c r="I750" s="15"/>
    </row>
    <row r="751">
      <c r="A751" s="91"/>
      <c r="B751" s="91"/>
      <c r="C751" s="91"/>
      <c r="D751" s="78"/>
      <c r="E751" s="15"/>
      <c r="F751" s="15"/>
      <c r="G751" s="91"/>
      <c r="H751" s="15"/>
      <c r="I751" s="15"/>
    </row>
    <row r="752">
      <c r="A752" s="91"/>
      <c r="B752" s="91"/>
      <c r="C752" s="91"/>
      <c r="D752" s="78"/>
      <c r="E752" s="15"/>
      <c r="F752" s="15"/>
      <c r="G752" s="91"/>
      <c r="H752" s="15"/>
      <c r="I752" s="15"/>
    </row>
    <row r="753">
      <c r="A753" s="91"/>
      <c r="B753" s="91"/>
      <c r="C753" s="91"/>
      <c r="D753" s="78"/>
      <c r="E753" s="15"/>
      <c r="F753" s="15"/>
      <c r="G753" s="91"/>
      <c r="H753" s="15"/>
      <c r="I753" s="15"/>
    </row>
    <row r="754">
      <c r="A754" s="91"/>
      <c r="B754" s="91"/>
      <c r="C754" s="91"/>
      <c r="D754" s="78"/>
      <c r="E754" s="15"/>
      <c r="F754" s="15"/>
      <c r="G754" s="91"/>
      <c r="H754" s="15"/>
      <c r="I754" s="15"/>
    </row>
    <row r="755">
      <c r="A755" s="91"/>
      <c r="B755" s="91"/>
      <c r="C755" s="91"/>
      <c r="D755" s="78"/>
      <c r="E755" s="15"/>
      <c r="F755" s="15"/>
      <c r="G755" s="91"/>
      <c r="H755" s="15"/>
      <c r="I755" s="15"/>
    </row>
    <row r="756">
      <c r="A756" s="91"/>
      <c r="B756" s="91"/>
      <c r="C756" s="91"/>
      <c r="D756" s="78"/>
      <c r="E756" s="15"/>
      <c r="F756" s="15"/>
      <c r="G756" s="91"/>
      <c r="H756" s="15"/>
      <c r="I756" s="15"/>
    </row>
    <row r="757">
      <c r="A757" s="91"/>
      <c r="B757" s="91"/>
      <c r="C757" s="91"/>
      <c r="D757" s="78"/>
      <c r="E757" s="15"/>
      <c r="F757" s="15"/>
      <c r="G757" s="91"/>
      <c r="H757" s="15"/>
      <c r="I757" s="15"/>
    </row>
    <row r="758">
      <c r="A758" s="91"/>
      <c r="B758" s="91"/>
      <c r="C758" s="91"/>
      <c r="D758" s="78"/>
      <c r="E758" s="15"/>
      <c r="F758" s="15"/>
      <c r="G758" s="91"/>
      <c r="H758" s="15"/>
      <c r="I758" s="15"/>
    </row>
    <row r="759">
      <c r="A759" s="91"/>
      <c r="B759" s="91"/>
      <c r="C759" s="91"/>
      <c r="D759" s="78"/>
      <c r="E759" s="15"/>
      <c r="F759" s="15"/>
      <c r="G759" s="91"/>
      <c r="H759" s="15"/>
      <c r="I759" s="15"/>
    </row>
    <row r="760">
      <c r="A760" s="91"/>
      <c r="B760" s="91"/>
      <c r="C760" s="91"/>
      <c r="D760" s="78"/>
      <c r="E760" s="15"/>
      <c r="F760" s="15"/>
      <c r="G760" s="91"/>
      <c r="H760" s="15"/>
      <c r="I760" s="15"/>
    </row>
    <row r="761">
      <c r="A761" s="91"/>
      <c r="B761" s="91"/>
      <c r="C761" s="91"/>
      <c r="D761" s="78"/>
      <c r="E761" s="15"/>
      <c r="F761" s="15"/>
      <c r="G761" s="91"/>
      <c r="H761" s="15"/>
      <c r="I761" s="15"/>
    </row>
    <row r="762">
      <c r="A762" s="91"/>
      <c r="B762" s="91"/>
      <c r="C762" s="91"/>
      <c r="D762" s="78"/>
      <c r="E762" s="15"/>
      <c r="F762" s="15"/>
      <c r="G762" s="91"/>
      <c r="H762" s="15"/>
      <c r="I762" s="15"/>
    </row>
    <row r="763">
      <c r="A763" s="91"/>
      <c r="B763" s="91"/>
      <c r="C763" s="91"/>
      <c r="D763" s="78"/>
      <c r="E763" s="15"/>
      <c r="F763" s="15"/>
      <c r="G763" s="91"/>
      <c r="H763" s="15"/>
      <c r="I763" s="15"/>
    </row>
    <row r="764">
      <c r="A764" s="91"/>
      <c r="B764" s="91"/>
      <c r="C764" s="91"/>
      <c r="D764" s="78"/>
      <c r="E764" s="15"/>
      <c r="F764" s="15"/>
      <c r="G764" s="91"/>
      <c r="H764" s="15"/>
      <c r="I764" s="15"/>
    </row>
    <row r="765">
      <c r="A765" s="91"/>
      <c r="B765" s="91"/>
      <c r="C765" s="91"/>
      <c r="D765" s="78"/>
      <c r="E765" s="15"/>
      <c r="F765" s="15"/>
      <c r="G765" s="91"/>
      <c r="H765" s="15"/>
      <c r="I765" s="15"/>
    </row>
    <row r="766">
      <c r="A766" s="91"/>
      <c r="B766" s="91"/>
      <c r="C766" s="91"/>
      <c r="D766" s="78"/>
      <c r="E766" s="15"/>
      <c r="F766" s="15"/>
      <c r="G766" s="91"/>
      <c r="H766" s="15"/>
      <c r="I766" s="15"/>
    </row>
    <row r="767">
      <c r="A767" s="91"/>
      <c r="B767" s="91"/>
      <c r="C767" s="91"/>
      <c r="D767" s="78"/>
      <c r="E767" s="15"/>
      <c r="F767" s="15"/>
      <c r="G767" s="91"/>
      <c r="H767" s="15"/>
      <c r="I767" s="15"/>
    </row>
    <row r="768">
      <c r="A768" s="91"/>
      <c r="B768" s="91"/>
      <c r="C768" s="91"/>
      <c r="D768" s="78"/>
      <c r="E768" s="15"/>
      <c r="F768" s="15"/>
      <c r="G768" s="91"/>
      <c r="H768" s="15"/>
      <c r="I768" s="15"/>
    </row>
    <row r="769">
      <c r="A769" s="91"/>
      <c r="B769" s="91"/>
      <c r="C769" s="91"/>
      <c r="D769" s="78"/>
      <c r="E769" s="15"/>
      <c r="F769" s="15"/>
      <c r="G769" s="91"/>
      <c r="H769" s="15"/>
      <c r="I769" s="15"/>
    </row>
    <row r="770">
      <c r="A770" s="91"/>
      <c r="B770" s="91"/>
      <c r="C770" s="91"/>
      <c r="D770" s="78"/>
      <c r="E770" s="15"/>
      <c r="F770" s="15"/>
      <c r="G770" s="91"/>
      <c r="H770" s="15"/>
      <c r="I770" s="15"/>
    </row>
    <row r="771">
      <c r="A771" s="91"/>
      <c r="B771" s="91"/>
      <c r="C771" s="91"/>
      <c r="D771" s="78"/>
      <c r="E771" s="15"/>
      <c r="F771" s="15"/>
      <c r="G771" s="91"/>
      <c r="H771" s="15"/>
      <c r="I771" s="15"/>
    </row>
    <row r="772">
      <c r="A772" s="91"/>
      <c r="B772" s="91"/>
      <c r="C772" s="91"/>
      <c r="D772" s="78"/>
      <c r="E772" s="15"/>
      <c r="F772" s="15"/>
      <c r="G772" s="91"/>
      <c r="H772" s="15"/>
      <c r="I772" s="15"/>
    </row>
    <row r="773">
      <c r="A773" s="91"/>
      <c r="B773" s="91"/>
      <c r="C773" s="91"/>
      <c r="D773" s="78"/>
      <c r="E773" s="15"/>
      <c r="F773" s="15"/>
      <c r="G773" s="91"/>
      <c r="H773" s="15"/>
      <c r="I773" s="15"/>
    </row>
    <row r="774">
      <c r="A774" s="91"/>
      <c r="B774" s="91"/>
      <c r="C774" s="91"/>
      <c r="D774" s="78"/>
      <c r="E774" s="15"/>
      <c r="F774" s="15"/>
      <c r="G774" s="91"/>
      <c r="H774" s="15"/>
      <c r="I774" s="15"/>
    </row>
    <row r="775">
      <c r="A775" s="91"/>
      <c r="B775" s="91"/>
      <c r="C775" s="91"/>
      <c r="D775" s="78"/>
      <c r="E775" s="15"/>
      <c r="F775" s="15"/>
      <c r="G775" s="91"/>
      <c r="H775" s="15"/>
      <c r="I775" s="15"/>
    </row>
    <row r="776">
      <c r="A776" s="91"/>
      <c r="B776" s="91"/>
      <c r="C776" s="91"/>
      <c r="D776" s="78"/>
      <c r="E776" s="15"/>
      <c r="F776" s="15"/>
      <c r="G776" s="91"/>
      <c r="H776" s="15"/>
      <c r="I776" s="15"/>
    </row>
    <row r="777">
      <c r="A777" s="91"/>
      <c r="B777" s="91"/>
      <c r="C777" s="91"/>
      <c r="D777" s="78"/>
      <c r="E777" s="15"/>
      <c r="F777" s="15"/>
      <c r="G777" s="91"/>
      <c r="H777" s="15"/>
      <c r="I777" s="15"/>
    </row>
    <row r="778">
      <c r="A778" s="91"/>
      <c r="B778" s="91"/>
      <c r="C778" s="91"/>
      <c r="D778" s="78"/>
      <c r="E778" s="15"/>
      <c r="F778" s="15"/>
      <c r="G778" s="91"/>
      <c r="H778" s="15"/>
      <c r="I778" s="15"/>
    </row>
    <row r="779">
      <c r="A779" s="91"/>
      <c r="B779" s="91"/>
      <c r="C779" s="91"/>
      <c r="D779" s="78"/>
      <c r="E779" s="15"/>
      <c r="F779" s="15"/>
      <c r="G779" s="91"/>
      <c r="H779" s="15"/>
      <c r="I779" s="15"/>
    </row>
    <row r="780">
      <c r="A780" s="91"/>
      <c r="B780" s="91"/>
      <c r="C780" s="91"/>
      <c r="D780" s="78"/>
      <c r="E780" s="15"/>
      <c r="F780" s="15"/>
      <c r="G780" s="91"/>
      <c r="H780" s="15"/>
      <c r="I780" s="15"/>
    </row>
    <row r="781">
      <c r="A781" s="91"/>
      <c r="B781" s="91"/>
      <c r="C781" s="91"/>
      <c r="D781" s="78"/>
      <c r="E781" s="15"/>
      <c r="F781" s="15"/>
      <c r="G781" s="91"/>
      <c r="H781" s="15"/>
      <c r="I781" s="15"/>
    </row>
    <row r="782">
      <c r="A782" s="91"/>
      <c r="B782" s="91"/>
      <c r="C782" s="91"/>
      <c r="D782" s="78"/>
      <c r="E782" s="15"/>
      <c r="F782" s="15"/>
      <c r="G782" s="91"/>
      <c r="H782" s="15"/>
      <c r="I782" s="15"/>
    </row>
    <row r="783">
      <c r="A783" s="91"/>
      <c r="B783" s="91"/>
      <c r="C783" s="91"/>
      <c r="D783" s="78"/>
      <c r="E783" s="15"/>
      <c r="F783" s="15"/>
      <c r="G783" s="91"/>
      <c r="H783" s="15"/>
      <c r="I783" s="15"/>
    </row>
    <row r="784">
      <c r="A784" s="91"/>
      <c r="B784" s="91"/>
      <c r="C784" s="91"/>
      <c r="D784" s="78"/>
      <c r="E784" s="15"/>
      <c r="F784" s="15"/>
      <c r="G784" s="91"/>
      <c r="H784" s="15"/>
      <c r="I784" s="15"/>
    </row>
    <row r="785">
      <c r="A785" s="91"/>
      <c r="B785" s="91"/>
      <c r="C785" s="91"/>
      <c r="D785" s="78"/>
      <c r="E785" s="15"/>
      <c r="F785" s="15"/>
      <c r="G785" s="91"/>
      <c r="H785" s="15"/>
      <c r="I785" s="15"/>
    </row>
    <row r="786">
      <c r="A786" s="91"/>
      <c r="B786" s="91"/>
      <c r="C786" s="91"/>
      <c r="D786" s="78"/>
      <c r="E786" s="15"/>
      <c r="F786" s="15"/>
      <c r="G786" s="91"/>
      <c r="H786" s="15"/>
      <c r="I786" s="15"/>
    </row>
    <row r="787">
      <c r="A787" s="91"/>
      <c r="B787" s="91"/>
      <c r="C787" s="91"/>
      <c r="D787" s="78"/>
      <c r="E787" s="15"/>
      <c r="F787" s="15"/>
      <c r="G787" s="91"/>
      <c r="H787" s="15"/>
      <c r="I787" s="15"/>
    </row>
    <row r="788">
      <c r="A788" s="91"/>
      <c r="B788" s="91"/>
      <c r="C788" s="91"/>
      <c r="D788" s="78"/>
      <c r="E788" s="15"/>
      <c r="F788" s="15"/>
      <c r="G788" s="91"/>
      <c r="H788" s="15"/>
      <c r="I788" s="15"/>
    </row>
    <row r="789">
      <c r="A789" s="91"/>
      <c r="B789" s="91"/>
      <c r="C789" s="91"/>
      <c r="D789" s="78"/>
      <c r="E789" s="15"/>
      <c r="F789" s="15"/>
      <c r="G789" s="91"/>
      <c r="H789" s="15"/>
      <c r="I789" s="15"/>
    </row>
    <row r="790">
      <c r="A790" s="91"/>
      <c r="B790" s="91"/>
      <c r="C790" s="91"/>
      <c r="D790" s="78"/>
      <c r="E790" s="15"/>
      <c r="F790" s="15"/>
      <c r="G790" s="91"/>
      <c r="H790" s="15"/>
      <c r="I790" s="15"/>
    </row>
    <row r="791">
      <c r="A791" s="91"/>
      <c r="B791" s="91"/>
      <c r="C791" s="91"/>
      <c r="D791" s="78"/>
      <c r="E791" s="15"/>
      <c r="F791" s="15"/>
      <c r="G791" s="91"/>
      <c r="H791" s="15"/>
      <c r="I791" s="15"/>
    </row>
    <row r="792">
      <c r="A792" s="91"/>
      <c r="B792" s="91"/>
      <c r="C792" s="91"/>
      <c r="D792" s="78"/>
      <c r="E792" s="15"/>
      <c r="F792" s="15"/>
      <c r="G792" s="91"/>
      <c r="H792" s="15"/>
      <c r="I792" s="15"/>
    </row>
    <row r="793">
      <c r="A793" s="91"/>
      <c r="B793" s="91"/>
      <c r="C793" s="91"/>
      <c r="D793" s="78"/>
      <c r="E793" s="15"/>
      <c r="F793" s="15"/>
      <c r="G793" s="91"/>
      <c r="H793" s="15"/>
      <c r="I793" s="15"/>
    </row>
    <row r="794">
      <c r="A794" s="91"/>
      <c r="B794" s="91"/>
      <c r="C794" s="91"/>
      <c r="D794" s="78"/>
      <c r="E794" s="15"/>
      <c r="F794" s="15"/>
      <c r="G794" s="91"/>
      <c r="H794" s="15"/>
      <c r="I794" s="15"/>
    </row>
    <row r="795">
      <c r="A795" s="91"/>
      <c r="B795" s="91"/>
      <c r="C795" s="91"/>
      <c r="D795" s="78"/>
      <c r="E795" s="15"/>
      <c r="F795" s="15"/>
      <c r="G795" s="91"/>
      <c r="H795" s="15"/>
      <c r="I795" s="15"/>
    </row>
    <row r="796">
      <c r="A796" s="91"/>
      <c r="B796" s="91"/>
      <c r="C796" s="91"/>
      <c r="D796" s="78"/>
      <c r="E796" s="15"/>
      <c r="F796" s="15"/>
      <c r="G796" s="91"/>
      <c r="H796" s="15"/>
      <c r="I796" s="15"/>
    </row>
    <row r="797">
      <c r="A797" s="91"/>
      <c r="B797" s="91"/>
      <c r="C797" s="91"/>
      <c r="D797" s="78"/>
      <c r="E797" s="15"/>
      <c r="F797" s="15"/>
      <c r="G797" s="91"/>
      <c r="H797" s="15"/>
      <c r="I797" s="15"/>
    </row>
    <row r="798">
      <c r="A798" s="91"/>
      <c r="B798" s="91"/>
      <c r="C798" s="91"/>
      <c r="D798" s="78"/>
      <c r="E798" s="15"/>
      <c r="F798" s="15"/>
      <c r="G798" s="91"/>
      <c r="H798" s="15"/>
      <c r="I798" s="15"/>
    </row>
    <row r="799">
      <c r="A799" s="91"/>
      <c r="B799" s="91"/>
      <c r="C799" s="91"/>
      <c r="D799" s="78"/>
      <c r="E799" s="15"/>
      <c r="F799" s="15"/>
      <c r="G799" s="91"/>
      <c r="H799" s="15"/>
      <c r="I799" s="15"/>
    </row>
    <row r="800">
      <c r="A800" s="91"/>
      <c r="B800" s="91"/>
      <c r="C800" s="91"/>
      <c r="D800" s="78"/>
      <c r="E800" s="15"/>
      <c r="F800" s="15"/>
      <c r="G800" s="91"/>
      <c r="H800" s="15"/>
      <c r="I800" s="15"/>
    </row>
    <row r="801">
      <c r="A801" s="91"/>
      <c r="B801" s="91"/>
      <c r="C801" s="91"/>
      <c r="D801" s="78"/>
      <c r="E801" s="15"/>
      <c r="F801" s="15"/>
      <c r="G801" s="91"/>
      <c r="H801" s="15"/>
      <c r="I801" s="15"/>
    </row>
    <row r="802">
      <c r="A802" s="91"/>
      <c r="B802" s="91"/>
      <c r="C802" s="91"/>
      <c r="D802" s="78"/>
      <c r="E802" s="15"/>
      <c r="F802" s="15"/>
      <c r="G802" s="91"/>
      <c r="H802" s="15"/>
      <c r="I802" s="15"/>
    </row>
    <row r="803">
      <c r="A803" s="91"/>
      <c r="B803" s="91"/>
      <c r="C803" s="91"/>
      <c r="D803" s="78"/>
      <c r="E803" s="15"/>
      <c r="F803" s="15"/>
      <c r="G803" s="91"/>
      <c r="H803" s="15"/>
      <c r="I803" s="15"/>
    </row>
    <row r="804">
      <c r="A804" s="91"/>
      <c r="B804" s="91"/>
      <c r="C804" s="91"/>
      <c r="D804" s="78"/>
      <c r="E804" s="15"/>
      <c r="F804" s="15"/>
      <c r="G804" s="91"/>
      <c r="H804" s="15"/>
      <c r="I804" s="15"/>
    </row>
    <row r="805">
      <c r="A805" s="91"/>
      <c r="B805" s="91"/>
      <c r="C805" s="91"/>
      <c r="D805" s="78"/>
      <c r="E805" s="15"/>
      <c r="F805" s="15"/>
      <c r="G805" s="91"/>
      <c r="H805" s="15"/>
      <c r="I805" s="15"/>
    </row>
    <row r="806">
      <c r="A806" s="91"/>
      <c r="B806" s="91"/>
      <c r="C806" s="91"/>
      <c r="D806" s="78"/>
      <c r="E806" s="15"/>
      <c r="F806" s="15"/>
      <c r="G806" s="91"/>
      <c r="H806" s="15"/>
      <c r="I806" s="15"/>
    </row>
    <row r="807">
      <c r="A807" s="91"/>
      <c r="B807" s="91"/>
      <c r="C807" s="91"/>
      <c r="D807" s="78"/>
      <c r="E807" s="15"/>
      <c r="F807" s="15"/>
      <c r="G807" s="91"/>
      <c r="H807" s="15"/>
      <c r="I807" s="15"/>
    </row>
    <row r="808">
      <c r="A808" s="91"/>
      <c r="B808" s="91"/>
      <c r="C808" s="91"/>
      <c r="D808" s="78"/>
      <c r="E808" s="15"/>
      <c r="F808" s="15"/>
      <c r="G808" s="91"/>
      <c r="H808" s="15"/>
      <c r="I808" s="15"/>
    </row>
    <row r="809">
      <c r="A809" s="91"/>
      <c r="B809" s="91"/>
      <c r="C809" s="91"/>
      <c r="D809" s="78"/>
      <c r="E809" s="15"/>
      <c r="F809" s="15"/>
      <c r="G809" s="91"/>
      <c r="H809" s="15"/>
      <c r="I809" s="15"/>
    </row>
    <row r="810">
      <c r="A810" s="91"/>
      <c r="B810" s="91"/>
      <c r="C810" s="91"/>
      <c r="D810" s="78"/>
      <c r="E810" s="15"/>
      <c r="F810" s="15"/>
      <c r="G810" s="91"/>
      <c r="H810" s="15"/>
      <c r="I810" s="15"/>
    </row>
    <row r="811">
      <c r="A811" s="91"/>
      <c r="B811" s="91"/>
      <c r="C811" s="91"/>
      <c r="D811" s="78"/>
      <c r="E811" s="15"/>
      <c r="F811" s="15"/>
      <c r="G811" s="91"/>
      <c r="H811" s="15"/>
      <c r="I811" s="15"/>
    </row>
    <row r="812">
      <c r="A812" s="91"/>
      <c r="B812" s="91"/>
      <c r="C812" s="91"/>
      <c r="D812" s="78"/>
      <c r="E812" s="15"/>
      <c r="F812" s="15"/>
      <c r="G812" s="91"/>
      <c r="H812" s="15"/>
      <c r="I812" s="15"/>
    </row>
    <row r="813">
      <c r="A813" s="91"/>
      <c r="B813" s="91"/>
      <c r="C813" s="91"/>
      <c r="D813" s="78"/>
      <c r="E813" s="15"/>
      <c r="F813" s="15"/>
      <c r="G813" s="91"/>
      <c r="H813" s="15"/>
      <c r="I813" s="15"/>
    </row>
    <row r="814">
      <c r="A814" s="91"/>
      <c r="B814" s="91"/>
      <c r="C814" s="91"/>
      <c r="D814" s="78"/>
      <c r="E814" s="15"/>
      <c r="F814" s="15"/>
      <c r="G814" s="91"/>
      <c r="H814" s="15"/>
      <c r="I814" s="15"/>
    </row>
    <row r="815">
      <c r="A815" s="91"/>
      <c r="B815" s="91"/>
      <c r="C815" s="91"/>
      <c r="D815" s="78"/>
      <c r="E815" s="15"/>
      <c r="F815" s="15"/>
      <c r="G815" s="91"/>
      <c r="H815" s="15"/>
      <c r="I815" s="15"/>
    </row>
    <row r="816">
      <c r="A816" s="91"/>
      <c r="B816" s="91"/>
      <c r="C816" s="91"/>
      <c r="D816" s="78"/>
      <c r="E816" s="15"/>
      <c r="F816" s="15"/>
      <c r="G816" s="91"/>
      <c r="H816" s="15"/>
      <c r="I816" s="15"/>
    </row>
    <row r="817">
      <c r="A817" s="91"/>
      <c r="B817" s="91"/>
      <c r="C817" s="91"/>
      <c r="D817" s="78"/>
      <c r="E817" s="15"/>
      <c r="F817" s="15"/>
      <c r="G817" s="91"/>
      <c r="H817" s="15"/>
      <c r="I817" s="15"/>
    </row>
    <row r="818">
      <c r="A818" s="91"/>
      <c r="B818" s="91"/>
      <c r="C818" s="91"/>
      <c r="D818" s="78"/>
      <c r="E818" s="15"/>
      <c r="F818" s="15"/>
      <c r="G818" s="91"/>
      <c r="H818" s="15"/>
      <c r="I818" s="15"/>
    </row>
    <row r="819">
      <c r="A819" s="91"/>
      <c r="B819" s="91"/>
      <c r="C819" s="91"/>
      <c r="D819" s="78"/>
      <c r="E819" s="15"/>
      <c r="F819" s="15"/>
      <c r="G819" s="91"/>
      <c r="H819" s="15"/>
      <c r="I819" s="15"/>
    </row>
    <row r="820">
      <c r="A820" s="91"/>
      <c r="B820" s="91"/>
      <c r="C820" s="91"/>
      <c r="D820" s="78"/>
      <c r="E820" s="15"/>
      <c r="F820" s="15"/>
      <c r="G820" s="91"/>
      <c r="H820" s="15"/>
      <c r="I820" s="15"/>
    </row>
    <row r="821">
      <c r="A821" s="91"/>
      <c r="B821" s="91"/>
      <c r="C821" s="91"/>
      <c r="D821" s="78"/>
      <c r="E821" s="15"/>
      <c r="F821" s="15"/>
      <c r="G821" s="91"/>
      <c r="H821" s="15"/>
      <c r="I821" s="15"/>
    </row>
    <row r="822">
      <c r="A822" s="91"/>
      <c r="B822" s="91"/>
      <c r="C822" s="91"/>
      <c r="D822" s="78"/>
      <c r="E822" s="15"/>
      <c r="F822" s="15"/>
      <c r="G822" s="91"/>
      <c r="H822" s="15"/>
      <c r="I822" s="15"/>
    </row>
    <row r="823">
      <c r="A823" s="91"/>
      <c r="B823" s="91"/>
      <c r="C823" s="91"/>
      <c r="D823" s="78"/>
      <c r="E823" s="15"/>
      <c r="F823" s="15"/>
      <c r="G823" s="91"/>
      <c r="H823" s="15"/>
      <c r="I823" s="15"/>
    </row>
    <row r="824">
      <c r="A824" s="91"/>
      <c r="B824" s="91"/>
      <c r="C824" s="91"/>
      <c r="D824" s="78"/>
      <c r="E824" s="15"/>
      <c r="F824" s="15"/>
      <c r="G824" s="91"/>
      <c r="H824" s="15"/>
      <c r="I824" s="15"/>
    </row>
    <row r="825">
      <c r="A825" s="91"/>
      <c r="B825" s="91"/>
      <c r="C825" s="91"/>
      <c r="D825" s="78"/>
      <c r="E825" s="15"/>
      <c r="F825" s="15"/>
      <c r="G825" s="91"/>
      <c r="H825" s="15"/>
      <c r="I825" s="15"/>
    </row>
    <row r="826">
      <c r="A826" s="91"/>
      <c r="B826" s="91"/>
      <c r="C826" s="91"/>
      <c r="D826" s="78"/>
      <c r="E826" s="15"/>
      <c r="F826" s="15"/>
      <c r="G826" s="91"/>
      <c r="H826" s="15"/>
      <c r="I826" s="15"/>
    </row>
    <row r="827">
      <c r="A827" s="91"/>
      <c r="B827" s="91"/>
      <c r="C827" s="91"/>
      <c r="D827" s="78"/>
      <c r="E827" s="15"/>
      <c r="F827" s="15"/>
      <c r="G827" s="91"/>
      <c r="H827" s="15"/>
      <c r="I827" s="15"/>
    </row>
    <row r="828">
      <c r="A828" s="91"/>
      <c r="B828" s="91"/>
      <c r="C828" s="91"/>
      <c r="D828" s="78"/>
      <c r="E828" s="15"/>
      <c r="F828" s="15"/>
      <c r="G828" s="91"/>
      <c r="H828" s="15"/>
      <c r="I828" s="15"/>
    </row>
    <row r="829">
      <c r="A829" s="91"/>
      <c r="B829" s="91"/>
      <c r="C829" s="91"/>
      <c r="D829" s="78"/>
      <c r="E829" s="15"/>
      <c r="F829" s="15"/>
      <c r="G829" s="91"/>
      <c r="H829" s="15"/>
      <c r="I829" s="15"/>
    </row>
    <row r="830">
      <c r="A830" s="91"/>
      <c r="B830" s="91"/>
      <c r="C830" s="91"/>
      <c r="D830" s="78"/>
      <c r="E830" s="15"/>
      <c r="F830" s="15"/>
      <c r="G830" s="91"/>
      <c r="H830" s="15"/>
      <c r="I830" s="15"/>
    </row>
    <row r="831">
      <c r="A831" s="91"/>
      <c r="B831" s="91"/>
      <c r="C831" s="91"/>
      <c r="D831" s="78"/>
      <c r="E831" s="15"/>
      <c r="F831" s="15"/>
      <c r="G831" s="91"/>
      <c r="H831" s="15"/>
      <c r="I831" s="15"/>
    </row>
    <row r="832">
      <c r="A832" s="91"/>
      <c r="B832" s="91"/>
      <c r="C832" s="91"/>
      <c r="D832" s="78"/>
      <c r="E832" s="15"/>
      <c r="F832" s="15"/>
      <c r="G832" s="91"/>
      <c r="H832" s="15"/>
      <c r="I832" s="15"/>
    </row>
    <row r="833">
      <c r="A833" s="91"/>
      <c r="B833" s="91"/>
      <c r="C833" s="91"/>
      <c r="D833" s="78"/>
      <c r="E833" s="15"/>
      <c r="F833" s="15"/>
      <c r="G833" s="91"/>
      <c r="H833" s="15"/>
      <c r="I833" s="15"/>
    </row>
    <row r="834">
      <c r="A834" s="91"/>
      <c r="B834" s="91"/>
      <c r="C834" s="91"/>
      <c r="D834" s="78"/>
      <c r="E834" s="15"/>
      <c r="F834" s="15"/>
      <c r="G834" s="91"/>
      <c r="H834" s="15"/>
      <c r="I834" s="15"/>
    </row>
    <row r="835">
      <c r="A835" s="91"/>
      <c r="B835" s="91"/>
      <c r="C835" s="91"/>
      <c r="D835" s="78"/>
      <c r="E835" s="15"/>
      <c r="F835" s="15"/>
      <c r="G835" s="91"/>
      <c r="H835" s="15"/>
      <c r="I835" s="15"/>
    </row>
    <row r="836">
      <c r="A836" s="91"/>
      <c r="B836" s="91"/>
      <c r="C836" s="91"/>
      <c r="D836" s="78"/>
      <c r="E836" s="15"/>
      <c r="F836" s="15"/>
      <c r="G836" s="91"/>
      <c r="H836" s="15"/>
      <c r="I836" s="15"/>
    </row>
    <row r="837">
      <c r="A837" s="91"/>
      <c r="B837" s="91"/>
      <c r="C837" s="91"/>
      <c r="D837" s="78"/>
      <c r="E837" s="15"/>
      <c r="F837" s="15"/>
      <c r="G837" s="91"/>
      <c r="H837" s="15"/>
      <c r="I837" s="15"/>
    </row>
    <row r="838">
      <c r="A838" s="91"/>
      <c r="B838" s="91"/>
      <c r="C838" s="91"/>
      <c r="D838" s="78"/>
      <c r="E838" s="15"/>
      <c r="F838" s="15"/>
      <c r="G838" s="91"/>
      <c r="H838" s="15"/>
      <c r="I838" s="15"/>
    </row>
    <row r="839">
      <c r="A839" s="91"/>
      <c r="B839" s="91"/>
      <c r="C839" s="91"/>
      <c r="D839" s="78"/>
      <c r="E839" s="15"/>
      <c r="F839" s="15"/>
      <c r="G839" s="91"/>
      <c r="H839" s="15"/>
      <c r="I839" s="15"/>
    </row>
    <row r="840">
      <c r="A840" s="91"/>
      <c r="B840" s="91"/>
      <c r="C840" s="91"/>
      <c r="D840" s="78"/>
      <c r="E840" s="15"/>
      <c r="F840" s="15"/>
      <c r="G840" s="91"/>
      <c r="H840" s="15"/>
      <c r="I840" s="15"/>
    </row>
    <row r="841">
      <c r="A841" s="91"/>
      <c r="B841" s="91"/>
      <c r="C841" s="91"/>
      <c r="D841" s="78"/>
      <c r="E841" s="15"/>
      <c r="F841" s="15"/>
      <c r="G841" s="91"/>
      <c r="H841" s="15"/>
      <c r="I841" s="15"/>
    </row>
    <row r="842">
      <c r="A842" s="91"/>
      <c r="B842" s="91"/>
      <c r="C842" s="91"/>
      <c r="D842" s="78"/>
      <c r="E842" s="15"/>
      <c r="F842" s="15"/>
      <c r="G842" s="91"/>
      <c r="H842" s="15"/>
      <c r="I842" s="15"/>
    </row>
    <row r="843">
      <c r="A843" s="91"/>
      <c r="B843" s="91"/>
      <c r="C843" s="91"/>
      <c r="D843" s="78"/>
      <c r="E843" s="15"/>
      <c r="F843" s="15"/>
      <c r="G843" s="91"/>
      <c r="H843" s="15"/>
      <c r="I843" s="15"/>
    </row>
    <row r="844">
      <c r="A844" s="91"/>
      <c r="B844" s="91"/>
      <c r="C844" s="91"/>
      <c r="D844" s="78"/>
      <c r="E844" s="15"/>
      <c r="F844" s="15"/>
      <c r="G844" s="91"/>
      <c r="H844" s="15"/>
      <c r="I844" s="15"/>
    </row>
    <row r="845">
      <c r="A845" s="91"/>
      <c r="B845" s="91"/>
      <c r="C845" s="91"/>
      <c r="D845" s="78"/>
      <c r="E845" s="15"/>
      <c r="F845" s="15"/>
      <c r="G845" s="91"/>
      <c r="H845" s="15"/>
      <c r="I845" s="15"/>
    </row>
    <row r="846">
      <c r="A846" s="91"/>
      <c r="B846" s="91"/>
      <c r="C846" s="91"/>
      <c r="D846" s="78"/>
      <c r="E846" s="15"/>
      <c r="F846" s="15"/>
      <c r="G846" s="91"/>
      <c r="H846" s="15"/>
      <c r="I846" s="15"/>
    </row>
    <row r="847">
      <c r="A847" s="91"/>
      <c r="B847" s="91"/>
      <c r="C847" s="91"/>
      <c r="D847" s="78"/>
      <c r="E847" s="15"/>
      <c r="F847" s="15"/>
      <c r="G847" s="91"/>
      <c r="H847" s="15"/>
      <c r="I847" s="15"/>
    </row>
    <row r="848">
      <c r="A848" s="91"/>
      <c r="B848" s="91"/>
      <c r="C848" s="91"/>
      <c r="D848" s="78"/>
      <c r="E848" s="15"/>
      <c r="F848" s="15"/>
      <c r="G848" s="91"/>
      <c r="H848" s="15"/>
      <c r="I848" s="15"/>
    </row>
    <row r="849">
      <c r="A849" s="91"/>
      <c r="B849" s="91"/>
      <c r="C849" s="91"/>
      <c r="D849" s="78"/>
      <c r="E849" s="15"/>
      <c r="F849" s="15"/>
      <c r="G849" s="91"/>
      <c r="H849" s="15"/>
      <c r="I849" s="15"/>
    </row>
    <row r="850">
      <c r="A850" s="91"/>
      <c r="B850" s="91"/>
      <c r="C850" s="91"/>
      <c r="D850" s="78"/>
      <c r="E850" s="15"/>
      <c r="F850" s="15"/>
      <c r="G850" s="91"/>
      <c r="H850" s="15"/>
      <c r="I850" s="15"/>
    </row>
    <row r="851">
      <c r="A851" s="91"/>
      <c r="B851" s="91"/>
      <c r="C851" s="91"/>
      <c r="D851" s="78"/>
      <c r="E851" s="15"/>
      <c r="F851" s="15"/>
      <c r="G851" s="91"/>
      <c r="H851" s="15"/>
      <c r="I851" s="15"/>
    </row>
    <row r="852">
      <c r="A852" s="91"/>
      <c r="B852" s="91"/>
      <c r="C852" s="91"/>
      <c r="D852" s="78"/>
      <c r="E852" s="15"/>
      <c r="F852" s="15"/>
      <c r="G852" s="91"/>
      <c r="H852" s="15"/>
      <c r="I852" s="15"/>
    </row>
    <row r="853">
      <c r="A853" s="91"/>
      <c r="B853" s="91"/>
      <c r="C853" s="91"/>
      <c r="D853" s="78"/>
      <c r="E853" s="15"/>
      <c r="F853" s="15"/>
      <c r="G853" s="91"/>
      <c r="H853" s="15"/>
      <c r="I853" s="15"/>
    </row>
    <row r="854">
      <c r="A854" s="91"/>
      <c r="B854" s="91"/>
      <c r="C854" s="91"/>
      <c r="D854" s="78"/>
      <c r="E854" s="15"/>
      <c r="F854" s="15"/>
      <c r="G854" s="91"/>
      <c r="H854" s="15"/>
      <c r="I854" s="15"/>
    </row>
    <row r="855">
      <c r="A855" s="91"/>
      <c r="B855" s="91"/>
      <c r="C855" s="91"/>
      <c r="D855" s="78"/>
      <c r="E855" s="15"/>
      <c r="F855" s="15"/>
      <c r="G855" s="91"/>
      <c r="H855" s="15"/>
      <c r="I855" s="15"/>
    </row>
    <row r="856">
      <c r="A856" s="91"/>
      <c r="B856" s="91"/>
      <c r="C856" s="91"/>
      <c r="D856" s="78"/>
      <c r="E856" s="15"/>
      <c r="F856" s="15"/>
      <c r="G856" s="91"/>
      <c r="H856" s="15"/>
      <c r="I856" s="15"/>
    </row>
    <row r="857">
      <c r="A857" s="91"/>
      <c r="B857" s="91"/>
      <c r="C857" s="91"/>
      <c r="D857" s="78"/>
      <c r="E857" s="15"/>
      <c r="F857" s="15"/>
      <c r="G857" s="91"/>
      <c r="H857" s="15"/>
      <c r="I857" s="15"/>
    </row>
    <row r="858">
      <c r="A858" s="91"/>
      <c r="B858" s="91"/>
      <c r="C858" s="91"/>
      <c r="D858" s="78"/>
      <c r="E858" s="15"/>
      <c r="F858" s="15"/>
      <c r="G858" s="91"/>
      <c r="H858" s="15"/>
      <c r="I858" s="15"/>
    </row>
    <row r="859">
      <c r="A859" s="91"/>
      <c r="B859" s="91"/>
      <c r="C859" s="91"/>
      <c r="D859" s="78"/>
      <c r="E859" s="15"/>
      <c r="F859" s="15"/>
      <c r="G859" s="91"/>
      <c r="H859" s="15"/>
      <c r="I859" s="15"/>
    </row>
    <row r="860">
      <c r="A860" s="91"/>
      <c r="B860" s="91"/>
      <c r="C860" s="91"/>
      <c r="D860" s="78"/>
      <c r="E860" s="15"/>
      <c r="F860" s="15"/>
      <c r="G860" s="91"/>
      <c r="H860" s="15"/>
      <c r="I860" s="15"/>
    </row>
    <row r="861">
      <c r="A861" s="91"/>
      <c r="B861" s="91"/>
      <c r="C861" s="91"/>
      <c r="D861" s="78"/>
      <c r="E861" s="15"/>
      <c r="F861" s="15"/>
      <c r="G861" s="91"/>
      <c r="H861" s="15"/>
      <c r="I861" s="15"/>
    </row>
    <row r="862">
      <c r="A862" s="91"/>
      <c r="B862" s="91"/>
      <c r="C862" s="91"/>
      <c r="D862" s="78"/>
      <c r="E862" s="15"/>
      <c r="F862" s="15"/>
      <c r="G862" s="91"/>
      <c r="H862" s="15"/>
      <c r="I862" s="15"/>
    </row>
    <row r="863">
      <c r="A863" s="91"/>
      <c r="B863" s="91"/>
      <c r="C863" s="91"/>
      <c r="D863" s="78"/>
      <c r="E863" s="15"/>
      <c r="F863" s="15"/>
      <c r="G863" s="91"/>
      <c r="H863" s="15"/>
      <c r="I863" s="15"/>
    </row>
    <row r="864">
      <c r="A864" s="91"/>
      <c r="B864" s="91"/>
      <c r="C864" s="91"/>
      <c r="D864" s="78"/>
      <c r="E864" s="15"/>
      <c r="F864" s="15"/>
      <c r="G864" s="91"/>
      <c r="H864" s="15"/>
      <c r="I864" s="15"/>
    </row>
    <row r="865">
      <c r="A865" s="91"/>
      <c r="B865" s="91"/>
      <c r="C865" s="91"/>
      <c r="D865" s="78"/>
      <c r="E865" s="15"/>
      <c r="F865" s="15"/>
      <c r="G865" s="91"/>
      <c r="H865" s="15"/>
      <c r="I865" s="15"/>
    </row>
    <row r="866">
      <c r="A866" s="91"/>
      <c r="B866" s="91"/>
      <c r="C866" s="91"/>
      <c r="D866" s="78"/>
      <c r="E866" s="15"/>
      <c r="F866" s="15"/>
      <c r="G866" s="91"/>
      <c r="H866" s="15"/>
      <c r="I866" s="15"/>
    </row>
    <row r="867">
      <c r="A867" s="91"/>
      <c r="B867" s="91"/>
      <c r="C867" s="91"/>
      <c r="D867" s="78"/>
      <c r="E867" s="15"/>
      <c r="F867" s="15"/>
      <c r="G867" s="91"/>
      <c r="H867" s="15"/>
      <c r="I867" s="15"/>
    </row>
    <row r="868">
      <c r="A868" s="91"/>
      <c r="B868" s="91"/>
      <c r="C868" s="91"/>
      <c r="D868" s="78"/>
      <c r="E868" s="15"/>
      <c r="F868" s="15"/>
      <c r="G868" s="91"/>
      <c r="H868" s="15"/>
      <c r="I868" s="15"/>
    </row>
    <row r="869">
      <c r="A869" s="91"/>
      <c r="B869" s="91"/>
      <c r="C869" s="91"/>
      <c r="D869" s="78"/>
      <c r="E869" s="15"/>
      <c r="F869" s="15"/>
      <c r="G869" s="91"/>
      <c r="H869" s="15"/>
      <c r="I869" s="15"/>
    </row>
    <row r="870">
      <c r="A870" s="91"/>
      <c r="B870" s="91"/>
      <c r="C870" s="91"/>
      <c r="D870" s="78"/>
      <c r="E870" s="15"/>
      <c r="F870" s="15"/>
      <c r="G870" s="91"/>
      <c r="H870" s="15"/>
      <c r="I870" s="15"/>
    </row>
    <row r="871">
      <c r="A871" s="91"/>
      <c r="B871" s="91"/>
      <c r="C871" s="91"/>
      <c r="D871" s="78"/>
      <c r="E871" s="15"/>
      <c r="F871" s="15"/>
      <c r="G871" s="91"/>
      <c r="H871" s="15"/>
      <c r="I871" s="15"/>
    </row>
    <row r="872">
      <c r="A872" s="91"/>
      <c r="B872" s="91"/>
      <c r="C872" s="91"/>
      <c r="D872" s="78"/>
      <c r="E872" s="15"/>
      <c r="F872" s="15"/>
      <c r="G872" s="91"/>
      <c r="H872" s="15"/>
      <c r="I872" s="15"/>
    </row>
    <row r="873">
      <c r="A873" s="91"/>
      <c r="B873" s="91"/>
      <c r="C873" s="91"/>
      <c r="D873" s="78"/>
      <c r="E873" s="15"/>
      <c r="F873" s="15"/>
      <c r="G873" s="91"/>
      <c r="H873" s="15"/>
      <c r="I873" s="15"/>
    </row>
    <row r="874">
      <c r="A874" s="91"/>
      <c r="B874" s="91"/>
      <c r="C874" s="91"/>
      <c r="D874" s="78"/>
      <c r="E874" s="15"/>
      <c r="F874" s="15"/>
      <c r="G874" s="91"/>
      <c r="H874" s="15"/>
      <c r="I874" s="15"/>
    </row>
    <row r="875">
      <c r="A875" s="91"/>
      <c r="B875" s="91"/>
      <c r="C875" s="91"/>
      <c r="D875" s="78"/>
      <c r="E875" s="15"/>
      <c r="F875" s="15"/>
      <c r="G875" s="91"/>
      <c r="H875" s="15"/>
      <c r="I875" s="15"/>
    </row>
    <row r="876">
      <c r="A876" s="91"/>
      <c r="B876" s="91"/>
      <c r="C876" s="91"/>
      <c r="D876" s="78"/>
      <c r="E876" s="15"/>
      <c r="F876" s="15"/>
      <c r="G876" s="91"/>
      <c r="H876" s="15"/>
      <c r="I876" s="15"/>
    </row>
    <row r="877">
      <c r="A877" s="91"/>
      <c r="B877" s="91"/>
      <c r="C877" s="91"/>
      <c r="D877" s="78"/>
      <c r="E877" s="15"/>
      <c r="F877" s="15"/>
      <c r="G877" s="91"/>
      <c r="H877" s="15"/>
      <c r="I877" s="15"/>
    </row>
    <row r="878">
      <c r="A878" s="91"/>
      <c r="B878" s="91"/>
      <c r="C878" s="91"/>
      <c r="D878" s="78"/>
      <c r="E878" s="15"/>
      <c r="F878" s="15"/>
      <c r="G878" s="91"/>
      <c r="H878" s="15"/>
      <c r="I878" s="15"/>
    </row>
    <row r="879">
      <c r="A879" s="91"/>
      <c r="B879" s="91"/>
      <c r="C879" s="91"/>
      <c r="D879" s="78"/>
      <c r="E879" s="15"/>
      <c r="F879" s="15"/>
      <c r="G879" s="91"/>
      <c r="H879" s="15"/>
      <c r="I879" s="15"/>
    </row>
    <row r="880">
      <c r="A880" s="91"/>
      <c r="B880" s="91"/>
      <c r="C880" s="91"/>
      <c r="D880" s="78"/>
      <c r="E880" s="15"/>
      <c r="F880" s="15"/>
      <c r="G880" s="91"/>
      <c r="H880" s="15"/>
      <c r="I880" s="15"/>
    </row>
    <row r="881">
      <c r="A881" s="91"/>
      <c r="B881" s="91"/>
      <c r="C881" s="91"/>
      <c r="D881" s="78"/>
      <c r="E881" s="15"/>
      <c r="F881" s="15"/>
      <c r="G881" s="91"/>
      <c r="H881" s="15"/>
      <c r="I881" s="15"/>
    </row>
    <row r="882">
      <c r="A882" s="91"/>
      <c r="B882" s="91"/>
      <c r="C882" s="91"/>
      <c r="D882" s="78"/>
      <c r="E882" s="15"/>
      <c r="F882" s="15"/>
      <c r="G882" s="91"/>
      <c r="H882" s="15"/>
      <c r="I882" s="15"/>
    </row>
    <row r="883">
      <c r="A883" s="91"/>
      <c r="B883" s="91"/>
      <c r="C883" s="91"/>
      <c r="D883" s="78"/>
      <c r="E883" s="15"/>
      <c r="F883" s="15"/>
      <c r="G883" s="91"/>
      <c r="H883" s="15"/>
      <c r="I883" s="15"/>
    </row>
    <row r="884">
      <c r="A884" s="91"/>
      <c r="B884" s="91"/>
      <c r="C884" s="91"/>
      <c r="D884" s="78"/>
      <c r="E884" s="15"/>
      <c r="F884" s="15"/>
      <c r="G884" s="91"/>
      <c r="H884" s="15"/>
      <c r="I884" s="15"/>
    </row>
    <row r="885">
      <c r="A885" s="91"/>
      <c r="B885" s="91"/>
      <c r="C885" s="91"/>
      <c r="D885" s="78"/>
      <c r="E885" s="15"/>
      <c r="F885" s="15"/>
      <c r="G885" s="91"/>
      <c r="H885" s="15"/>
      <c r="I885" s="15"/>
    </row>
    <row r="886">
      <c r="A886" s="91"/>
      <c r="B886" s="91"/>
      <c r="C886" s="91"/>
      <c r="D886" s="78"/>
      <c r="E886" s="15"/>
      <c r="F886" s="15"/>
      <c r="G886" s="91"/>
      <c r="H886" s="15"/>
      <c r="I886" s="15"/>
    </row>
    <row r="887">
      <c r="A887" s="91"/>
      <c r="B887" s="91"/>
      <c r="C887" s="91"/>
      <c r="D887" s="78"/>
      <c r="E887" s="15"/>
      <c r="F887" s="15"/>
      <c r="G887" s="91"/>
      <c r="H887" s="15"/>
      <c r="I887" s="15"/>
    </row>
    <row r="888">
      <c r="A888" s="91"/>
      <c r="B888" s="91"/>
      <c r="C888" s="91"/>
      <c r="D888" s="78"/>
      <c r="E888" s="15"/>
      <c r="F888" s="15"/>
      <c r="G888" s="91"/>
      <c r="H888" s="15"/>
      <c r="I888" s="15"/>
    </row>
    <row r="889">
      <c r="A889" s="91"/>
      <c r="B889" s="91"/>
      <c r="C889" s="91"/>
      <c r="D889" s="78"/>
      <c r="E889" s="15"/>
      <c r="F889" s="15"/>
      <c r="G889" s="91"/>
      <c r="H889" s="15"/>
      <c r="I889" s="15"/>
    </row>
    <row r="890">
      <c r="A890" s="91"/>
      <c r="B890" s="91"/>
      <c r="C890" s="91"/>
      <c r="D890" s="78"/>
      <c r="E890" s="15"/>
      <c r="F890" s="15"/>
      <c r="G890" s="91"/>
      <c r="H890" s="15"/>
      <c r="I890" s="15"/>
    </row>
    <row r="891">
      <c r="A891" s="91"/>
      <c r="B891" s="91"/>
      <c r="C891" s="91"/>
      <c r="D891" s="78"/>
      <c r="E891" s="15"/>
      <c r="F891" s="15"/>
      <c r="G891" s="91"/>
      <c r="H891" s="15"/>
      <c r="I891" s="15"/>
    </row>
    <row r="892">
      <c r="A892" s="91"/>
      <c r="B892" s="91"/>
      <c r="C892" s="91"/>
      <c r="D892" s="78"/>
      <c r="E892" s="15"/>
      <c r="F892" s="15"/>
      <c r="G892" s="91"/>
      <c r="H892" s="15"/>
      <c r="I892" s="15"/>
    </row>
    <row r="893">
      <c r="A893" s="91"/>
      <c r="B893" s="91"/>
      <c r="C893" s="91"/>
      <c r="D893" s="78"/>
      <c r="E893" s="15"/>
      <c r="F893" s="15"/>
      <c r="G893" s="91"/>
      <c r="H893" s="15"/>
      <c r="I893" s="15"/>
    </row>
    <row r="894">
      <c r="A894" s="91"/>
      <c r="B894" s="91"/>
      <c r="C894" s="91"/>
      <c r="D894" s="78"/>
      <c r="E894" s="15"/>
      <c r="F894" s="15"/>
      <c r="G894" s="91"/>
      <c r="H894" s="15"/>
      <c r="I894" s="15"/>
    </row>
    <row r="895">
      <c r="A895" s="91"/>
      <c r="B895" s="91"/>
      <c r="C895" s="91"/>
      <c r="D895" s="78"/>
      <c r="E895" s="15"/>
      <c r="F895" s="15"/>
      <c r="G895" s="91"/>
      <c r="H895" s="15"/>
      <c r="I895" s="15"/>
    </row>
    <row r="896">
      <c r="A896" s="91"/>
      <c r="B896" s="91"/>
      <c r="C896" s="91"/>
      <c r="D896" s="78"/>
      <c r="E896" s="15"/>
      <c r="F896" s="15"/>
      <c r="G896" s="91"/>
      <c r="H896" s="15"/>
      <c r="I896" s="15"/>
    </row>
    <row r="897">
      <c r="A897" s="91"/>
      <c r="B897" s="91"/>
      <c r="C897" s="91"/>
      <c r="D897" s="78"/>
      <c r="E897" s="15"/>
      <c r="F897" s="15"/>
      <c r="G897" s="91"/>
      <c r="H897" s="15"/>
      <c r="I897" s="15"/>
    </row>
    <row r="898">
      <c r="A898" s="91"/>
      <c r="B898" s="91"/>
      <c r="C898" s="91"/>
      <c r="D898" s="78"/>
      <c r="E898" s="15"/>
      <c r="F898" s="15"/>
      <c r="G898" s="91"/>
      <c r="H898" s="15"/>
      <c r="I898" s="15"/>
    </row>
    <row r="899">
      <c r="A899" s="91"/>
      <c r="B899" s="91"/>
      <c r="C899" s="91"/>
      <c r="D899" s="78"/>
      <c r="E899" s="15"/>
      <c r="F899" s="15"/>
      <c r="G899" s="91"/>
      <c r="H899" s="15"/>
      <c r="I899" s="15"/>
    </row>
    <row r="900">
      <c r="A900" s="91"/>
      <c r="B900" s="91"/>
      <c r="C900" s="91"/>
      <c r="D900" s="78"/>
      <c r="E900" s="15"/>
      <c r="F900" s="15"/>
      <c r="G900" s="91"/>
      <c r="H900" s="15"/>
      <c r="I900" s="15"/>
    </row>
    <row r="901">
      <c r="A901" s="91"/>
      <c r="B901" s="91"/>
      <c r="C901" s="91"/>
      <c r="D901" s="78"/>
      <c r="E901" s="15"/>
      <c r="F901" s="15"/>
      <c r="G901" s="91"/>
      <c r="H901" s="15"/>
      <c r="I901" s="15"/>
    </row>
    <row r="902">
      <c r="A902" s="91"/>
      <c r="B902" s="91"/>
      <c r="C902" s="91"/>
      <c r="D902" s="78"/>
      <c r="E902" s="15"/>
      <c r="F902" s="15"/>
      <c r="G902" s="91"/>
      <c r="H902" s="15"/>
      <c r="I902" s="15"/>
    </row>
    <row r="903">
      <c r="A903" s="91"/>
      <c r="B903" s="91"/>
      <c r="C903" s="91"/>
      <c r="D903" s="78"/>
      <c r="E903" s="15"/>
      <c r="F903" s="15"/>
      <c r="G903" s="91"/>
      <c r="H903" s="15"/>
      <c r="I903" s="15"/>
    </row>
    <row r="904">
      <c r="A904" s="91"/>
      <c r="B904" s="91"/>
      <c r="C904" s="91"/>
      <c r="D904" s="78"/>
      <c r="E904" s="15"/>
      <c r="F904" s="15"/>
      <c r="G904" s="91"/>
      <c r="H904" s="15"/>
      <c r="I904" s="15"/>
    </row>
    <row r="905">
      <c r="A905" s="91"/>
      <c r="B905" s="91"/>
      <c r="C905" s="91"/>
      <c r="D905" s="78"/>
      <c r="E905" s="15"/>
      <c r="F905" s="15"/>
      <c r="G905" s="91"/>
      <c r="H905" s="15"/>
      <c r="I905" s="15"/>
    </row>
    <row r="906">
      <c r="A906" s="91"/>
      <c r="B906" s="91"/>
      <c r="C906" s="91"/>
      <c r="D906" s="78"/>
      <c r="E906" s="15"/>
      <c r="F906" s="15"/>
      <c r="G906" s="91"/>
      <c r="H906" s="15"/>
      <c r="I906" s="15"/>
    </row>
    <row r="907">
      <c r="A907" s="91"/>
      <c r="B907" s="91"/>
      <c r="C907" s="91"/>
      <c r="D907" s="78"/>
      <c r="E907" s="15"/>
      <c r="F907" s="15"/>
      <c r="G907" s="91"/>
      <c r="H907" s="15"/>
      <c r="I907" s="15"/>
    </row>
    <row r="908">
      <c r="A908" s="91"/>
      <c r="B908" s="91"/>
      <c r="C908" s="91"/>
      <c r="D908" s="78"/>
      <c r="E908" s="15"/>
      <c r="F908" s="15"/>
      <c r="G908" s="91"/>
      <c r="H908" s="15"/>
      <c r="I908" s="15"/>
    </row>
    <row r="909">
      <c r="A909" s="91"/>
      <c r="B909" s="91"/>
      <c r="C909" s="91"/>
      <c r="D909" s="78"/>
      <c r="E909" s="15"/>
      <c r="F909" s="15"/>
      <c r="G909" s="91"/>
      <c r="H909" s="15"/>
      <c r="I909" s="15"/>
    </row>
    <row r="910">
      <c r="A910" s="91"/>
      <c r="B910" s="91"/>
      <c r="C910" s="91"/>
      <c r="D910" s="78"/>
      <c r="E910" s="15"/>
      <c r="F910" s="15"/>
      <c r="G910" s="91"/>
      <c r="H910" s="15"/>
      <c r="I910" s="15"/>
    </row>
    <row r="911">
      <c r="A911" s="91"/>
      <c r="B911" s="91"/>
      <c r="C911" s="91"/>
      <c r="D911" s="78"/>
      <c r="E911" s="15"/>
      <c r="F911" s="15"/>
      <c r="G911" s="91"/>
      <c r="H911" s="15"/>
      <c r="I911" s="15"/>
    </row>
    <row r="912">
      <c r="A912" s="91"/>
      <c r="B912" s="91"/>
      <c r="C912" s="91"/>
      <c r="D912" s="78"/>
      <c r="E912" s="15"/>
      <c r="F912" s="15"/>
      <c r="G912" s="91"/>
      <c r="H912" s="15"/>
      <c r="I912" s="15"/>
    </row>
    <row r="913">
      <c r="A913" s="91"/>
      <c r="B913" s="91"/>
      <c r="C913" s="91"/>
      <c r="D913" s="78"/>
      <c r="E913" s="15"/>
      <c r="F913" s="15"/>
      <c r="G913" s="91"/>
      <c r="H913" s="15"/>
      <c r="I913" s="15"/>
    </row>
    <row r="914">
      <c r="A914" s="91"/>
      <c r="B914" s="91"/>
      <c r="C914" s="91"/>
      <c r="D914" s="78"/>
      <c r="E914" s="15"/>
      <c r="F914" s="15"/>
      <c r="G914" s="91"/>
      <c r="H914" s="15"/>
      <c r="I914" s="15"/>
    </row>
    <row r="915">
      <c r="A915" s="91"/>
      <c r="B915" s="91"/>
      <c r="C915" s="91"/>
      <c r="D915" s="78"/>
      <c r="E915" s="15"/>
      <c r="F915" s="15"/>
      <c r="G915" s="91"/>
      <c r="H915" s="15"/>
      <c r="I915" s="15"/>
    </row>
    <row r="916">
      <c r="A916" s="91"/>
      <c r="B916" s="91"/>
      <c r="C916" s="91"/>
      <c r="D916" s="78"/>
      <c r="E916" s="15"/>
      <c r="F916" s="15"/>
      <c r="G916" s="91"/>
      <c r="H916" s="15"/>
      <c r="I916" s="15"/>
    </row>
    <row r="917">
      <c r="A917" s="91"/>
      <c r="B917" s="91"/>
      <c r="C917" s="91"/>
      <c r="D917" s="78"/>
      <c r="E917" s="15"/>
      <c r="F917" s="15"/>
      <c r="G917" s="91"/>
      <c r="H917" s="15"/>
      <c r="I917" s="15"/>
    </row>
    <row r="918">
      <c r="A918" s="91"/>
      <c r="B918" s="91"/>
      <c r="C918" s="91"/>
      <c r="D918" s="78"/>
      <c r="E918" s="15"/>
      <c r="F918" s="15"/>
      <c r="G918" s="91"/>
      <c r="H918" s="15"/>
      <c r="I918" s="15"/>
    </row>
    <row r="919">
      <c r="A919" s="91"/>
      <c r="B919" s="91"/>
      <c r="C919" s="91"/>
      <c r="D919" s="78"/>
      <c r="E919" s="15"/>
      <c r="F919" s="15"/>
      <c r="G919" s="91"/>
      <c r="H919" s="15"/>
      <c r="I919" s="15"/>
    </row>
    <row r="920">
      <c r="A920" s="91"/>
      <c r="B920" s="91"/>
      <c r="C920" s="91"/>
      <c r="D920" s="78"/>
      <c r="E920" s="15"/>
      <c r="F920" s="15"/>
      <c r="G920" s="91"/>
      <c r="H920" s="15"/>
      <c r="I920" s="15"/>
    </row>
    <row r="921">
      <c r="A921" s="91"/>
      <c r="B921" s="91"/>
      <c r="C921" s="91"/>
      <c r="D921" s="78"/>
      <c r="E921" s="15"/>
      <c r="F921" s="15"/>
      <c r="G921" s="91"/>
      <c r="H921" s="15"/>
      <c r="I921" s="15"/>
    </row>
    <row r="922">
      <c r="A922" s="91"/>
      <c r="B922" s="91"/>
      <c r="C922" s="91"/>
      <c r="D922" s="78"/>
      <c r="E922" s="15"/>
      <c r="F922" s="15"/>
      <c r="G922" s="91"/>
      <c r="H922" s="15"/>
      <c r="I922" s="15"/>
    </row>
    <row r="923">
      <c r="A923" s="91"/>
      <c r="B923" s="91"/>
      <c r="C923" s="91"/>
      <c r="D923" s="78"/>
      <c r="E923" s="15"/>
      <c r="F923" s="15"/>
      <c r="G923" s="91"/>
      <c r="H923" s="15"/>
      <c r="I923" s="15"/>
    </row>
    <row r="924">
      <c r="A924" s="91"/>
      <c r="B924" s="91"/>
      <c r="C924" s="91"/>
      <c r="D924" s="78"/>
      <c r="E924" s="15"/>
      <c r="F924" s="15"/>
      <c r="G924" s="91"/>
      <c r="H924" s="15"/>
      <c r="I924" s="15"/>
    </row>
    <row r="925">
      <c r="A925" s="91"/>
      <c r="B925" s="91"/>
      <c r="C925" s="91"/>
      <c r="D925" s="78"/>
      <c r="E925" s="15"/>
      <c r="F925" s="15"/>
      <c r="G925" s="91"/>
      <c r="H925" s="15"/>
      <c r="I925" s="15"/>
    </row>
    <row r="926">
      <c r="A926" s="91"/>
      <c r="B926" s="91"/>
      <c r="C926" s="91"/>
      <c r="D926" s="78"/>
      <c r="E926" s="15"/>
      <c r="F926" s="15"/>
      <c r="G926" s="91"/>
      <c r="H926" s="15"/>
      <c r="I926" s="15"/>
    </row>
    <row r="927">
      <c r="A927" s="91"/>
      <c r="B927" s="91"/>
      <c r="C927" s="91"/>
      <c r="D927" s="78"/>
      <c r="E927" s="15"/>
      <c r="F927" s="15"/>
      <c r="G927" s="91"/>
      <c r="H927" s="15"/>
      <c r="I927" s="15"/>
    </row>
    <row r="928">
      <c r="A928" s="91"/>
      <c r="B928" s="91"/>
      <c r="C928" s="91"/>
      <c r="D928" s="78"/>
      <c r="E928" s="15"/>
      <c r="F928" s="15"/>
      <c r="G928" s="91"/>
      <c r="H928" s="15"/>
      <c r="I928" s="15"/>
    </row>
    <row r="929">
      <c r="A929" s="91"/>
      <c r="B929" s="91"/>
      <c r="C929" s="91"/>
      <c r="D929" s="78"/>
      <c r="E929" s="15"/>
      <c r="F929" s="15"/>
      <c r="G929" s="91"/>
      <c r="H929" s="15"/>
      <c r="I929" s="15"/>
    </row>
    <row r="930">
      <c r="A930" s="91"/>
      <c r="B930" s="91"/>
      <c r="C930" s="91"/>
      <c r="D930" s="78"/>
      <c r="E930" s="15"/>
      <c r="F930" s="15"/>
      <c r="G930" s="91"/>
      <c r="H930" s="15"/>
      <c r="I930" s="15"/>
    </row>
    <row r="931">
      <c r="A931" s="91"/>
      <c r="B931" s="91"/>
      <c r="C931" s="91"/>
      <c r="D931" s="78"/>
      <c r="E931" s="15"/>
      <c r="F931" s="15"/>
      <c r="G931" s="91"/>
      <c r="H931" s="15"/>
      <c r="I931" s="15"/>
    </row>
    <row r="932">
      <c r="A932" s="91"/>
      <c r="B932" s="91"/>
      <c r="C932" s="91"/>
      <c r="D932" s="78"/>
      <c r="E932" s="15"/>
      <c r="F932" s="15"/>
      <c r="G932" s="91"/>
      <c r="H932" s="15"/>
      <c r="I932" s="15"/>
    </row>
    <row r="933">
      <c r="A933" s="91"/>
      <c r="B933" s="91"/>
      <c r="C933" s="91"/>
      <c r="D933" s="78"/>
      <c r="E933" s="15"/>
      <c r="F933" s="15"/>
      <c r="G933" s="91"/>
      <c r="H933" s="15"/>
      <c r="I933" s="15"/>
    </row>
    <row r="934">
      <c r="A934" s="91"/>
      <c r="B934" s="91"/>
      <c r="C934" s="91"/>
      <c r="D934" s="78"/>
      <c r="E934" s="15"/>
      <c r="F934" s="15"/>
      <c r="G934" s="91"/>
      <c r="H934" s="15"/>
      <c r="I934" s="15"/>
    </row>
    <row r="935">
      <c r="A935" s="91"/>
      <c r="B935" s="91"/>
      <c r="C935" s="91"/>
      <c r="D935" s="78"/>
      <c r="E935" s="15"/>
      <c r="F935" s="15"/>
      <c r="G935" s="91"/>
      <c r="H935" s="15"/>
      <c r="I935" s="15"/>
    </row>
    <row r="936">
      <c r="A936" s="91"/>
      <c r="B936" s="91"/>
      <c r="C936" s="91"/>
      <c r="D936" s="78"/>
      <c r="E936" s="15"/>
      <c r="F936" s="15"/>
      <c r="G936" s="91"/>
      <c r="H936" s="15"/>
      <c r="I936" s="15"/>
    </row>
    <row r="937">
      <c r="A937" s="91"/>
      <c r="B937" s="91"/>
      <c r="C937" s="91"/>
      <c r="D937" s="78"/>
      <c r="E937" s="15"/>
      <c r="F937" s="15"/>
      <c r="G937" s="91"/>
      <c r="H937" s="15"/>
      <c r="I937" s="15"/>
    </row>
    <row r="938">
      <c r="A938" s="91"/>
      <c r="B938" s="91"/>
      <c r="C938" s="91"/>
      <c r="D938" s="78"/>
      <c r="E938" s="15"/>
      <c r="F938" s="15"/>
      <c r="G938" s="91"/>
      <c r="H938" s="15"/>
      <c r="I938" s="15"/>
    </row>
    <row r="939">
      <c r="A939" s="91"/>
      <c r="B939" s="91"/>
      <c r="C939" s="91"/>
      <c r="D939" s="78"/>
      <c r="E939" s="15"/>
      <c r="F939" s="15"/>
      <c r="G939" s="91"/>
      <c r="H939" s="15"/>
      <c r="I939" s="15"/>
    </row>
    <row r="940">
      <c r="A940" s="91"/>
      <c r="B940" s="91"/>
      <c r="C940" s="91"/>
      <c r="D940" s="78"/>
      <c r="E940" s="15"/>
      <c r="F940" s="15"/>
      <c r="G940" s="91"/>
      <c r="H940" s="15"/>
      <c r="I940" s="15"/>
    </row>
    <row r="941">
      <c r="A941" s="91"/>
      <c r="B941" s="91"/>
      <c r="C941" s="91"/>
      <c r="D941" s="78"/>
      <c r="E941" s="15"/>
      <c r="F941" s="15"/>
      <c r="G941" s="91"/>
      <c r="H941" s="15"/>
      <c r="I941" s="15"/>
    </row>
    <row r="942">
      <c r="A942" s="91"/>
      <c r="B942" s="91"/>
      <c r="C942" s="91"/>
      <c r="D942" s="78"/>
      <c r="E942" s="15"/>
      <c r="F942" s="15"/>
      <c r="G942" s="91"/>
      <c r="H942" s="15"/>
      <c r="I942" s="15"/>
    </row>
    <row r="943">
      <c r="A943" s="91"/>
      <c r="B943" s="91"/>
      <c r="C943" s="91"/>
      <c r="D943" s="78"/>
      <c r="E943" s="15"/>
      <c r="F943" s="15"/>
      <c r="G943" s="91"/>
      <c r="H943" s="15"/>
      <c r="I943" s="15"/>
    </row>
    <row r="944">
      <c r="A944" s="91"/>
      <c r="B944" s="91"/>
      <c r="C944" s="91"/>
      <c r="D944" s="78"/>
      <c r="E944" s="15"/>
      <c r="F944" s="15"/>
      <c r="G944" s="91"/>
      <c r="H944" s="15"/>
      <c r="I944" s="15"/>
    </row>
    <row r="945">
      <c r="A945" s="91"/>
      <c r="B945" s="91"/>
      <c r="C945" s="91"/>
      <c r="D945" s="78"/>
      <c r="E945" s="15"/>
      <c r="F945" s="15"/>
      <c r="G945" s="91"/>
      <c r="H945" s="15"/>
      <c r="I945" s="15"/>
    </row>
    <row r="946">
      <c r="A946" s="91"/>
      <c r="B946" s="91"/>
      <c r="C946" s="91"/>
      <c r="D946" s="78"/>
      <c r="E946" s="15"/>
      <c r="F946" s="15"/>
      <c r="G946" s="91"/>
      <c r="H946" s="15"/>
      <c r="I946" s="15"/>
    </row>
    <row r="947">
      <c r="A947" s="91"/>
      <c r="B947" s="91"/>
      <c r="C947" s="91"/>
      <c r="D947" s="78"/>
      <c r="E947" s="15"/>
      <c r="F947" s="15"/>
      <c r="G947" s="91"/>
      <c r="H947" s="15"/>
      <c r="I947" s="15"/>
    </row>
    <row r="948">
      <c r="A948" s="91"/>
      <c r="B948" s="91"/>
      <c r="C948" s="91"/>
      <c r="D948" s="78"/>
      <c r="E948" s="15"/>
      <c r="F948" s="15"/>
      <c r="G948" s="91"/>
      <c r="H948" s="15"/>
      <c r="I948" s="15"/>
    </row>
    <row r="949">
      <c r="A949" s="91"/>
      <c r="B949" s="91"/>
      <c r="C949" s="91"/>
      <c r="D949" s="78"/>
      <c r="E949" s="15"/>
      <c r="F949" s="15"/>
      <c r="G949" s="91"/>
      <c r="H949" s="15"/>
      <c r="I949" s="15"/>
    </row>
    <row r="950">
      <c r="A950" s="91"/>
      <c r="B950" s="91"/>
      <c r="C950" s="91"/>
      <c r="D950" s="78"/>
      <c r="E950" s="15"/>
      <c r="F950" s="15"/>
      <c r="G950" s="91"/>
      <c r="H950" s="15"/>
      <c r="I950" s="15"/>
    </row>
    <row r="951">
      <c r="A951" s="91"/>
      <c r="B951" s="91"/>
      <c r="C951" s="91"/>
      <c r="D951" s="78"/>
      <c r="E951" s="15"/>
      <c r="F951" s="15"/>
      <c r="G951" s="91"/>
      <c r="H951" s="15"/>
      <c r="I951" s="15"/>
    </row>
    <row r="952">
      <c r="A952" s="91"/>
      <c r="B952" s="91"/>
      <c r="C952" s="91"/>
      <c r="D952" s="78"/>
      <c r="E952" s="15"/>
      <c r="F952" s="15"/>
      <c r="G952" s="91"/>
      <c r="H952" s="15"/>
      <c r="I952" s="15"/>
    </row>
    <row r="953">
      <c r="A953" s="91"/>
      <c r="B953" s="91"/>
      <c r="C953" s="91"/>
      <c r="D953" s="78"/>
      <c r="E953" s="15"/>
      <c r="F953" s="15"/>
      <c r="G953" s="91"/>
      <c r="H953" s="15"/>
      <c r="I953" s="15"/>
    </row>
    <row r="954">
      <c r="A954" s="91"/>
      <c r="B954" s="91"/>
      <c r="C954" s="91"/>
      <c r="D954" s="78"/>
      <c r="E954" s="15"/>
      <c r="F954" s="15"/>
      <c r="G954" s="91"/>
      <c r="H954" s="15"/>
      <c r="I954" s="15"/>
    </row>
    <row r="955">
      <c r="A955" s="91"/>
      <c r="B955" s="91"/>
      <c r="C955" s="91"/>
      <c r="D955" s="78"/>
      <c r="E955" s="15"/>
      <c r="F955" s="15"/>
      <c r="G955" s="91"/>
      <c r="H955" s="15"/>
      <c r="I955" s="15"/>
    </row>
    <row r="956">
      <c r="A956" s="91"/>
      <c r="B956" s="91"/>
      <c r="C956" s="91"/>
      <c r="D956" s="78"/>
      <c r="E956" s="15"/>
      <c r="F956" s="15"/>
      <c r="G956" s="91"/>
      <c r="H956" s="15"/>
      <c r="I956" s="15"/>
    </row>
    <row r="957">
      <c r="A957" s="91"/>
      <c r="B957" s="91"/>
      <c r="C957" s="91"/>
      <c r="D957" s="78"/>
      <c r="E957" s="15"/>
      <c r="F957" s="15"/>
      <c r="G957" s="91"/>
      <c r="H957" s="15"/>
      <c r="I957" s="15"/>
    </row>
    <row r="958">
      <c r="A958" s="91"/>
      <c r="B958" s="91"/>
      <c r="C958" s="91"/>
      <c r="D958" s="78"/>
      <c r="E958" s="15"/>
      <c r="F958" s="15"/>
      <c r="G958" s="91"/>
      <c r="H958" s="15"/>
      <c r="I958" s="15"/>
    </row>
    <row r="959">
      <c r="A959" s="91"/>
      <c r="B959" s="91"/>
      <c r="C959" s="91"/>
      <c r="D959" s="78"/>
      <c r="E959" s="15"/>
      <c r="F959" s="15"/>
      <c r="G959" s="91"/>
      <c r="H959" s="15"/>
      <c r="I959" s="15"/>
    </row>
    <row r="960">
      <c r="A960" s="91"/>
      <c r="B960" s="91"/>
      <c r="C960" s="91"/>
      <c r="D960" s="78"/>
      <c r="E960" s="15"/>
      <c r="F960" s="15"/>
      <c r="G960" s="91"/>
      <c r="H960" s="15"/>
      <c r="I960" s="15"/>
    </row>
    <row r="961">
      <c r="A961" s="91"/>
      <c r="B961" s="91"/>
      <c r="C961" s="91"/>
      <c r="D961" s="78"/>
      <c r="E961" s="15"/>
      <c r="F961" s="15"/>
      <c r="G961" s="91"/>
      <c r="H961" s="15"/>
      <c r="I961" s="15"/>
    </row>
    <row r="962">
      <c r="A962" s="91"/>
      <c r="B962" s="91"/>
      <c r="C962" s="91"/>
      <c r="D962" s="78"/>
      <c r="E962" s="15"/>
      <c r="F962" s="15"/>
      <c r="G962" s="91"/>
      <c r="H962" s="15"/>
      <c r="I962" s="15"/>
    </row>
    <row r="963">
      <c r="A963" s="91"/>
      <c r="B963" s="91"/>
      <c r="C963" s="91"/>
      <c r="D963" s="78"/>
      <c r="E963" s="15"/>
      <c r="F963" s="15"/>
      <c r="G963" s="91"/>
      <c r="H963" s="15"/>
      <c r="I963" s="15"/>
    </row>
    <row r="964">
      <c r="A964" s="91"/>
      <c r="B964" s="91"/>
      <c r="C964" s="91"/>
      <c r="D964" s="78"/>
      <c r="E964" s="15"/>
      <c r="F964" s="15"/>
      <c r="G964" s="91"/>
      <c r="H964" s="15"/>
      <c r="I964" s="15"/>
    </row>
    <row r="965">
      <c r="A965" s="91"/>
      <c r="B965" s="91"/>
      <c r="C965" s="91"/>
      <c r="D965" s="78"/>
      <c r="E965" s="15"/>
      <c r="F965" s="15"/>
      <c r="G965" s="91"/>
      <c r="H965" s="15"/>
      <c r="I965" s="15"/>
    </row>
    <row r="966">
      <c r="A966" s="91"/>
      <c r="B966" s="91"/>
      <c r="C966" s="91"/>
      <c r="D966" s="78"/>
      <c r="E966" s="15"/>
      <c r="F966" s="15"/>
      <c r="G966" s="91"/>
      <c r="H966" s="15"/>
      <c r="I966" s="15"/>
    </row>
    <row r="967">
      <c r="A967" s="91"/>
      <c r="B967" s="91"/>
      <c r="C967" s="91"/>
      <c r="D967" s="78"/>
      <c r="E967" s="15"/>
      <c r="F967" s="15"/>
      <c r="G967" s="91"/>
      <c r="H967" s="15"/>
      <c r="I967" s="15"/>
    </row>
    <row r="968">
      <c r="A968" s="91"/>
      <c r="B968" s="91"/>
      <c r="C968" s="91"/>
      <c r="D968" s="78"/>
      <c r="E968" s="15"/>
      <c r="F968" s="15"/>
      <c r="G968" s="91"/>
      <c r="H968" s="15"/>
      <c r="I968" s="15"/>
    </row>
    <row r="969">
      <c r="A969" s="91"/>
      <c r="B969" s="91"/>
      <c r="C969" s="91"/>
      <c r="D969" s="78"/>
      <c r="E969" s="15"/>
      <c r="F969" s="15"/>
      <c r="G969" s="91"/>
      <c r="H969" s="15"/>
      <c r="I969" s="15"/>
    </row>
    <row r="970">
      <c r="A970" s="91"/>
      <c r="B970" s="91"/>
      <c r="C970" s="91"/>
      <c r="D970" s="78"/>
      <c r="E970" s="15"/>
      <c r="F970" s="15"/>
      <c r="G970" s="91"/>
      <c r="H970" s="15"/>
      <c r="I970" s="15"/>
    </row>
    <row r="971">
      <c r="A971" s="91"/>
      <c r="B971" s="91"/>
      <c r="C971" s="91"/>
      <c r="D971" s="78"/>
      <c r="E971" s="15"/>
      <c r="F971" s="15"/>
      <c r="G971" s="91"/>
      <c r="H971" s="15"/>
      <c r="I971" s="15"/>
    </row>
    <row r="972">
      <c r="A972" s="91"/>
      <c r="B972" s="91"/>
      <c r="C972" s="91"/>
      <c r="D972" s="78"/>
      <c r="E972" s="15"/>
      <c r="F972" s="15"/>
      <c r="G972" s="91"/>
      <c r="H972" s="15"/>
      <c r="I972" s="15"/>
    </row>
    <row r="973">
      <c r="A973" s="91"/>
      <c r="B973" s="91"/>
      <c r="C973" s="91"/>
      <c r="D973" s="78"/>
      <c r="E973" s="15"/>
      <c r="F973" s="15"/>
      <c r="G973" s="91"/>
      <c r="H973" s="15"/>
      <c r="I973" s="15"/>
    </row>
    <row r="974">
      <c r="A974" s="91"/>
      <c r="B974" s="91"/>
      <c r="C974" s="91"/>
      <c r="D974" s="78"/>
      <c r="E974" s="15"/>
      <c r="F974" s="15"/>
      <c r="G974" s="91"/>
      <c r="H974" s="15"/>
      <c r="I974" s="15"/>
    </row>
    <row r="975">
      <c r="A975" s="91"/>
      <c r="B975" s="91"/>
      <c r="C975" s="91"/>
      <c r="D975" s="78"/>
      <c r="E975" s="15"/>
      <c r="F975" s="15"/>
      <c r="G975" s="91"/>
      <c r="H975" s="15"/>
      <c r="I975" s="15"/>
    </row>
    <row r="976">
      <c r="A976" s="91"/>
      <c r="B976" s="91"/>
      <c r="C976" s="91"/>
      <c r="D976" s="78"/>
      <c r="E976" s="15"/>
      <c r="F976" s="15"/>
      <c r="G976" s="91"/>
      <c r="H976" s="15"/>
      <c r="I976" s="15"/>
    </row>
    <row r="977">
      <c r="A977" s="91"/>
      <c r="B977" s="91"/>
      <c r="C977" s="91"/>
      <c r="D977" s="78"/>
      <c r="E977" s="15"/>
      <c r="F977" s="15"/>
      <c r="G977" s="91"/>
      <c r="H977" s="15"/>
      <c r="I977" s="15"/>
    </row>
    <row r="978">
      <c r="A978" s="91"/>
      <c r="B978" s="91"/>
      <c r="C978" s="91"/>
      <c r="D978" s="78"/>
      <c r="E978" s="15"/>
      <c r="F978" s="15"/>
      <c r="G978" s="91"/>
      <c r="H978" s="15"/>
      <c r="I978" s="15"/>
    </row>
    <row r="979">
      <c r="A979" s="91"/>
      <c r="B979" s="91"/>
      <c r="C979" s="91"/>
      <c r="D979" s="78"/>
      <c r="E979" s="15"/>
      <c r="F979" s="15"/>
      <c r="G979" s="91"/>
      <c r="H979" s="15"/>
      <c r="I979" s="15"/>
    </row>
    <row r="980">
      <c r="A980" s="91"/>
      <c r="B980" s="91"/>
      <c r="C980" s="91"/>
      <c r="D980" s="78"/>
      <c r="E980" s="15"/>
      <c r="F980" s="15"/>
      <c r="G980" s="91"/>
      <c r="H980" s="15"/>
      <c r="I980" s="15"/>
    </row>
    <row r="981">
      <c r="A981" s="91"/>
      <c r="B981" s="91"/>
      <c r="C981" s="91"/>
      <c r="D981" s="78"/>
      <c r="E981" s="15"/>
      <c r="F981" s="15"/>
      <c r="G981" s="91"/>
      <c r="H981" s="15"/>
      <c r="I981" s="15"/>
    </row>
    <row r="982">
      <c r="A982" s="91"/>
      <c r="B982" s="91"/>
      <c r="C982" s="91"/>
      <c r="D982" s="78"/>
      <c r="E982" s="15"/>
      <c r="F982" s="15"/>
      <c r="G982" s="91"/>
      <c r="H982" s="15"/>
      <c r="I982" s="15"/>
    </row>
    <row r="983">
      <c r="A983" s="91"/>
      <c r="B983" s="91"/>
      <c r="C983" s="91"/>
      <c r="D983" s="78"/>
      <c r="E983" s="15"/>
      <c r="F983" s="15"/>
      <c r="G983" s="91"/>
      <c r="H983" s="15"/>
      <c r="I983" s="15"/>
    </row>
    <row r="984">
      <c r="A984" s="91"/>
      <c r="B984" s="91"/>
      <c r="C984" s="91"/>
      <c r="D984" s="78"/>
      <c r="E984" s="15"/>
      <c r="F984" s="15"/>
      <c r="G984" s="91"/>
      <c r="H984" s="15"/>
      <c r="I984" s="15"/>
    </row>
    <row r="985">
      <c r="A985" s="91"/>
      <c r="B985" s="91"/>
      <c r="C985" s="91"/>
      <c r="D985" s="78"/>
      <c r="E985" s="15"/>
      <c r="F985" s="15"/>
      <c r="G985" s="91"/>
      <c r="H985" s="15"/>
      <c r="I985" s="15"/>
    </row>
    <row r="986">
      <c r="A986" s="91"/>
      <c r="B986" s="91"/>
      <c r="C986" s="91"/>
      <c r="D986" s="78"/>
      <c r="E986" s="15"/>
      <c r="F986" s="15"/>
      <c r="G986" s="91"/>
      <c r="H986" s="15"/>
      <c r="I986" s="15"/>
    </row>
    <row r="987">
      <c r="A987" s="91"/>
      <c r="B987" s="91"/>
      <c r="C987" s="91"/>
      <c r="D987" s="78"/>
      <c r="E987" s="15"/>
      <c r="F987" s="15"/>
      <c r="G987" s="91"/>
      <c r="H987" s="15"/>
      <c r="I987" s="15"/>
    </row>
    <row r="988">
      <c r="A988" s="91"/>
      <c r="B988" s="91"/>
      <c r="C988" s="91"/>
      <c r="D988" s="78"/>
      <c r="E988" s="15"/>
      <c r="F988" s="15"/>
      <c r="G988" s="91"/>
      <c r="H988" s="15"/>
      <c r="I988" s="15"/>
    </row>
    <row r="989">
      <c r="A989" s="91"/>
      <c r="B989" s="91"/>
      <c r="C989" s="91"/>
      <c r="D989" s="78"/>
      <c r="E989" s="15"/>
      <c r="F989" s="15"/>
      <c r="G989" s="91"/>
      <c r="H989" s="15"/>
      <c r="I989" s="15"/>
    </row>
    <row r="990">
      <c r="A990" s="91"/>
      <c r="B990" s="91"/>
      <c r="C990" s="91"/>
      <c r="D990" s="78"/>
      <c r="E990" s="15"/>
      <c r="F990" s="15"/>
      <c r="G990" s="91"/>
      <c r="H990" s="15"/>
      <c r="I990" s="15"/>
    </row>
    <row r="991">
      <c r="A991" s="91"/>
      <c r="B991" s="91"/>
      <c r="C991" s="91"/>
      <c r="D991" s="78"/>
      <c r="E991" s="15"/>
      <c r="F991" s="15"/>
      <c r="G991" s="91"/>
      <c r="H991" s="15"/>
      <c r="I991" s="15"/>
    </row>
    <row r="992">
      <c r="A992" s="91"/>
      <c r="B992" s="91"/>
      <c r="C992" s="91"/>
      <c r="D992" s="78"/>
      <c r="E992" s="15"/>
      <c r="F992" s="15"/>
      <c r="G992" s="91"/>
      <c r="H992" s="15"/>
      <c r="I992" s="15"/>
    </row>
    <row r="993">
      <c r="A993" s="91"/>
      <c r="B993" s="91"/>
      <c r="C993" s="91"/>
      <c r="D993" s="78"/>
      <c r="E993" s="15"/>
      <c r="F993" s="15"/>
      <c r="G993" s="91"/>
      <c r="H993" s="15"/>
      <c r="I993" s="15"/>
    </row>
    <row r="994">
      <c r="A994" s="91"/>
      <c r="B994" s="91"/>
      <c r="C994" s="91"/>
      <c r="D994" s="78"/>
      <c r="E994" s="15"/>
      <c r="F994" s="15"/>
      <c r="G994" s="91"/>
      <c r="H994" s="15"/>
      <c r="I994" s="15"/>
    </row>
    <row r="995">
      <c r="A995" s="91"/>
      <c r="B995" s="91"/>
      <c r="C995" s="91"/>
      <c r="D995" s="78"/>
      <c r="E995" s="15"/>
      <c r="F995" s="15"/>
      <c r="G995" s="91"/>
      <c r="H995" s="15"/>
      <c r="I995" s="15"/>
    </row>
    <row r="996">
      <c r="A996" s="91"/>
      <c r="B996" s="91"/>
      <c r="C996" s="91"/>
      <c r="D996" s="78"/>
      <c r="E996" s="15"/>
      <c r="F996" s="15"/>
      <c r="G996" s="91"/>
      <c r="H996" s="15"/>
      <c r="I996" s="15"/>
    </row>
    <row r="997">
      <c r="A997" s="91"/>
      <c r="B997" s="91"/>
      <c r="C997" s="91"/>
      <c r="D997" s="78"/>
      <c r="E997" s="15"/>
      <c r="F997" s="15"/>
      <c r="G997" s="91"/>
      <c r="H997" s="15"/>
      <c r="I997" s="15"/>
    </row>
    <row r="998">
      <c r="A998" s="91"/>
      <c r="B998" s="91"/>
      <c r="C998" s="91"/>
      <c r="D998" s="78"/>
      <c r="E998" s="15"/>
      <c r="F998" s="15"/>
      <c r="G998" s="91"/>
      <c r="H998" s="15"/>
      <c r="I998" s="15"/>
    </row>
    <row r="999">
      <c r="A999" s="91"/>
      <c r="B999" s="91"/>
      <c r="C999" s="91"/>
      <c r="D999" s="78"/>
      <c r="E999" s="15"/>
      <c r="F999" s="15"/>
      <c r="G999" s="91"/>
      <c r="H999" s="15"/>
      <c r="I999" s="15"/>
    </row>
    <row r="1000">
      <c r="A1000" s="91"/>
      <c r="B1000" s="91"/>
      <c r="C1000" s="91"/>
      <c r="D1000" s="78"/>
      <c r="E1000" s="15"/>
      <c r="F1000" s="15"/>
      <c r="G1000" s="91"/>
      <c r="H1000" s="15"/>
      <c r="I1000" s="15"/>
    </row>
    <row r="1001">
      <c r="A1001" s="91"/>
      <c r="B1001" s="91"/>
      <c r="C1001" s="91"/>
      <c r="D1001" s="78"/>
      <c r="E1001" s="15"/>
      <c r="F1001" s="15"/>
      <c r="G1001" s="91"/>
      <c r="H1001" s="15"/>
      <c r="I1001" s="15"/>
    </row>
    <row r="1002">
      <c r="A1002" s="91"/>
      <c r="B1002" s="91"/>
      <c r="C1002" s="91"/>
      <c r="D1002" s="78"/>
      <c r="E1002" s="15"/>
      <c r="F1002" s="15"/>
      <c r="G1002" s="91"/>
      <c r="H1002" s="15"/>
      <c r="I1002" s="15"/>
    </row>
    <row r="1003">
      <c r="A1003" s="91"/>
      <c r="B1003" s="91"/>
      <c r="C1003" s="91"/>
      <c r="D1003" s="78"/>
      <c r="E1003" s="15"/>
      <c r="F1003" s="15"/>
      <c r="G1003" s="91"/>
      <c r="H1003" s="15"/>
      <c r="I1003" s="15"/>
    </row>
    <row r="1004">
      <c r="A1004" s="91"/>
      <c r="B1004" s="91"/>
      <c r="C1004" s="91"/>
      <c r="D1004" s="78"/>
      <c r="E1004" s="15"/>
      <c r="F1004" s="15"/>
      <c r="G1004" s="91"/>
      <c r="H1004" s="15"/>
      <c r="I1004" s="15"/>
    </row>
    <row r="1005">
      <c r="A1005" s="91"/>
      <c r="B1005" s="91"/>
      <c r="C1005" s="91"/>
      <c r="D1005" s="78"/>
      <c r="E1005" s="15"/>
      <c r="F1005" s="15"/>
      <c r="G1005" s="91"/>
      <c r="H1005" s="15"/>
      <c r="I1005" s="15"/>
    </row>
    <row r="1006">
      <c r="A1006" s="91"/>
      <c r="B1006" s="91"/>
      <c r="C1006" s="91"/>
      <c r="D1006" s="78"/>
      <c r="E1006" s="15"/>
      <c r="F1006" s="15"/>
      <c r="G1006" s="91"/>
      <c r="H1006" s="15"/>
      <c r="I1006" s="15"/>
    </row>
    <row r="1007">
      <c r="A1007" s="91"/>
      <c r="B1007" s="91"/>
      <c r="C1007" s="91"/>
      <c r="D1007" s="78"/>
      <c r="E1007" s="15"/>
      <c r="F1007" s="15"/>
      <c r="G1007" s="91"/>
      <c r="H1007" s="15"/>
      <c r="I1007" s="15"/>
    </row>
    <row r="1008">
      <c r="A1008" s="91"/>
      <c r="B1008" s="91"/>
      <c r="C1008" s="91"/>
      <c r="D1008" s="78"/>
      <c r="E1008" s="15"/>
      <c r="F1008" s="15"/>
      <c r="G1008" s="91"/>
      <c r="H1008" s="15"/>
      <c r="I1008" s="15"/>
    </row>
    <row r="1009">
      <c r="A1009" s="91"/>
      <c r="B1009" s="91"/>
      <c r="C1009" s="91"/>
      <c r="D1009" s="78"/>
      <c r="E1009" s="15"/>
      <c r="F1009" s="15"/>
      <c r="G1009" s="91"/>
      <c r="H1009" s="15"/>
      <c r="I1009" s="15"/>
    </row>
    <row r="1010">
      <c r="A1010" s="91"/>
      <c r="B1010" s="91"/>
      <c r="C1010" s="91"/>
      <c r="D1010" s="78"/>
      <c r="E1010" s="15"/>
      <c r="F1010" s="15"/>
      <c r="G1010" s="91"/>
      <c r="H1010" s="15"/>
      <c r="I1010" s="15"/>
    </row>
    <row r="1011">
      <c r="A1011" s="91"/>
      <c r="B1011" s="91"/>
      <c r="C1011" s="91"/>
      <c r="D1011" s="78"/>
      <c r="E1011" s="15"/>
      <c r="F1011" s="15"/>
      <c r="G1011" s="91"/>
      <c r="H1011" s="15"/>
      <c r="I1011" s="15"/>
    </row>
    <row r="1012">
      <c r="A1012" s="91"/>
      <c r="B1012" s="91"/>
      <c r="C1012" s="91"/>
      <c r="D1012" s="78"/>
      <c r="E1012" s="15"/>
      <c r="F1012" s="15"/>
      <c r="G1012" s="91"/>
      <c r="H1012" s="15"/>
      <c r="I1012" s="15"/>
    </row>
    <row r="1013">
      <c r="A1013" s="91"/>
      <c r="B1013" s="91"/>
      <c r="C1013" s="91"/>
      <c r="D1013" s="78"/>
      <c r="E1013" s="15"/>
      <c r="F1013" s="15"/>
      <c r="G1013" s="91"/>
      <c r="H1013" s="15"/>
      <c r="I1013" s="15"/>
    </row>
    <row r="1014">
      <c r="A1014" s="91"/>
      <c r="B1014" s="91"/>
      <c r="C1014" s="91"/>
      <c r="D1014" s="78"/>
      <c r="E1014" s="15"/>
      <c r="F1014" s="15"/>
      <c r="G1014" s="91"/>
      <c r="H1014" s="15"/>
      <c r="I1014" s="15"/>
    </row>
    <row r="1015">
      <c r="A1015" s="91"/>
      <c r="B1015" s="91"/>
      <c r="C1015" s="91"/>
      <c r="D1015" s="78"/>
      <c r="E1015" s="15"/>
      <c r="F1015" s="15"/>
      <c r="G1015" s="91"/>
      <c r="H1015" s="15"/>
      <c r="I1015" s="15"/>
    </row>
    <row r="1016">
      <c r="A1016" s="91"/>
      <c r="B1016" s="91"/>
      <c r="C1016" s="91"/>
      <c r="D1016" s="78"/>
      <c r="E1016" s="15"/>
      <c r="F1016" s="15"/>
      <c r="G1016" s="91"/>
      <c r="H1016" s="15"/>
      <c r="I1016" s="15"/>
    </row>
    <row r="1017">
      <c r="A1017" s="91"/>
      <c r="B1017" s="91"/>
      <c r="C1017" s="91"/>
      <c r="D1017" s="78"/>
      <c r="E1017" s="15"/>
      <c r="F1017" s="15"/>
      <c r="G1017" s="91"/>
      <c r="H1017" s="15"/>
      <c r="I1017" s="15"/>
    </row>
    <row r="1018">
      <c r="A1018" s="91"/>
      <c r="B1018" s="91"/>
      <c r="C1018" s="91"/>
      <c r="D1018" s="78"/>
      <c r="E1018" s="15"/>
      <c r="F1018" s="15"/>
      <c r="G1018" s="91"/>
      <c r="H1018" s="15"/>
      <c r="I1018" s="15"/>
    </row>
    <row r="1019">
      <c r="A1019" s="91"/>
      <c r="B1019" s="91"/>
      <c r="C1019" s="91"/>
      <c r="D1019" s="78"/>
      <c r="E1019" s="15"/>
      <c r="F1019" s="15"/>
      <c r="G1019" s="91"/>
      <c r="H1019" s="15"/>
      <c r="I1019" s="15"/>
    </row>
    <row r="1020">
      <c r="A1020" s="91"/>
      <c r="B1020" s="91"/>
      <c r="C1020" s="91"/>
      <c r="D1020" s="78"/>
      <c r="E1020" s="15"/>
      <c r="F1020" s="15"/>
      <c r="G1020" s="91"/>
      <c r="H1020" s="15"/>
      <c r="I1020" s="15"/>
    </row>
    <row r="1021">
      <c r="A1021" s="91"/>
      <c r="B1021" s="91"/>
      <c r="C1021" s="91"/>
      <c r="D1021" s="78"/>
      <c r="E1021" s="15"/>
      <c r="F1021" s="15"/>
      <c r="G1021" s="91"/>
      <c r="H1021" s="15"/>
      <c r="I1021" s="15"/>
    </row>
    <row r="1022">
      <c r="A1022" s="91"/>
      <c r="B1022" s="91"/>
      <c r="C1022" s="91"/>
      <c r="D1022" s="78"/>
      <c r="E1022" s="15"/>
      <c r="F1022" s="15"/>
      <c r="G1022" s="91"/>
      <c r="H1022" s="15"/>
      <c r="I1022" s="15"/>
    </row>
    <row r="1023">
      <c r="A1023" s="91"/>
      <c r="B1023" s="91"/>
      <c r="C1023" s="91"/>
      <c r="D1023" s="78"/>
      <c r="E1023" s="15"/>
      <c r="F1023" s="15"/>
      <c r="G1023" s="91"/>
      <c r="H1023" s="15"/>
      <c r="I1023" s="15"/>
    </row>
    <row r="1024">
      <c r="A1024" s="91"/>
      <c r="B1024" s="91"/>
      <c r="C1024" s="91"/>
      <c r="D1024" s="78"/>
      <c r="E1024" s="15"/>
      <c r="F1024" s="15"/>
      <c r="G1024" s="91"/>
      <c r="H1024" s="15"/>
      <c r="I1024" s="15"/>
    </row>
    <row r="1025">
      <c r="A1025" s="91"/>
      <c r="B1025" s="91"/>
      <c r="C1025" s="91"/>
      <c r="D1025" s="78"/>
      <c r="E1025" s="15"/>
      <c r="F1025" s="15"/>
      <c r="G1025" s="91"/>
      <c r="H1025" s="15"/>
      <c r="I1025" s="15"/>
    </row>
    <row r="1026">
      <c r="A1026" s="91"/>
      <c r="B1026" s="91"/>
      <c r="C1026" s="91"/>
      <c r="D1026" s="78"/>
      <c r="E1026" s="15"/>
      <c r="F1026" s="15"/>
      <c r="G1026" s="91"/>
      <c r="H1026" s="15"/>
      <c r="I1026" s="15"/>
    </row>
    <row r="1027">
      <c r="A1027" s="91"/>
      <c r="B1027" s="91"/>
      <c r="C1027" s="91"/>
      <c r="D1027" s="78"/>
      <c r="E1027" s="15"/>
      <c r="F1027" s="15"/>
      <c r="G1027" s="91"/>
      <c r="H1027" s="15"/>
      <c r="I1027" s="15"/>
    </row>
    <row r="1028">
      <c r="A1028" s="91"/>
      <c r="B1028" s="91"/>
      <c r="C1028" s="91"/>
      <c r="D1028" s="78"/>
      <c r="E1028" s="15"/>
      <c r="F1028" s="15"/>
      <c r="G1028" s="91"/>
      <c r="H1028" s="15"/>
      <c r="I1028" s="15"/>
    </row>
    <row r="1029">
      <c r="A1029" s="91"/>
      <c r="B1029" s="91"/>
      <c r="C1029" s="91"/>
      <c r="D1029" s="78"/>
      <c r="E1029" s="15"/>
      <c r="F1029" s="15"/>
      <c r="G1029" s="91"/>
      <c r="H1029" s="15"/>
      <c r="I1029" s="15"/>
    </row>
    <row r="1030">
      <c r="A1030" s="91"/>
      <c r="B1030" s="91"/>
      <c r="C1030" s="91"/>
      <c r="D1030" s="78"/>
      <c r="E1030" s="15"/>
      <c r="F1030" s="15"/>
      <c r="G1030" s="91"/>
      <c r="H1030" s="15"/>
      <c r="I1030" s="15"/>
    </row>
    <row r="1031">
      <c r="A1031" s="91"/>
      <c r="B1031" s="91"/>
      <c r="C1031" s="91"/>
      <c r="D1031" s="78"/>
      <c r="E1031" s="15"/>
      <c r="F1031" s="15"/>
      <c r="G1031" s="91"/>
      <c r="H1031" s="15"/>
      <c r="I1031" s="15"/>
    </row>
    <row r="1032">
      <c r="A1032" s="91"/>
      <c r="B1032" s="91"/>
      <c r="C1032" s="91"/>
      <c r="D1032" s="78"/>
      <c r="E1032" s="15"/>
      <c r="F1032" s="15"/>
      <c r="G1032" s="91"/>
      <c r="H1032" s="15"/>
      <c r="I1032" s="15"/>
    </row>
    <row r="1033">
      <c r="A1033" s="91"/>
      <c r="B1033" s="91"/>
      <c r="C1033" s="91"/>
      <c r="D1033" s="78"/>
      <c r="E1033" s="15"/>
      <c r="F1033" s="15"/>
      <c r="G1033" s="91"/>
      <c r="H1033" s="15"/>
      <c r="I1033" s="15"/>
    </row>
    <row r="1034">
      <c r="A1034" s="91"/>
      <c r="B1034" s="91"/>
      <c r="C1034" s="91"/>
      <c r="D1034" s="78"/>
      <c r="E1034" s="15"/>
      <c r="F1034" s="15"/>
      <c r="G1034" s="91"/>
      <c r="H1034" s="15"/>
      <c r="I1034" s="15"/>
    </row>
    <row r="1035">
      <c r="A1035" s="91"/>
      <c r="B1035" s="91"/>
      <c r="C1035" s="91"/>
      <c r="D1035" s="78"/>
      <c r="E1035" s="15"/>
      <c r="F1035" s="15"/>
      <c r="G1035" s="91"/>
      <c r="H1035" s="15"/>
      <c r="I1035" s="15"/>
    </row>
    <row r="1036">
      <c r="A1036" s="91"/>
      <c r="B1036" s="91"/>
      <c r="C1036" s="91"/>
      <c r="D1036" s="78"/>
      <c r="E1036" s="15"/>
      <c r="F1036" s="15"/>
      <c r="G1036" s="91"/>
      <c r="H1036" s="15"/>
      <c r="I1036" s="15"/>
    </row>
    <row r="1037">
      <c r="A1037" s="91"/>
      <c r="B1037" s="91"/>
      <c r="C1037" s="91"/>
      <c r="D1037" s="78"/>
      <c r="E1037" s="15"/>
      <c r="F1037" s="15"/>
      <c r="G1037" s="91"/>
      <c r="H1037" s="15"/>
      <c r="I1037" s="15"/>
    </row>
    <row r="1038">
      <c r="A1038" s="91"/>
      <c r="B1038" s="91"/>
      <c r="C1038" s="91"/>
      <c r="D1038" s="78"/>
      <c r="E1038" s="15"/>
      <c r="F1038" s="15"/>
      <c r="G1038" s="91"/>
      <c r="H1038" s="15"/>
      <c r="I1038" s="15"/>
    </row>
    <row r="1039">
      <c r="A1039" s="91"/>
      <c r="B1039" s="91"/>
      <c r="C1039" s="91"/>
      <c r="D1039" s="78"/>
      <c r="E1039" s="15"/>
      <c r="F1039" s="15"/>
      <c r="G1039" s="91"/>
      <c r="H1039" s="15"/>
      <c r="I1039" s="15"/>
    </row>
    <row r="1040">
      <c r="A1040" s="91"/>
      <c r="B1040" s="91"/>
      <c r="C1040" s="91"/>
      <c r="D1040" s="78"/>
      <c r="E1040" s="15"/>
      <c r="F1040" s="15"/>
      <c r="G1040" s="91"/>
      <c r="H1040" s="15"/>
      <c r="I1040" s="15"/>
    </row>
    <row r="1041">
      <c r="A1041" s="91"/>
      <c r="B1041" s="91"/>
      <c r="C1041" s="91"/>
      <c r="D1041" s="78"/>
      <c r="E1041" s="15"/>
      <c r="F1041" s="15"/>
      <c r="G1041" s="91"/>
      <c r="H1041" s="15"/>
      <c r="I1041" s="15"/>
    </row>
    <row r="1042">
      <c r="A1042" s="91"/>
      <c r="B1042" s="91"/>
      <c r="C1042" s="91"/>
      <c r="D1042" s="78"/>
      <c r="E1042" s="15"/>
      <c r="F1042" s="15"/>
      <c r="G1042" s="91"/>
      <c r="H1042" s="15"/>
      <c r="I1042" s="15"/>
    </row>
    <row r="1043">
      <c r="A1043" s="91"/>
      <c r="B1043" s="91"/>
      <c r="C1043" s="91"/>
      <c r="D1043" s="78"/>
      <c r="E1043" s="15"/>
      <c r="F1043" s="15"/>
      <c r="G1043" s="91"/>
      <c r="H1043" s="15"/>
      <c r="I1043" s="15"/>
    </row>
    <row r="1044">
      <c r="A1044" s="91"/>
      <c r="B1044" s="91"/>
      <c r="C1044" s="91"/>
      <c r="D1044" s="78"/>
      <c r="E1044" s="15"/>
      <c r="F1044" s="15"/>
      <c r="G1044" s="91"/>
      <c r="H1044" s="15"/>
      <c r="I1044" s="15"/>
    </row>
    <row r="1045">
      <c r="A1045" s="91"/>
      <c r="B1045" s="91"/>
      <c r="C1045" s="91"/>
      <c r="D1045" s="78"/>
      <c r="E1045" s="15"/>
      <c r="F1045" s="15"/>
      <c r="G1045" s="91"/>
      <c r="H1045" s="15"/>
      <c r="I1045" s="15"/>
    </row>
    <row r="1046">
      <c r="A1046" s="91"/>
      <c r="B1046" s="91"/>
      <c r="C1046" s="91"/>
      <c r="D1046" s="78"/>
      <c r="E1046" s="15"/>
      <c r="F1046" s="15"/>
      <c r="G1046" s="91"/>
      <c r="H1046" s="15"/>
      <c r="I1046" s="15"/>
    </row>
    <row r="1047">
      <c r="A1047" s="91"/>
      <c r="B1047" s="91"/>
      <c r="C1047" s="91"/>
      <c r="D1047" s="78"/>
      <c r="E1047" s="15"/>
      <c r="F1047" s="15"/>
      <c r="G1047" s="91"/>
      <c r="H1047" s="15"/>
      <c r="I1047" s="15"/>
    </row>
    <row r="1048">
      <c r="A1048" s="91"/>
      <c r="B1048" s="91"/>
      <c r="C1048" s="91"/>
      <c r="D1048" s="78"/>
      <c r="E1048" s="15"/>
      <c r="F1048" s="15"/>
      <c r="G1048" s="91"/>
      <c r="H1048" s="15"/>
      <c r="I1048" s="15"/>
    </row>
    <row r="1049">
      <c r="A1049" s="91"/>
      <c r="B1049" s="91"/>
      <c r="C1049" s="91"/>
      <c r="D1049" s="78"/>
      <c r="E1049" s="15"/>
      <c r="F1049" s="15"/>
      <c r="G1049" s="91"/>
      <c r="H1049" s="15"/>
      <c r="I1049" s="15"/>
    </row>
    <row r="1050">
      <c r="A1050" s="91"/>
      <c r="B1050" s="91"/>
      <c r="C1050" s="91"/>
      <c r="D1050" s="78"/>
      <c r="E1050" s="15"/>
      <c r="F1050" s="15"/>
      <c r="G1050" s="91"/>
      <c r="H1050" s="15"/>
      <c r="I1050" s="15"/>
    </row>
    <row r="1051">
      <c r="A1051" s="91"/>
      <c r="B1051" s="91"/>
      <c r="C1051" s="91"/>
      <c r="D1051" s="78"/>
      <c r="E1051" s="15"/>
      <c r="F1051" s="15"/>
      <c r="G1051" s="91"/>
      <c r="H1051" s="15"/>
      <c r="I1051" s="15"/>
    </row>
    <row r="1052">
      <c r="A1052" s="91"/>
      <c r="B1052" s="91"/>
      <c r="C1052" s="91"/>
      <c r="D1052" s="78"/>
      <c r="E1052" s="15"/>
      <c r="F1052" s="15"/>
      <c r="G1052" s="91"/>
      <c r="H1052" s="15"/>
      <c r="I1052" s="15"/>
    </row>
    <row r="1053">
      <c r="A1053" s="91"/>
      <c r="B1053" s="91"/>
      <c r="C1053" s="91"/>
      <c r="D1053" s="78"/>
      <c r="E1053" s="15"/>
      <c r="F1053" s="15"/>
      <c r="G1053" s="91"/>
      <c r="H1053" s="15"/>
      <c r="I1053" s="15"/>
    </row>
    <row r="1054">
      <c r="A1054" s="91"/>
      <c r="B1054" s="91"/>
      <c r="C1054" s="91"/>
      <c r="D1054" s="78"/>
      <c r="E1054" s="15"/>
      <c r="F1054" s="15"/>
      <c r="G1054" s="91"/>
      <c r="H1054" s="15"/>
      <c r="I1054" s="15"/>
    </row>
    <row r="1055">
      <c r="A1055" s="91"/>
      <c r="B1055" s="91"/>
      <c r="C1055" s="91"/>
      <c r="D1055" s="78"/>
      <c r="E1055" s="15"/>
      <c r="F1055" s="15"/>
      <c r="G1055" s="91"/>
      <c r="H1055" s="15"/>
      <c r="I1055" s="15"/>
    </row>
    <row r="1056">
      <c r="A1056" s="91"/>
      <c r="B1056" s="91"/>
      <c r="C1056" s="91"/>
      <c r="D1056" s="78"/>
      <c r="E1056" s="15"/>
      <c r="F1056" s="15"/>
      <c r="G1056" s="91"/>
      <c r="H1056" s="15"/>
      <c r="I1056" s="15"/>
    </row>
    <row r="1057">
      <c r="A1057" s="91"/>
      <c r="B1057" s="91"/>
      <c r="C1057" s="91"/>
      <c r="D1057" s="78"/>
      <c r="E1057" s="15"/>
      <c r="F1057" s="15"/>
      <c r="G1057" s="91"/>
      <c r="H1057" s="15"/>
      <c r="I1057" s="15"/>
    </row>
    <row r="1058">
      <c r="A1058" s="91"/>
      <c r="B1058" s="91"/>
      <c r="C1058" s="91"/>
      <c r="D1058" s="78"/>
      <c r="E1058" s="15"/>
      <c r="F1058" s="15"/>
      <c r="G1058" s="91"/>
      <c r="H1058" s="15"/>
      <c r="I1058" s="15"/>
    </row>
    <row r="1059">
      <c r="A1059" s="91"/>
      <c r="B1059" s="91"/>
      <c r="C1059" s="91"/>
      <c r="D1059" s="78"/>
      <c r="E1059" s="15"/>
      <c r="F1059" s="15"/>
      <c r="G1059" s="91"/>
      <c r="H1059" s="15"/>
      <c r="I1059" s="15"/>
    </row>
    <row r="1060">
      <c r="A1060" s="91"/>
      <c r="B1060" s="91"/>
      <c r="C1060" s="91"/>
      <c r="D1060" s="78"/>
      <c r="E1060" s="15"/>
      <c r="F1060" s="15"/>
      <c r="G1060" s="91"/>
      <c r="H1060" s="15"/>
      <c r="I1060" s="15"/>
    </row>
    <row r="1061">
      <c r="A1061" s="91"/>
      <c r="B1061" s="91"/>
      <c r="C1061" s="91"/>
      <c r="D1061" s="78"/>
      <c r="E1061" s="15"/>
      <c r="F1061" s="15"/>
      <c r="G1061" s="91"/>
      <c r="H1061" s="15"/>
      <c r="I1061" s="15"/>
    </row>
    <row r="1062">
      <c r="A1062" s="91"/>
      <c r="B1062" s="91"/>
      <c r="C1062" s="91"/>
      <c r="D1062" s="78"/>
      <c r="E1062" s="15"/>
      <c r="F1062" s="15"/>
      <c r="G1062" s="91"/>
      <c r="H1062" s="15"/>
      <c r="I1062" s="15"/>
    </row>
    <row r="1063">
      <c r="A1063" s="91"/>
      <c r="B1063" s="91"/>
      <c r="C1063" s="91"/>
      <c r="D1063" s="78"/>
      <c r="E1063" s="15"/>
      <c r="F1063" s="15"/>
      <c r="G1063" s="91"/>
      <c r="H1063" s="15"/>
      <c r="I1063" s="15"/>
    </row>
    <row r="1064">
      <c r="A1064" s="91"/>
      <c r="B1064" s="91"/>
      <c r="C1064" s="91"/>
      <c r="D1064" s="78"/>
      <c r="E1064" s="15"/>
      <c r="F1064" s="15"/>
      <c r="G1064" s="91"/>
      <c r="H1064" s="15"/>
      <c r="I1064" s="15"/>
    </row>
    <row r="1065">
      <c r="A1065" s="91"/>
      <c r="B1065" s="91"/>
      <c r="C1065" s="91"/>
      <c r="D1065" s="78"/>
      <c r="E1065" s="15"/>
      <c r="F1065" s="15"/>
      <c r="G1065" s="91"/>
      <c r="H1065" s="15"/>
      <c r="I1065" s="15"/>
    </row>
    <row r="1066">
      <c r="A1066" s="91"/>
      <c r="B1066" s="91"/>
      <c r="C1066" s="91"/>
      <c r="D1066" s="78"/>
      <c r="E1066" s="15"/>
      <c r="F1066" s="15"/>
      <c r="G1066" s="91"/>
      <c r="H1066" s="15"/>
      <c r="I1066" s="15"/>
    </row>
    <row r="1067">
      <c r="A1067" s="91"/>
      <c r="B1067" s="91"/>
      <c r="C1067" s="91"/>
      <c r="D1067" s="78"/>
      <c r="E1067" s="15"/>
      <c r="F1067" s="15"/>
      <c r="G1067" s="91"/>
      <c r="H1067" s="15"/>
      <c r="I1067" s="15"/>
    </row>
    <row r="1068">
      <c r="A1068" s="91"/>
      <c r="B1068" s="91"/>
      <c r="C1068" s="91"/>
      <c r="D1068" s="78"/>
      <c r="E1068" s="15"/>
      <c r="F1068" s="15"/>
      <c r="G1068" s="91"/>
      <c r="H1068" s="15"/>
      <c r="I1068" s="15"/>
    </row>
    <row r="1069">
      <c r="A1069" s="91"/>
      <c r="B1069" s="91"/>
      <c r="C1069" s="91"/>
      <c r="D1069" s="78"/>
      <c r="E1069" s="15"/>
      <c r="F1069" s="15"/>
      <c r="G1069" s="91"/>
      <c r="H1069" s="15"/>
      <c r="I1069" s="15"/>
    </row>
    <row r="1070">
      <c r="A1070" s="91"/>
      <c r="B1070" s="91"/>
      <c r="C1070" s="91"/>
      <c r="D1070" s="78"/>
      <c r="E1070" s="15"/>
      <c r="F1070" s="15"/>
      <c r="G1070" s="91"/>
      <c r="H1070" s="15"/>
      <c r="I1070" s="15"/>
    </row>
    <row r="1071">
      <c r="A1071" s="91"/>
      <c r="B1071" s="91"/>
      <c r="C1071" s="91"/>
      <c r="D1071" s="78"/>
      <c r="E1071" s="15"/>
      <c r="F1071" s="15"/>
      <c r="G1071" s="91"/>
      <c r="H1071" s="15"/>
      <c r="I1071" s="15"/>
    </row>
    <row r="1072">
      <c r="A1072" s="91"/>
      <c r="B1072" s="91"/>
      <c r="C1072" s="91"/>
      <c r="D1072" s="78"/>
      <c r="E1072" s="15"/>
      <c r="F1072" s="15"/>
      <c r="G1072" s="91"/>
      <c r="H1072" s="15"/>
      <c r="I1072" s="15"/>
    </row>
    <row r="1073">
      <c r="A1073" s="91"/>
      <c r="B1073" s="91"/>
      <c r="C1073" s="91"/>
      <c r="D1073" s="78"/>
      <c r="E1073" s="15"/>
      <c r="F1073" s="15"/>
      <c r="G1073" s="91"/>
      <c r="H1073" s="15"/>
      <c r="I1073" s="15"/>
    </row>
    <row r="1074">
      <c r="A1074" s="91"/>
      <c r="B1074" s="91"/>
      <c r="C1074" s="91"/>
      <c r="D1074" s="78"/>
      <c r="E1074" s="15"/>
      <c r="F1074" s="15"/>
      <c r="G1074" s="91"/>
      <c r="H1074" s="15"/>
      <c r="I1074" s="15"/>
    </row>
    <row r="1075">
      <c r="A1075" s="91"/>
      <c r="B1075" s="91"/>
      <c r="C1075" s="91"/>
      <c r="D1075" s="78"/>
      <c r="E1075" s="15"/>
      <c r="F1075" s="15"/>
      <c r="G1075" s="91"/>
      <c r="H1075" s="15"/>
      <c r="I1075" s="15"/>
    </row>
    <row r="1076">
      <c r="A1076" s="91"/>
      <c r="B1076" s="91"/>
      <c r="C1076" s="91"/>
      <c r="D1076" s="78"/>
      <c r="E1076" s="15"/>
      <c r="F1076" s="15"/>
      <c r="G1076" s="91"/>
      <c r="H1076" s="15"/>
      <c r="I1076" s="15"/>
    </row>
    <row r="1077">
      <c r="A1077" s="91"/>
      <c r="B1077" s="91"/>
      <c r="C1077" s="91"/>
      <c r="D1077" s="78"/>
      <c r="E1077" s="15"/>
      <c r="F1077" s="15"/>
      <c r="G1077" s="91"/>
      <c r="H1077" s="15"/>
      <c r="I1077" s="15"/>
    </row>
    <row r="1078">
      <c r="A1078" s="91"/>
      <c r="B1078" s="91"/>
      <c r="C1078" s="91"/>
      <c r="D1078" s="78"/>
      <c r="E1078" s="15"/>
      <c r="F1078" s="15"/>
      <c r="G1078" s="91"/>
      <c r="H1078" s="15"/>
      <c r="I1078" s="15"/>
    </row>
  </sheetData>
  <mergeCells count="35">
    <mergeCell ref="D3:G3"/>
    <mergeCell ref="D5:G5"/>
    <mergeCell ref="D6:G6"/>
    <mergeCell ref="J6:K6"/>
    <mergeCell ref="L6:M6"/>
    <mergeCell ref="N6:O6"/>
    <mergeCell ref="A1:D1"/>
    <mergeCell ref="E1:G1"/>
    <mergeCell ref="H1:I1"/>
    <mergeCell ref="A2:G2"/>
    <mergeCell ref="H2:I2"/>
    <mergeCell ref="A3:C3"/>
    <mergeCell ref="H3:I3"/>
    <mergeCell ref="A125:D125"/>
    <mergeCell ref="E125:F125"/>
    <mergeCell ref="A126:C127"/>
    <mergeCell ref="E126:F126"/>
    <mergeCell ref="E127:F127"/>
    <mergeCell ref="E128:F128"/>
    <mergeCell ref="E129:F129"/>
    <mergeCell ref="E134:F134"/>
    <mergeCell ref="E135:F135"/>
    <mergeCell ref="A136:C136"/>
    <mergeCell ref="E136:F136"/>
    <mergeCell ref="A137:C137"/>
    <mergeCell ref="E137:F137"/>
    <mergeCell ref="A138:D138"/>
    <mergeCell ref="E138:F138"/>
    <mergeCell ref="A130:G131"/>
    <mergeCell ref="A132:D132"/>
    <mergeCell ref="E132:F132"/>
    <mergeCell ref="A133:C133"/>
    <mergeCell ref="E133:F133"/>
    <mergeCell ref="A134:C134"/>
    <mergeCell ref="A135:C135"/>
  </mergeCells>
  <dataValidations>
    <dataValidation type="list" allowBlank="1" showErrorMessage="1" sqref="E7:F113 E114:E116">
      <formula1>"0,1,2,3,4,5,6,7,8,9"</formula1>
    </dataValidation>
  </dataValidations>
  <drawing r:id="rId1"/>
</worksheet>
</file>